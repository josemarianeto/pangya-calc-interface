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-150" yWindow="-495" windowWidth="24240" windowHeight="10755"/>
  </bookViews>
  <sheets>
    <sheet name="Plan1" sheetId="1" r:id="rId1"/>
    <sheet name="2w Dunk 11s" sheetId="18" state="hidden" r:id="rId2"/>
    <sheet name="1w Dunk 11s" sheetId="8" state="hidden" r:id="rId3"/>
    <sheet name="1w Dunk 30s" sheetId="7" state="hidden" r:id="rId4"/>
    <sheet name="1w Dunk 1PS 30s" sheetId="2" r:id="rId5"/>
    <sheet name="1w Dunk 2PS 30s" sheetId="4" r:id="rId6"/>
    <sheet name="Dados" sheetId="5" state="hidden" r:id="rId7"/>
    <sheet name="Pin++" sheetId="6" state="hidden" r:id="rId8"/>
    <sheet name="1w Toma" sheetId="10" state="hidden" r:id="rId9"/>
    <sheet name="2w Dunk 30s" sheetId="9" state="hidden" r:id="rId10"/>
    <sheet name="3w Dunk 30s" sheetId="11" state="hidden" r:id="rId11"/>
    <sheet name="Spike30" sheetId="12" state="hidden" r:id="rId12"/>
    <sheet name="Spike 2ps 30s-OLD" sheetId="13" state="hidden" r:id="rId13"/>
    <sheet name="Spike 2ps 30s" sheetId="14" state="hidden" r:id="rId14"/>
    <sheet name="3w 18s 7c" sheetId="15" state="hidden" r:id="rId15"/>
    <sheet name="1w 15s 11c" sheetId="16" state="hidden" r:id="rId16"/>
    <sheet name="Spike7s" sheetId="17" state="hidden" r:id="rId17"/>
    <sheet name="2i 180Y 30s" sheetId="19" state="hidden" r:id="rId18"/>
  </sheets>
  <definedNames>
    <definedName name="Angulo">Dados!$B$30</definedName>
    <definedName name="Ângulo">Dados!$B$31</definedName>
  </definedNames>
  <calcPr calcId="144525"/>
</workbook>
</file>

<file path=xl/calcChain.xml><?xml version="1.0" encoding="utf-8"?>
<calcChain xmlns="http://schemas.openxmlformats.org/spreadsheetml/2006/main">
  <c r="B5" i="1" l="1"/>
  <c r="A34" i="4"/>
  <c r="A34" i="2"/>
  <c r="E18" i="1" l="1"/>
  <c r="E17" i="1"/>
  <c r="B19" i="1" s="1"/>
  <c r="AA23" i="16" l="1"/>
  <c r="AA24" i="16"/>
  <c r="AA25" i="16"/>
  <c r="AA26" i="16"/>
  <c r="AA22" i="16"/>
  <c r="O38" i="16"/>
  <c r="O42" i="16"/>
  <c r="O41" i="16"/>
  <c r="O40" i="16"/>
  <c r="O39" i="16"/>
  <c r="F18" i="8" l="1"/>
  <c r="AR39" i="16"/>
  <c r="AR38" i="16"/>
  <c r="N38" i="16"/>
  <c r="K28" i="1" l="1"/>
  <c r="L28" i="1"/>
  <c r="K29" i="1"/>
  <c r="L29" i="1"/>
  <c r="K30" i="1"/>
  <c r="L30" i="1"/>
  <c r="K31" i="1"/>
  <c r="L31" i="1"/>
  <c r="K32" i="1"/>
  <c r="L32" i="1"/>
  <c r="K33" i="1"/>
  <c r="L33" i="1"/>
  <c r="K34" i="1"/>
  <c r="L34" i="1"/>
  <c r="B7" i="16" l="1"/>
  <c r="B8" i="16"/>
  <c r="L17" i="1" l="1"/>
  <c r="K16" i="1"/>
  <c r="L16" i="1"/>
  <c r="K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L15" i="1" l="1"/>
  <c r="K15" i="1"/>
  <c r="AD50" i="18"/>
  <c r="AD49" i="18"/>
  <c r="AD48" i="18"/>
  <c r="AD45" i="18"/>
  <c r="AD44" i="18"/>
  <c r="AD43" i="18"/>
  <c r="K40" i="18"/>
  <c r="K39" i="18"/>
  <c r="K38" i="18"/>
  <c r="H36" i="5" l="1"/>
  <c r="J34" i="5"/>
  <c r="B12" i="19"/>
  <c r="B13" i="19" s="1"/>
  <c r="B11" i="19"/>
  <c r="B6" i="19"/>
  <c r="B3" i="19"/>
  <c r="O33" i="19"/>
  <c r="N33" i="19"/>
  <c r="M33" i="19"/>
  <c r="K33" i="19"/>
  <c r="O32" i="19"/>
  <c r="N32" i="19"/>
  <c r="M32" i="19"/>
  <c r="K32" i="19"/>
  <c r="O31" i="19"/>
  <c r="N31" i="19"/>
  <c r="M31" i="19"/>
  <c r="K31" i="19"/>
  <c r="E31" i="19"/>
  <c r="AP21" i="19"/>
  <c r="AM21" i="19"/>
  <c r="AJ21" i="19"/>
  <c r="AG21" i="19"/>
  <c r="W21" i="19"/>
  <c r="T21" i="19"/>
  <c r="Q21" i="19"/>
  <c r="N21" i="19"/>
  <c r="AP20" i="19"/>
  <c r="AM20" i="19"/>
  <c r="AJ20" i="19"/>
  <c r="AG20" i="19"/>
  <c r="W20" i="19"/>
  <c r="T20" i="19"/>
  <c r="Q20" i="19"/>
  <c r="N20" i="19"/>
  <c r="AP19" i="19"/>
  <c r="AM19" i="19"/>
  <c r="AJ19" i="19"/>
  <c r="AG19" i="19"/>
  <c r="W19" i="19"/>
  <c r="T19" i="19"/>
  <c r="Q19" i="19"/>
  <c r="N19" i="19"/>
  <c r="AP18" i="19"/>
  <c r="AM18" i="19"/>
  <c r="AJ18" i="19"/>
  <c r="AG18" i="19"/>
  <c r="W18" i="19"/>
  <c r="T18" i="19"/>
  <c r="Q18" i="19"/>
  <c r="N18" i="19"/>
  <c r="AP13" i="19"/>
  <c r="AM13" i="19"/>
  <c r="AJ13" i="19"/>
  <c r="AG13" i="19"/>
  <c r="W13" i="19"/>
  <c r="T13" i="19"/>
  <c r="Q13" i="19"/>
  <c r="N13" i="19"/>
  <c r="AP12" i="19"/>
  <c r="AM12" i="19"/>
  <c r="AJ12" i="19"/>
  <c r="AG12" i="19"/>
  <c r="W12" i="19"/>
  <c r="T12" i="19"/>
  <c r="Q12" i="19"/>
  <c r="N12" i="19"/>
  <c r="AP11" i="19"/>
  <c r="AM11" i="19"/>
  <c r="AJ11" i="19"/>
  <c r="AG11" i="19"/>
  <c r="W11" i="19"/>
  <c r="T11" i="19"/>
  <c r="Q11" i="19"/>
  <c r="N11" i="19"/>
  <c r="AP10" i="19"/>
  <c r="AM10" i="19"/>
  <c r="AJ10" i="19"/>
  <c r="AG10" i="19"/>
  <c r="W10" i="19"/>
  <c r="T10" i="19"/>
  <c r="Q10" i="19"/>
  <c r="N10" i="19"/>
  <c r="AP5" i="19"/>
  <c r="AM5" i="19"/>
  <c r="AJ5" i="19"/>
  <c r="AG5" i="19"/>
  <c r="W5" i="19"/>
  <c r="T5" i="19"/>
  <c r="Q5" i="19"/>
  <c r="N5" i="19"/>
  <c r="AP4" i="19"/>
  <c r="AM4" i="19"/>
  <c r="AJ4" i="19"/>
  <c r="AG4" i="19"/>
  <c r="W4" i="19"/>
  <c r="T4" i="19"/>
  <c r="Q4" i="19"/>
  <c r="N4" i="19"/>
  <c r="AP3" i="19"/>
  <c r="AM3" i="19"/>
  <c r="AJ3" i="19"/>
  <c r="AG3" i="19"/>
  <c r="W3" i="19"/>
  <c r="T3" i="19"/>
  <c r="Q3" i="19"/>
  <c r="N3" i="19"/>
  <c r="AP2" i="19"/>
  <c r="AM2" i="19"/>
  <c r="AJ2" i="19"/>
  <c r="AG2" i="19"/>
  <c r="W2" i="19"/>
  <c r="T2" i="19"/>
  <c r="Q2" i="19"/>
  <c r="N2" i="19"/>
  <c r="J33" i="5" l="1"/>
  <c r="J32" i="5"/>
  <c r="L3" i="17"/>
  <c r="AD80" i="18" l="1"/>
  <c r="AD79" i="18"/>
  <c r="AD78" i="18"/>
  <c r="AF40" i="18"/>
  <c r="AE40" i="18"/>
  <c r="AP53" i="18" s="1"/>
  <c r="AD40" i="18"/>
  <c r="AM53" i="18" s="1"/>
  <c r="AC40" i="18"/>
  <c r="AF39" i="18"/>
  <c r="AS45" i="18" s="1"/>
  <c r="AE39" i="18"/>
  <c r="AP45" i="18" s="1"/>
  <c r="AD39" i="18"/>
  <c r="AM45" i="18" s="1"/>
  <c r="AC39" i="18"/>
  <c r="AJ45" i="18" s="1"/>
  <c r="AF38" i="18"/>
  <c r="AS37" i="18" s="1"/>
  <c r="AE38" i="18"/>
  <c r="AP37" i="18" s="1"/>
  <c r="AD38" i="18"/>
  <c r="AM37" i="18" s="1"/>
  <c r="AC38" i="18"/>
  <c r="AJ37" i="18" s="1"/>
  <c r="AC73" i="18"/>
  <c r="AD73" i="18"/>
  <c r="AE73" i="18"/>
  <c r="AF73" i="18"/>
  <c r="AC74" i="18"/>
  <c r="AD74" i="18"/>
  <c r="AM80" i="18" s="1"/>
  <c r="AE74" i="18"/>
  <c r="AP80" i="18" s="1"/>
  <c r="AF74" i="18"/>
  <c r="AS80" i="18" s="1"/>
  <c r="AC75" i="18"/>
  <c r="AD75" i="18"/>
  <c r="AE75" i="18"/>
  <c r="AP88" i="18" s="1"/>
  <c r="AF75" i="18"/>
  <c r="AS88" i="18" s="1"/>
  <c r="AD54" i="18"/>
  <c r="AD53" i="18"/>
  <c r="AM40" i="18" s="1"/>
  <c r="AM47" i="18"/>
  <c r="AM39" i="18"/>
  <c r="AS55" i="18"/>
  <c r="AP55" i="18"/>
  <c r="AJ55" i="18"/>
  <c r="AS54" i="18"/>
  <c r="AP54" i="18"/>
  <c r="AJ54" i="18"/>
  <c r="AM48" i="18"/>
  <c r="AM55" i="18"/>
  <c r="AS48" i="18"/>
  <c r="AP48" i="18"/>
  <c r="AJ48" i="18"/>
  <c r="AS47" i="18"/>
  <c r="AP47" i="18"/>
  <c r="AJ47" i="18"/>
  <c r="AS46" i="18"/>
  <c r="AP46" i="18"/>
  <c r="AJ46" i="18"/>
  <c r="AM54" i="18"/>
  <c r="AM46" i="18"/>
  <c r="AS40" i="18"/>
  <c r="AP40" i="18"/>
  <c r="AJ40" i="18"/>
  <c r="AS53" i="18"/>
  <c r="AJ53" i="18"/>
  <c r="AS39" i="18"/>
  <c r="AP39" i="18"/>
  <c r="AJ39" i="18"/>
  <c r="AS38" i="18"/>
  <c r="AP38" i="18"/>
  <c r="AM38" i="18"/>
  <c r="AJ38" i="18"/>
  <c r="AD20" i="18"/>
  <c r="AM21" i="18" s="1"/>
  <c r="AD19" i="18"/>
  <c r="AD18" i="18"/>
  <c r="AD15" i="18"/>
  <c r="AD14" i="18"/>
  <c r="AD13" i="18"/>
  <c r="AD10" i="18"/>
  <c r="AD9" i="18"/>
  <c r="AD8" i="18"/>
  <c r="AS21" i="18"/>
  <c r="AS13" i="18"/>
  <c r="AS5" i="18"/>
  <c r="AP5" i="18"/>
  <c r="AP13" i="18"/>
  <c r="AP21" i="18"/>
  <c r="AM13" i="18"/>
  <c r="AM5" i="18"/>
  <c r="AJ21" i="18"/>
  <c r="AJ13" i="18"/>
  <c r="AJ5" i="18"/>
  <c r="K100" i="18"/>
  <c r="K99" i="18"/>
  <c r="T85" i="18" s="1"/>
  <c r="K98" i="18"/>
  <c r="K95" i="18"/>
  <c r="K94" i="18"/>
  <c r="K93" i="18"/>
  <c r="K90" i="18"/>
  <c r="K89" i="18"/>
  <c r="K88" i="18"/>
  <c r="K85" i="18"/>
  <c r="K84" i="18"/>
  <c r="K83" i="18"/>
  <c r="T74" i="18" s="1"/>
  <c r="K80" i="18"/>
  <c r="K79" i="18"/>
  <c r="K78" i="18"/>
  <c r="K75" i="18"/>
  <c r="T88" i="18" s="1"/>
  <c r="K74" i="18"/>
  <c r="K73" i="18"/>
  <c r="K65" i="18"/>
  <c r="K64" i="18"/>
  <c r="K63" i="18"/>
  <c r="K60" i="18"/>
  <c r="K59" i="18"/>
  <c r="K58" i="18"/>
  <c r="K55" i="18"/>
  <c r="K54" i="18"/>
  <c r="K53" i="18"/>
  <c r="K50" i="18"/>
  <c r="K49" i="18"/>
  <c r="K48" i="18"/>
  <c r="K45" i="18"/>
  <c r="T54" i="18" s="1"/>
  <c r="K44" i="18"/>
  <c r="K43" i="18"/>
  <c r="K30" i="18"/>
  <c r="K29" i="18"/>
  <c r="K28" i="18"/>
  <c r="K25" i="18"/>
  <c r="K24" i="18"/>
  <c r="K23" i="18"/>
  <c r="K20" i="18"/>
  <c r="K19" i="18"/>
  <c r="K18" i="18"/>
  <c r="K15" i="18"/>
  <c r="K14" i="18"/>
  <c r="K13" i="18"/>
  <c r="K10" i="18"/>
  <c r="K9" i="18"/>
  <c r="K8" i="18"/>
  <c r="K5" i="18"/>
  <c r="K4" i="18"/>
  <c r="K3" i="18"/>
  <c r="Z93" i="18"/>
  <c r="W93" i="18"/>
  <c r="T93" i="18"/>
  <c r="Q93" i="18"/>
  <c r="Z92" i="18"/>
  <c r="W92" i="18"/>
  <c r="T92" i="18"/>
  <c r="Q92" i="18"/>
  <c r="Z91" i="18"/>
  <c r="W91" i="18"/>
  <c r="T91" i="18"/>
  <c r="Q91" i="18"/>
  <c r="F91" i="18"/>
  <c r="Z90" i="18"/>
  <c r="W90" i="18"/>
  <c r="Q90" i="18"/>
  <c r="AS89" i="18"/>
  <c r="AP89" i="18"/>
  <c r="AM89" i="18"/>
  <c r="AJ89" i="18"/>
  <c r="Z89" i="18"/>
  <c r="W89" i="18"/>
  <c r="Q89" i="18"/>
  <c r="Z88" i="18"/>
  <c r="W88" i="18"/>
  <c r="Q88" i="18"/>
  <c r="E86" i="18"/>
  <c r="E91" i="18" s="1"/>
  <c r="Z85" i="18"/>
  <c r="W85" i="18"/>
  <c r="Q85" i="18"/>
  <c r="T90" i="18"/>
  <c r="E85" i="18"/>
  <c r="Z84" i="18"/>
  <c r="W84" i="18"/>
  <c r="T84" i="18"/>
  <c r="Q84" i="18"/>
  <c r="E84" i="18"/>
  <c r="E89" i="18" s="1"/>
  <c r="Z83" i="18"/>
  <c r="W83" i="18"/>
  <c r="T83" i="18"/>
  <c r="Q83" i="18"/>
  <c r="Z82" i="18"/>
  <c r="W82" i="18"/>
  <c r="T82" i="18"/>
  <c r="Q82" i="18"/>
  <c r="B82" i="18"/>
  <c r="B83" i="18" s="1"/>
  <c r="AS81" i="18"/>
  <c r="AP81" i="18"/>
  <c r="AM81" i="18"/>
  <c r="AJ81" i="18"/>
  <c r="Z81" i="18"/>
  <c r="W81" i="18"/>
  <c r="Q81" i="18"/>
  <c r="B81" i="18"/>
  <c r="Z80" i="18"/>
  <c r="W80" i="18"/>
  <c r="Q80" i="18"/>
  <c r="T89" i="18"/>
  <c r="T81" i="18"/>
  <c r="T73" i="18"/>
  <c r="Z77" i="18"/>
  <c r="W77" i="18"/>
  <c r="T77" i="18"/>
  <c r="Q77" i="18"/>
  <c r="Z76" i="18"/>
  <c r="W76" i="18"/>
  <c r="T76" i="18"/>
  <c r="Q76" i="18"/>
  <c r="AJ88" i="18"/>
  <c r="Z75" i="18"/>
  <c r="W75" i="18"/>
  <c r="T75" i="18"/>
  <c r="Q75" i="18"/>
  <c r="AJ80" i="18"/>
  <c r="Z74" i="18"/>
  <c r="W74" i="18"/>
  <c r="Q74" i="18"/>
  <c r="T80" i="18"/>
  <c r="AS73" i="18"/>
  <c r="AP73" i="18"/>
  <c r="AM73" i="18"/>
  <c r="AJ73" i="18"/>
  <c r="AP72" i="18"/>
  <c r="AM72" i="18"/>
  <c r="AJ72" i="18"/>
  <c r="Z73" i="18"/>
  <c r="W73" i="18"/>
  <c r="Q73" i="18"/>
  <c r="AS72" i="18"/>
  <c r="Z72" i="18"/>
  <c r="W72" i="18"/>
  <c r="T72" i="18"/>
  <c r="Q72" i="18"/>
  <c r="T58" i="18"/>
  <c r="T50" i="18"/>
  <c r="T42" i="18"/>
  <c r="T49" i="18"/>
  <c r="Z58" i="18"/>
  <c r="W58" i="18"/>
  <c r="Q58" i="18"/>
  <c r="Z57" i="18"/>
  <c r="W57" i="18"/>
  <c r="T57" i="18"/>
  <c r="Q57" i="18"/>
  <c r="Z56" i="18"/>
  <c r="W56" i="18"/>
  <c r="Q56" i="18"/>
  <c r="Z55" i="18"/>
  <c r="W55" i="18"/>
  <c r="Q55" i="18"/>
  <c r="T56" i="18"/>
  <c r="Z54" i="18"/>
  <c r="W54" i="18"/>
  <c r="Q54" i="18"/>
  <c r="Z53" i="18"/>
  <c r="W53" i="18"/>
  <c r="Q53" i="18"/>
  <c r="T40" i="18"/>
  <c r="E51" i="18"/>
  <c r="E56" i="18" s="1"/>
  <c r="Z50" i="18"/>
  <c r="W50" i="18"/>
  <c r="Q50" i="18"/>
  <c r="T55" i="18"/>
  <c r="E50" i="18"/>
  <c r="Z49" i="18"/>
  <c r="W49" i="18"/>
  <c r="Q49" i="18"/>
  <c r="E49" i="18"/>
  <c r="F56" i="18" s="1"/>
  <c r="Z48" i="18"/>
  <c r="W48" i="18"/>
  <c r="T48" i="18"/>
  <c r="Q48" i="18"/>
  <c r="T39" i="18"/>
  <c r="Z47" i="18"/>
  <c r="W47" i="18"/>
  <c r="T47" i="18"/>
  <c r="Q47" i="18"/>
  <c r="B47" i="18"/>
  <c r="B48" i="18" s="1"/>
  <c r="Z46" i="18"/>
  <c r="W46" i="18"/>
  <c r="Q46" i="18"/>
  <c r="B46" i="18"/>
  <c r="Z45" i="18"/>
  <c r="W45" i="18"/>
  <c r="Q45" i="18"/>
  <c r="T46" i="18"/>
  <c r="Z42" i="18"/>
  <c r="W42" i="18"/>
  <c r="Q42" i="18"/>
  <c r="Z41" i="18"/>
  <c r="W41" i="18"/>
  <c r="T41" i="18"/>
  <c r="Q41" i="18"/>
  <c r="Z40" i="18"/>
  <c r="W40" i="18"/>
  <c r="Q40" i="18"/>
  <c r="T53" i="18"/>
  <c r="Z39" i="18"/>
  <c r="W39" i="18"/>
  <c r="Q39" i="18"/>
  <c r="T45" i="18"/>
  <c r="Z38" i="18"/>
  <c r="W38" i="18"/>
  <c r="T38" i="18"/>
  <c r="Q38" i="18"/>
  <c r="Z37" i="18"/>
  <c r="W37" i="18"/>
  <c r="T37" i="18"/>
  <c r="Q37" i="18"/>
  <c r="T22" i="18"/>
  <c r="T14" i="18"/>
  <c r="Z23" i="18"/>
  <c r="W23" i="18"/>
  <c r="T23" i="18"/>
  <c r="Q23" i="18"/>
  <c r="T6" i="18"/>
  <c r="Z22" i="18"/>
  <c r="W22" i="18"/>
  <c r="Q22" i="18"/>
  <c r="Z21" i="18"/>
  <c r="W21" i="18"/>
  <c r="Q21" i="18"/>
  <c r="AS20" i="18"/>
  <c r="AP20" i="18"/>
  <c r="AJ20" i="18"/>
  <c r="Z20" i="18"/>
  <c r="W20" i="18"/>
  <c r="T20" i="18"/>
  <c r="Q20" i="18"/>
  <c r="T21" i="18"/>
  <c r="F20" i="18"/>
  <c r="E20" i="18"/>
  <c r="AS19" i="18"/>
  <c r="AP19" i="18"/>
  <c r="AJ19" i="18"/>
  <c r="Z19" i="18"/>
  <c r="W19" i="18"/>
  <c r="T19" i="18"/>
  <c r="Q19" i="18"/>
  <c r="T13" i="18"/>
  <c r="E19" i="18"/>
  <c r="Z18" i="18"/>
  <c r="W18" i="18"/>
  <c r="T18" i="18"/>
  <c r="Q18" i="18"/>
  <c r="T5" i="18"/>
  <c r="AA17" i="18"/>
  <c r="AA16" i="18"/>
  <c r="AM20" i="18"/>
  <c r="AA15" i="18"/>
  <c r="Z15" i="18"/>
  <c r="W15" i="18"/>
  <c r="T15" i="18"/>
  <c r="Q15" i="18"/>
  <c r="E15" i="18"/>
  <c r="AM12" i="18"/>
  <c r="Z14" i="18"/>
  <c r="W14" i="18"/>
  <c r="Q14" i="18"/>
  <c r="T12" i="18"/>
  <c r="E14" i="18"/>
  <c r="Z13" i="18"/>
  <c r="W13" i="18"/>
  <c r="Q13" i="18"/>
  <c r="E13" i="18"/>
  <c r="AS12" i="18"/>
  <c r="AP12" i="18"/>
  <c r="AJ12" i="18"/>
  <c r="Z12" i="18"/>
  <c r="W12" i="18"/>
  <c r="Q12" i="18"/>
  <c r="B12" i="18"/>
  <c r="B13" i="18" s="1"/>
  <c r="AS11" i="18"/>
  <c r="AP11" i="18"/>
  <c r="AJ11" i="18"/>
  <c r="Z11" i="18"/>
  <c r="W11" i="18"/>
  <c r="Q11" i="18"/>
  <c r="B11" i="18"/>
  <c r="AM19" i="18"/>
  <c r="Z10" i="18"/>
  <c r="W10" i="18"/>
  <c r="Q10" i="18"/>
  <c r="AM11" i="18"/>
  <c r="T11" i="18"/>
  <c r="T3" i="18"/>
  <c r="Z7" i="18"/>
  <c r="W7" i="18"/>
  <c r="T7" i="18"/>
  <c r="Q7" i="18"/>
  <c r="Z6" i="18"/>
  <c r="W6" i="18"/>
  <c r="Q6" i="18"/>
  <c r="B6" i="18"/>
  <c r="AF5" i="18"/>
  <c r="AS18" i="18" s="1"/>
  <c r="AE5" i="18"/>
  <c r="AP18" i="18" s="1"/>
  <c r="AD5" i="18"/>
  <c r="AM18" i="18" s="1"/>
  <c r="AC5" i="18"/>
  <c r="AJ18" i="18" s="1"/>
  <c r="Z5" i="18"/>
  <c r="W5" i="18"/>
  <c r="Q5" i="18"/>
  <c r="AS4" i="18"/>
  <c r="AP4" i="18"/>
  <c r="AM4" i="18"/>
  <c r="AJ4" i="18"/>
  <c r="AF4" i="18"/>
  <c r="AS10" i="18" s="1"/>
  <c r="AE4" i="18"/>
  <c r="AP10" i="18" s="1"/>
  <c r="AC4" i="18"/>
  <c r="AJ10" i="18" s="1"/>
  <c r="Z4" i="18"/>
  <c r="W4" i="18"/>
  <c r="T4" i="18"/>
  <c r="Q4" i="18"/>
  <c r="AD4" i="18"/>
  <c r="AM10" i="18" s="1"/>
  <c r="AS3" i="18"/>
  <c r="AP3" i="18"/>
  <c r="AM3" i="18"/>
  <c r="AJ3" i="18"/>
  <c r="AF3" i="18"/>
  <c r="AS2" i="18" s="1"/>
  <c r="AE3" i="18"/>
  <c r="AP2" i="18" s="1"/>
  <c r="AC3" i="18"/>
  <c r="AJ2" i="18" s="1"/>
  <c r="Z3" i="18"/>
  <c r="W3" i="18"/>
  <c r="Q3" i="18"/>
  <c r="AD3" i="18"/>
  <c r="AM2" i="18" s="1"/>
  <c r="B3" i="18"/>
  <c r="Z2" i="18"/>
  <c r="W2" i="18"/>
  <c r="Q2" i="18"/>
  <c r="K3" i="8"/>
  <c r="K4" i="8"/>
  <c r="K5" i="8"/>
  <c r="K8" i="8"/>
  <c r="K9" i="8"/>
  <c r="K10" i="8"/>
  <c r="K13" i="8"/>
  <c r="K14" i="8"/>
  <c r="K15" i="8"/>
  <c r="K18" i="8"/>
  <c r="K19" i="8"/>
  <c r="K20" i="8"/>
  <c r="K23" i="8"/>
  <c r="K24" i="8"/>
  <c r="F90" i="18" l="1"/>
  <c r="F55" i="18"/>
  <c r="E54" i="18"/>
  <c r="F19" i="18"/>
  <c r="F54" i="18"/>
  <c r="E55" i="18"/>
  <c r="T2" i="18"/>
  <c r="T10" i="18"/>
  <c r="AM88" i="18"/>
  <c r="F89" i="18"/>
  <c r="E90" i="18"/>
  <c r="E18" i="18"/>
  <c r="F18" i="18"/>
  <c r="AD20" i="8"/>
  <c r="AD15" i="8" l="1"/>
  <c r="AD14" i="8"/>
  <c r="AD13" i="8"/>
  <c r="AD10" i="8"/>
  <c r="AD9" i="8"/>
  <c r="AD8" i="8"/>
  <c r="AD18" i="8"/>
  <c r="AD19" i="8"/>
  <c r="AJ3" i="8" l="1"/>
  <c r="AP3" i="8"/>
  <c r="AS3" i="8"/>
  <c r="AJ4" i="8"/>
  <c r="AP4" i="8"/>
  <c r="AS4" i="8"/>
  <c r="AJ5" i="8"/>
  <c r="AM5" i="8"/>
  <c r="AP5" i="8"/>
  <c r="AS5" i="8"/>
  <c r="AJ11" i="8"/>
  <c r="AP11" i="8"/>
  <c r="AS11" i="8"/>
  <c r="AJ12" i="8"/>
  <c r="AP12" i="8"/>
  <c r="AS12" i="8"/>
  <c r="AJ13" i="8"/>
  <c r="AM13" i="8"/>
  <c r="AP13" i="8"/>
  <c r="AS13" i="8"/>
  <c r="AJ19" i="8"/>
  <c r="AP19" i="8"/>
  <c r="AS19" i="8"/>
  <c r="AJ20" i="8"/>
  <c r="AP20" i="8"/>
  <c r="AS20" i="8"/>
  <c r="AJ21" i="8"/>
  <c r="AM21" i="8"/>
  <c r="AP21" i="8"/>
  <c r="AS21" i="8"/>
  <c r="AM11" i="8" l="1"/>
  <c r="AM3" i="8"/>
  <c r="AM20" i="8"/>
  <c r="AM12" i="8"/>
  <c r="AM4" i="8"/>
  <c r="AM19" i="8"/>
  <c r="K100" i="8"/>
  <c r="K99" i="8"/>
  <c r="K98" i="8"/>
  <c r="K95" i="8"/>
  <c r="K94" i="8"/>
  <c r="K93" i="8"/>
  <c r="K90" i="8"/>
  <c r="K89" i="8"/>
  <c r="K88" i="8"/>
  <c r="K85" i="8"/>
  <c r="K84" i="8"/>
  <c r="K83" i="8"/>
  <c r="K80" i="8"/>
  <c r="K79" i="8"/>
  <c r="K78" i="8"/>
  <c r="K75" i="8"/>
  <c r="K74" i="8"/>
  <c r="K73" i="8"/>
  <c r="K65" i="8"/>
  <c r="K64" i="8"/>
  <c r="K63" i="8"/>
  <c r="K60" i="8"/>
  <c r="K59" i="8"/>
  <c r="K58" i="8"/>
  <c r="K55" i="8"/>
  <c r="K54" i="8"/>
  <c r="K53" i="8"/>
  <c r="K50" i="8"/>
  <c r="K49" i="8"/>
  <c r="K48" i="8"/>
  <c r="K45" i="8"/>
  <c r="K44" i="8"/>
  <c r="K43" i="8"/>
  <c r="K40" i="8"/>
  <c r="K39" i="8"/>
  <c r="K38" i="8"/>
  <c r="K30" i="8"/>
  <c r="K29" i="8"/>
  <c r="K28" i="8"/>
  <c r="K25" i="8"/>
  <c r="AD5" i="8"/>
  <c r="AM18" i="8" s="1"/>
  <c r="AD4" i="8"/>
  <c r="AM10" i="8" s="1"/>
  <c r="AD3" i="8"/>
  <c r="AM2" i="8" s="1"/>
  <c r="AE15" i="17" l="1"/>
  <c r="AN20" i="17" s="1"/>
  <c r="AE14" i="17"/>
  <c r="AE13" i="17"/>
  <c r="AN4" i="17" s="1"/>
  <c r="AE10" i="17"/>
  <c r="AN19" i="17" s="1"/>
  <c r="AE9" i="17"/>
  <c r="AN11" i="17" s="1"/>
  <c r="AE8" i="17"/>
  <c r="L55" i="17"/>
  <c r="L54" i="17"/>
  <c r="L53" i="17"/>
  <c r="L50" i="17"/>
  <c r="L49" i="17"/>
  <c r="U39" i="17" s="1"/>
  <c r="L48" i="17"/>
  <c r="U31" i="17" s="1"/>
  <c r="L45" i="17"/>
  <c r="L44" i="17"/>
  <c r="L43" i="17"/>
  <c r="L40" i="17"/>
  <c r="U45" i="17" s="1"/>
  <c r="L39" i="17"/>
  <c r="U37" i="17" s="1"/>
  <c r="L38" i="17"/>
  <c r="L35" i="17"/>
  <c r="U44" i="17" s="1"/>
  <c r="L34" i="17"/>
  <c r="L33" i="17"/>
  <c r="U28" i="17" s="1"/>
  <c r="L30" i="17"/>
  <c r="U43" i="17" s="1"/>
  <c r="L29" i="17"/>
  <c r="U35" i="17" s="1"/>
  <c r="L28" i="17"/>
  <c r="L25" i="17"/>
  <c r="L24" i="17"/>
  <c r="L23" i="17"/>
  <c r="L20" i="17"/>
  <c r="U21" i="17" s="1"/>
  <c r="L19" i="17"/>
  <c r="L18" i="17"/>
  <c r="U5" i="17" s="1"/>
  <c r="L15" i="17"/>
  <c r="U20" i="17" s="1"/>
  <c r="L14" i="17"/>
  <c r="U12" i="17" s="1"/>
  <c r="L13" i="17"/>
  <c r="L10" i="17"/>
  <c r="L9" i="17"/>
  <c r="L8" i="17"/>
  <c r="L5" i="17"/>
  <c r="AE5" i="17" s="1"/>
  <c r="AN18" i="17" s="1"/>
  <c r="L4" i="17"/>
  <c r="AA73" i="17"/>
  <c r="X73" i="17"/>
  <c r="U73" i="17"/>
  <c r="R73" i="17"/>
  <c r="AA72" i="17"/>
  <c r="X72" i="17"/>
  <c r="U72" i="17"/>
  <c r="R72" i="17"/>
  <c r="AA71" i="17"/>
  <c r="X71" i="17"/>
  <c r="U71" i="17"/>
  <c r="R71" i="17"/>
  <c r="AA70" i="17"/>
  <c r="X70" i="17"/>
  <c r="U70" i="17"/>
  <c r="R70" i="17"/>
  <c r="AA69" i="17"/>
  <c r="X69" i="17"/>
  <c r="U69" i="17"/>
  <c r="R69" i="17"/>
  <c r="AA68" i="17"/>
  <c r="X68" i="17"/>
  <c r="U68" i="17"/>
  <c r="R68" i="17"/>
  <c r="AA65" i="17"/>
  <c r="X65" i="17"/>
  <c r="U65" i="17"/>
  <c r="R65" i="17"/>
  <c r="AA64" i="17"/>
  <c r="X64" i="17"/>
  <c r="U64" i="17"/>
  <c r="R64" i="17"/>
  <c r="AA63" i="17"/>
  <c r="X63" i="17"/>
  <c r="U63" i="17"/>
  <c r="R63" i="17"/>
  <c r="AA62" i="17"/>
  <c r="X62" i="17"/>
  <c r="U62" i="17"/>
  <c r="R62" i="17"/>
  <c r="AA61" i="17"/>
  <c r="X61" i="17"/>
  <c r="U61" i="17"/>
  <c r="R61" i="17"/>
  <c r="AA60" i="17"/>
  <c r="X60" i="17"/>
  <c r="U60" i="17"/>
  <c r="R60" i="17"/>
  <c r="AA57" i="17"/>
  <c r="X57" i="17"/>
  <c r="U57" i="17"/>
  <c r="R57" i="17"/>
  <c r="AA56" i="17"/>
  <c r="X56" i="17"/>
  <c r="U56" i="17"/>
  <c r="R56" i="17"/>
  <c r="AA55" i="17"/>
  <c r="X55" i="17"/>
  <c r="U55" i="17"/>
  <c r="R55" i="17"/>
  <c r="AA54" i="17"/>
  <c r="X54" i="17"/>
  <c r="U54" i="17"/>
  <c r="R54" i="17"/>
  <c r="AA53" i="17"/>
  <c r="X53" i="17"/>
  <c r="U53" i="17"/>
  <c r="R53" i="17"/>
  <c r="AA52" i="17"/>
  <c r="X52" i="17"/>
  <c r="U52" i="17"/>
  <c r="R52" i="17"/>
  <c r="AA48" i="17"/>
  <c r="X48" i="17"/>
  <c r="U48" i="17"/>
  <c r="R48" i="17"/>
  <c r="AA47" i="17"/>
  <c r="X47" i="17"/>
  <c r="U47" i="17"/>
  <c r="R47" i="17"/>
  <c r="AA46" i="17"/>
  <c r="X46" i="17"/>
  <c r="U46" i="17"/>
  <c r="R46" i="17"/>
  <c r="AA45" i="17"/>
  <c r="X45" i="17"/>
  <c r="R45" i="17"/>
  <c r="AA44" i="17"/>
  <c r="X44" i="17"/>
  <c r="R44" i="17"/>
  <c r="AA43" i="17"/>
  <c r="X43" i="17"/>
  <c r="R43" i="17"/>
  <c r="AA40" i="17"/>
  <c r="X40" i="17"/>
  <c r="U40" i="17"/>
  <c r="R40" i="17"/>
  <c r="AA39" i="17"/>
  <c r="X39" i="17"/>
  <c r="R39" i="17"/>
  <c r="AA38" i="17"/>
  <c r="X38" i="17"/>
  <c r="U38" i="17"/>
  <c r="R38" i="17"/>
  <c r="AA37" i="17"/>
  <c r="X37" i="17"/>
  <c r="R37" i="17"/>
  <c r="AA36" i="17"/>
  <c r="X36" i="17"/>
  <c r="U36" i="17"/>
  <c r="R36" i="17"/>
  <c r="AA35" i="17"/>
  <c r="X35" i="17"/>
  <c r="R35" i="17"/>
  <c r="AA32" i="17"/>
  <c r="X32" i="17"/>
  <c r="U32" i="17"/>
  <c r="R32" i="17"/>
  <c r="AA31" i="17"/>
  <c r="X31" i="17"/>
  <c r="R31" i="17"/>
  <c r="AA30" i="17"/>
  <c r="X30" i="17"/>
  <c r="U30" i="17"/>
  <c r="R30" i="17"/>
  <c r="AA29" i="17"/>
  <c r="X29" i="17"/>
  <c r="U29" i="17"/>
  <c r="R29" i="17"/>
  <c r="AA28" i="17"/>
  <c r="X28" i="17"/>
  <c r="R28" i="17"/>
  <c r="AA27" i="17"/>
  <c r="X27" i="17"/>
  <c r="U27" i="17"/>
  <c r="R27" i="17"/>
  <c r="AA23" i="17"/>
  <c r="X23" i="17"/>
  <c r="R23" i="17"/>
  <c r="AT22" i="17"/>
  <c r="AQ22" i="17"/>
  <c r="AN22" i="17"/>
  <c r="AK22" i="17"/>
  <c r="AA22" i="17"/>
  <c r="X22" i="17"/>
  <c r="U22" i="17"/>
  <c r="R22" i="17"/>
  <c r="AT21" i="17"/>
  <c r="AQ21" i="17"/>
  <c r="AN21" i="17"/>
  <c r="AK21" i="17"/>
  <c r="AA21" i="17"/>
  <c r="X21" i="17"/>
  <c r="R21" i="17"/>
  <c r="AT20" i="17"/>
  <c r="AQ20" i="17"/>
  <c r="AK20" i="17"/>
  <c r="AA20" i="17"/>
  <c r="X20" i="17"/>
  <c r="R20" i="17"/>
  <c r="AT19" i="17"/>
  <c r="AQ19" i="17"/>
  <c r="AK19" i="17"/>
  <c r="AA19" i="17"/>
  <c r="X19" i="17"/>
  <c r="R19" i="17"/>
  <c r="AA18" i="17"/>
  <c r="X18" i="17"/>
  <c r="U18" i="17"/>
  <c r="R18" i="17"/>
  <c r="AA15" i="17"/>
  <c r="X15" i="17"/>
  <c r="U15" i="17"/>
  <c r="R15" i="17"/>
  <c r="AT14" i="17"/>
  <c r="AQ14" i="17"/>
  <c r="AN14" i="17"/>
  <c r="AK14" i="17"/>
  <c r="AA14" i="17"/>
  <c r="X14" i="17"/>
  <c r="U14" i="17"/>
  <c r="R14" i="17"/>
  <c r="AT13" i="17"/>
  <c r="AQ13" i="17"/>
  <c r="AN13" i="17"/>
  <c r="AK13" i="17"/>
  <c r="AA13" i="17"/>
  <c r="X13" i="17"/>
  <c r="U13" i="17"/>
  <c r="R13" i="17"/>
  <c r="AT12" i="17"/>
  <c r="AQ12" i="17"/>
  <c r="AN12" i="17"/>
  <c r="AK12" i="17"/>
  <c r="AA12" i="17"/>
  <c r="X12" i="17"/>
  <c r="R12" i="17"/>
  <c r="B12" i="17"/>
  <c r="B13" i="17" s="1"/>
  <c r="AT11" i="17"/>
  <c r="AQ11" i="17"/>
  <c r="AK11" i="17"/>
  <c r="AA11" i="17"/>
  <c r="X11" i="17"/>
  <c r="U11" i="17"/>
  <c r="R11" i="17"/>
  <c r="E11" i="17"/>
  <c r="E15" i="17" s="1"/>
  <c r="B11" i="17"/>
  <c r="AA10" i="17"/>
  <c r="X10" i="17"/>
  <c r="R10" i="17"/>
  <c r="U19" i="17"/>
  <c r="E10" i="17"/>
  <c r="E14" i="17" s="1"/>
  <c r="E9" i="17"/>
  <c r="F15" i="17" s="1"/>
  <c r="AA7" i="17"/>
  <c r="X7" i="17"/>
  <c r="U7" i="17"/>
  <c r="R7" i="17"/>
  <c r="AT6" i="17"/>
  <c r="AQ6" i="17"/>
  <c r="AN6" i="17"/>
  <c r="AK6" i="17"/>
  <c r="AA6" i="17"/>
  <c r="X6" i="17"/>
  <c r="U6" i="17"/>
  <c r="R6" i="17"/>
  <c r="B6" i="17"/>
  <c r="AT5" i="17"/>
  <c r="AQ5" i="17"/>
  <c r="AN5" i="17"/>
  <c r="AK5" i="17"/>
  <c r="AG5" i="17"/>
  <c r="AT18" i="17" s="1"/>
  <c r="AF5" i="17"/>
  <c r="AQ18" i="17" s="1"/>
  <c r="AD5" i="17"/>
  <c r="AK18" i="17" s="1"/>
  <c r="AA5" i="17"/>
  <c r="X5" i="17"/>
  <c r="R5" i="17"/>
  <c r="AT4" i="17"/>
  <c r="AQ4" i="17"/>
  <c r="AK4" i="17"/>
  <c r="AG4" i="17"/>
  <c r="AT10" i="17" s="1"/>
  <c r="AF4" i="17"/>
  <c r="AQ10" i="17" s="1"/>
  <c r="AD4" i="17"/>
  <c r="AK10" i="17" s="1"/>
  <c r="AA4" i="17"/>
  <c r="X4" i="17"/>
  <c r="U4" i="17"/>
  <c r="R4" i="17"/>
  <c r="AE4" i="17"/>
  <c r="AN10" i="17" s="1"/>
  <c r="AT3" i="17"/>
  <c r="AQ3" i="17"/>
  <c r="AN3" i="17"/>
  <c r="AK3" i="17"/>
  <c r="AG3" i="17"/>
  <c r="AT2" i="17" s="1"/>
  <c r="AF3" i="17"/>
  <c r="AQ2" i="17" s="1"/>
  <c r="AD3" i="17"/>
  <c r="AK2" i="17" s="1"/>
  <c r="AA3" i="17"/>
  <c r="X3" i="17"/>
  <c r="U3" i="17"/>
  <c r="R3" i="17"/>
  <c r="AE3" i="17"/>
  <c r="AN2" i="17" s="1"/>
  <c r="B3" i="17"/>
  <c r="AA2" i="17"/>
  <c r="X2" i="17"/>
  <c r="R2" i="17"/>
  <c r="U23" i="17" l="1"/>
  <c r="F14" i="17"/>
  <c r="E13" i="17"/>
  <c r="F13" i="17"/>
  <c r="U2" i="17"/>
  <c r="U10" i="17"/>
  <c r="L5" i="10"/>
  <c r="L4" i="10"/>
  <c r="L3" i="10"/>
  <c r="L10" i="10" l="1"/>
  <c r="L9" i="10"/>
  <c r="L8" i="10"/>
  <c r="U72" i="10" l="1"/>
  <c r="AA73" i="10"/>
  <c r="X73" i="10"/>
  <c r="U73" i="10"/>
  <c r="R73" i="10"/>
  <c r="AA72" i="10"/>
  <c r="X72" i="10"/>
  <c r="R72" i="10"/>
  <c r="AA71" i="10"/>
  <c r="X71" i="10"/>
  <c r="R71" i="10"/>
  <c r="AA70" i="10"/>
  <c r="X70" i="10"/>
  <c r="U70" i="10"/>
  <c r="R70" i="10"/>
  <c r="U71" i="10"/>
  <c r="AA69" i="10"/>
  <c r="X69" i="10"/>
  <c r="R69" i="10"/>
  <c r="U63" i="10"/>
  <c r="AA68" i="10"/>
  <c r="X68" i="10"/>
  <c r="R68" i="10"/>
  <c r="U55" i="10"/>
  <c r="AA65" i="10"/>
  <c r="X65" i="10"/>
  <c r="U65" i="10"/>
  <c r="R65" i="10"/>
  <c r="AA64" i="10"/>
  <c r="X64" i="10"/>
  <c r="U64" i="10"/>
  <c r="R64" i="10"/>
  <c r="AA63" i="10"/>
  <c r="X63" i="10"/>
  <c r="R63" i="10"/>
  <c r="AA62" i="10"/>
  <c r="X62" i="10"/>
  <c r="U62" i="10"/>
  <c r="R62" i="10"/>
  <c r="AA61" i="10"/>
  <c r="X61" i="10"/>
  <c r="U61" i="10"/>
  <c r="R61" i="10"/>
  <c r="AA60" i="10"/>
  <c r="X60" i="10"/>
  <c r="R60" i="10"/>
  <c r="U69" i="10"/>
  <c r="AA57" i="10"/>
  <c r="X57" i="10"/>
  <c r="U57" i="10"/>
  <c r="R57" i="10"/>
  <c r="AA56" i="10"/>
  <c r="X56" i="10"/>
  <c r="U56" i="10"/>
  <c r="R56" i="10"/>
  <c r="AA55" i="10"/>
  <c r="X55" i="10"/>
  <c r="R55" i="10"/>
  <c r="U68" i="10"/>
  <c r="AA54" i="10"/>
  <c r="X54" i="10"/>
  <c r="U54" i="10"/>
  <c r="R54" i="10"/>
  <c r="U60" i="10"/>
  <c r="AA53" i="10"/>
  <c r="X53" i="10"/>
  <c r="U53" i="10"/>
  <c r="R53" i="10"/>
  <c r="AA52" i="10"/>
  <c r="X52" i="10"/>
  <c r="U52" i="10"/>
  <c r="R52" i="10"/>
  <c r="AA48" i="10"/>
  <c r="X48" i="10"/>
  <c r="U48" i="10"/>
  <c r="R48" i="10"/>
  <c r="U31" i="10"/>
  <c r="AA47" i="10"/>
  <c r="X47" i="10"/>
  <c r="U47" i="10"/>
  <c r="R47" i="10"/>
  <c r="AA46" i="10"/>
  <c r="X46" i="10"/>
  <c r="U46" i="10"/>
  <c r="R46" i="10"/>
  <c r="AA45" i="10"/>
  <c r="X45" i="10"/>
  <c r="R45" i="10"/>
  <c r="AA44" i="10"/>
  <c r="X44" i="10"/>
  <c r="R44" i="10"/>
  <c r="AA43" i="10"/>
  <c r="X43" i="10"/>
  <c r="U43" i="10"/>
  <c r="R43" i="10"/>
  <c r="AA40" i="10"/>
  <c r="X40" i="10"/>
  <c r="U40" i="10"/>
  <c r="R40" i="10"/>
  <c r="U45" i="10"/>
  <c r="AA39" i="10"/>
  <c r="X39" i="10"/>
  <c r="U39" i="10"/>
  <c r="R39" i="10"/>
  <c r="AA38" i="10"/>
  <c r="X38" i="10"/>
  <c r="U38" i="10"/>
  <c r="R38" i="10"/>
  <c r="U29" i="10"/>
  <c r="AA37" i="10"/>
  <c r="X37" i="10"/>
  <c r="U37" i="10"/>
  <c r="R37" i="10"/>
  <c r="AA36" i="10"/>
  <c r="X36" i="10"/>
  <c r="R36" i="10"/>
  <c r="AA35" i="10"/>
  <c r="X35" i="10"/>
  <c r="U35" i="10"/>
  <c r="R35" i="10"/>
  <c r="U44" i="10"/>
  <c r="U36" i="10"/>
  <c r="AA32" i="10"/>
  <c r="X32" i="10"/>
  <c r="U32" i="10"/>
  <c r="R32" i="10"/>
  <c r="AA31" i="10"/>
  <c r="X31" i="10"/>
  <c r="R31" i="10"/>
  <c r="AA30" i="10"/>
  <c r="X30" i="10"/>
  <c r="U30" i="10"/>
  <c r="R30" i="10"/>
  <c r="AA29" i="10"/>
  <c r="X29" i="10"/>
  <c r="R29" i="10"/>
  <c r="AA28" i="10"/>
  <c r="X28" i="10"/>
  <c r="U28" i="10"/>
  <c r="R28" i="10"/>
  <c r="AA27" i="10"/>
  <c r="X27" i="10"/>
  <c r="U27" i="10"/>
  <c r="R27" i="10"/>
  <c r="AA23" i="10"/>
  <c r="X23" i="10"/>
  <c r="U23" i="10"/>
  <c r="R23" i="10"/>
  <c r="AT22" i="10"/>
  <c r="AQ22" i="10"/>
  <c r="AN22" i="10"/>
  <c r="AK22" i="10"/>
  <c r="AA22" i="10"/>
  <c r="X22" i="10"/>
  <c r="U22" i="10"/>
  <c r="R22" i="10"/>
  <c r="AT21" i="10"/>
  <c r="AQ21" i="10"/>
  <c r="AN21" i="10"/>
  <c r="AK21" i="10"/>
  <c r="AA21" i="10"/>
  <c r="X21" i="10"/>
  <c r="R21" i="10"/>
  <c r="AT20" i="10"/>
  <c r="AQ20" i="10"/>
  <c r="AN20" i="10"/>
  <c r="AK20" i="10"/>
  <c r="AA20" i="10"/>
  <c r="X20" i="10"/>
  <c r="R20" i="10"/>
  <c r="U21" i="10"/>
  <c r="AT19" i="10"/>
  <c r="AQ19" i="10"/>
  <c r="AN19" i="10"/>
  <c r="AK19" i="10"/>
  <c r="AA19" i="10"/>
  <c r="X19" i="10"/>
  <c r="R19" i="10"/>
  <c r="U13" i="10"/>
  <c r="AA18" i="10"/>
  <c r="X18" i="10"/>
  <c r="R18" i="10"/>
  <c r="U5" i="10"/>
  <c r="AA15" i="10"/>
  <c r="X15" i="10"/>
  <c r="U15" i="10"/>
  <c r="R15" i="10"/>
  <c r="U20" i="10"/>
  <c r="AT14" i="10"/>
  <c r="AQ14" i="10"/>
  <c r="AN14" i="10"/>
  <c r="AK14" i="10"/>
  <c r="AA14" i="10"/>
  <c r="X14" i="10"/>
  <c r="U14" i="10"/>
  <c r="R14" i="10"/>
  <c r="AT13" i="10"/>
  <c r="AQ13" i="10"/>
  <c r="AN13" i="10"/>
  <c r="AK13" i="10"/>
  <c r="AA13" i="10"/>
  <c r="X13" i="10"/>
  <c r="R13" i="10"/>
  <c r="AT12" i="10"/>
  <c r="AQ12" i="10"/>
  <c r="AN12" i="10"/>
  <c r="AK12" i="10"/>
  <c r="AA12" i="10"/>
  <c r="X12" i="10"/>
  <c r="U12" i="10"/>
  <c r="R12" i="10"/>
  <c r="B12" i="10"/>
  <c r="B13" i="10" s="1"/>
  <c r="AT11" i="10"/>
  <c r="AQ11" i="10"/>
  <c r="AN11" i="10"/>
  <c r="AK11" i="10"/>
  <c r="AA11" i="10"/>
  <c r="X11" i="10"/>
  <c r="R11" i="10"/>
  <c r="E11" i="10"/>
  <c r="E15" i="10" s="1"/>
  <c r="B11" i="10"/>
  <c r="AK10" i="10"/>
  <c r="AA10" i="10"/>
  <c r="X10" i="10"/>
  <c r="R10" i="10"/>
  <c r="U19" i="10"/>
  <c r="E10" i="10"/>
  <c r="E14" i="10" s="1"/>
  <c r="U11" i="10"/>
  <c r="E9" i="10"/>
  <c r="U3" i="10"/>
  <c r="AA7" i="10"/>
  <c r="X7" i="10"/>
  <c r="U7" i="10"/>
  <c r="R7" i="10"/>
  <c r="AT6" i="10"/>
  <c r="AQ6" i="10"/>
  <c r="AN6" i="10"/>
  <c r="AK6" i="10"/>
  <c r="AA6" i="10"/>
  <c r="X6" i="10"/>
  <c r="U6" i="10"/>
  <c r="R6" i="10"/>
  <c r="B6" i="10"/>
  <c r="AT5" i="10"/>
  <c r="AQ5" i="10"/>
  <c r="AN5" i="10"/>
  <c r="AK5" i="10"/>
  <c r="AG5" i="10"/>
  <c r="AT18" i="10" s="1"/>
  <c r="AF5" i="10"/>
  <c r="AQ18" i="10" s="1"/>
  <c r="AE5" i="10"/>
  <c r="AN18" i="10" s="1"/>
  <c r="AD5" i="10"/>
  <c r="AK18" i="10" s="1"/>
  <c r="AA5" i="10"/>
  <c r="X5" i="10"/>
  <c r="R5" i="10"/>
  <c r="U18" i="10"/>
  <c r="AT4" i="10"/>
  <c r="AQ4" i="10"/>
  <c r="AN4" i="10"/>
  <c r="AK4" i="10"/>
  <c r="AG4" i="10"/>
  <c r="AT10" i="10" s="1"/>
  <c r="AF4" i="10"/>
  <c r="AQ10" i="10" s="1"/>
  <c r="AD4" i="10"/>
  <c r="AA4" i="10"/>
  <c r="X4" i="10"/>
  <c r="U4" i="10"/>
  <c r="R4" i="10"/>
  <c r="AE4" i="10"/>
  <c r="AN10" i="10" s="1"/>
  <c r="AT3" i="10"/>
  <c r="AQ3" i="10"/>
  <c r="AN3" i="10"/>
  <c r="AK3" i="10"/>
  <c r="AG3" i="10"/>
  <c r="AT2" i="10" s="1"/>
  <c r="AF3" i="10"/>
  <c r="AQ2" i="10" s="1"/>
  <c r="AE3" i="10"/>
  <c r="AN2" i="10" s="1"/>
  <c r="AD3" i="10"/>
  <c r="AK2" i="10" s="1"/>
  <c r="AA3" i="10"/>
  <c r="X3" i="10"/>
  <c r="R3" i="10"/>
  <c r="U2" i="10"/>
  <c r="B3" i="10"/>
  <c r="AA2" i="10"/>
  <c r="X2" i="10"/>
  <c r="R2" i="10"/>
  <c r="F14" i="10" l="1"/>
  <c r="E13" i="10"/>
  <c r="F15" i="10"/>
  <c r="F13" i="10"/>
  <c r="U10" i="10"/>
  <c r="J1" i="6" l="1"/>
  <c r="H8" i="5"/>
  <c r="J56" i="16" l="1"/>
  <c r="J57" i="16"/>
  <c r="J58" i="16"/>
  <c r="J59" i="16"/>
  <c r="J55" i="16"/>
  <c r="J49" i="16"/>
  <c r="J50" i="16"/>
  <c r="J51" i="16"/>
  <c r="J52" i="16"/>
  <c r="J48" i="16"/>
  <c r="J69" i="16"/>
  <c r="J63" i="16"/>
  <c r="J64" i="16"/>
  <c r="J65" i="16"/>
  <c r="J66" i="16"/>
  <c r="J70" i="16"/>
  <c r="J71" i="16"/>
  <c r="J72" i="16"/>
  <c r="J73" i="16"/>
  <c r="J62" i="16"/>
  <c r="J77" i="16"/>
  <c r="J78" i="16"/>
  <c r="J79" i="16"/>
  <c r="J80" i="16"/>
  <c r="J76" i="16"/>
  <c r="J17" i="16"/>
  <c r="AF5" i="11" l="1"/>
  <c r="AE5" i="11"/>
  <c r="AD5" i="11"/>
  <c r="AC5" i="11"/>
  <c r="AF4" i="11"/>
  <c r="AE4" i="11"/>
  <c r="AD4" i="11"/>
  <c r="AC4" i="11"/>
  <c r="L80" i="12" l="1"/>
  <c r="L79" i="12"/>
  <c r="L78" i="12"/>
  <c r="L75" i="12"/>
  <c r="L74" i="12"/>
  <c r="L73" i="12"/>
  <c r="L70" i="12"/>
  <c r="L69" i="12"/>
  <c r="L68" i="12"/>
  <c r="L65" i="12"/>
  <c r="L64" i="12"/>
  <c r="L63" i="12"/>
  <c r="AA73" i="12" l="1"/>
  <c r="X73" i="12"/>
  <c r="U73" i="12"/>
  <c r="R73" i="12"/>
  <c r="AA72" i="12"/>
  <c r="X72" i="12"/>
  <c r="U72" i="12"/>
  <c r="R72" i="12"/>
  <c r="AA71" i="12"/>
  <c r="X71" i="12"/>
  <c r="U71" i="12"/>
  <c r="R71" i="12"/>
  <c r="AA70" i="12"/>
  <c r="X70" i="12"/>
  <c r="U70" i="12"/>
  <c r="R70" i="12"/>
  <c r="AA69" i="12"/>
  <c r="X69" i="12"/>
  <c r="U69" i="12"/>
  <c r="R69" i="12"/>
  <c r="AA68" i="12"/>
  <c r="X68" i="12"/>
  <c r="U68" i="12"/>
  <c r="R68" i="12"/>
  <c r="AA65" i="12"/>
  <c r="X65" i="12"/>
  <c r="U65" i="12"/>
  <c r="R65" i="12"/>
  <c r="AA64" i="12"/>
  <c r="X64" i="12"/>
  <c r="U64" i="12"/>
  <c r="R64" i="12"/>
  <c r="AA63" i="12"/>
  <c r="X63" i="12"/>
  <c r="U63" i="12"/>
  <c r="R63" i="12"/>
  <c r="AA62" i="12"/>
  <c r="X62" i="12"/>
  <c r="U62" i="12"/>
  <c r="R62" i="12"/>
  <c r="AA61" i="12"/>
  <c r="X61" i="12"/>
  <c r="U61" i="12"/>
  <c r="R61" i="12"/>
  <c r="AA60" i="12"/>
  <c r="X60" i="12"/>
  <c r="U60" i="12"/>
  <c r="R60" i="12"/>
  <c r="AA57" i="12"/>
  <c r="X57" i="12"/>
  <c r="U57" i="12"/>
  <c r="R57" i="12"/>
  <c r="AA56" i="12"/>
  <c r="X56" i="12"/>
  <c r="U56" i="12"/>
  <c r="R56" i="12"/>
  <c r="AA55" i="12"/>
  <c r="X55" i="12"/>
  <c r="U55" i="12"/>
  <c r="R55" i="12"/>
  <c r="AA54" i="12"/>
  <c r="X54" i="12"/>
  <c r="U54" i="12"/>
  <c r="R54" i="12"/>
  <c r="AA53" i="12"/>
  <c r="X53" i="12"/>
  <c r="U53" i="12"/>
  <c r="R53" i="12"/>
  <c r="AA52" i="12"/>
  <c r="X52" i="12"/>
  <c r="U52" i="12"/>
  <c r="R52" i="12"/>
  <c r="AA48" i="12"/>
  <c r="X48" i="12"/>
  <c r="U48" i="12"/>
  <c r="R48" i="12"/>
  <c r="AA47" i="12"/>
  <c r="X47" i="12"/>
  <c r="U47" i="12"/>
  <c r="R47" i="12"/>
  <c r="AA46" i="12"/>
  <c r="X46" i="12"/>
  <c r="U46" i="12"/>
  <c r="R46" i="12"/>
  <c r="AA45" i="12"/>
  <c r="X45" i="12"/>
  <c r="U45" i="12"/>
  <c r="R45" i="12"/>
  <c r="AA44" i="12"/>
  <c r="X44" i="12"/>
  <c r="U44" i="12"/>
  <c r="R44" i="12"/>
  <c r="AA43" i="12"/>
  <c r="X43" i="12"/>
  <c r="U43" i="12"/>
  <c r="R43" i="12"/>
  <c r="AA40" i="12"/>
  <c r="X40" i="12"/>
  <c r="U40" i="12"/>
  <c r="R40" i="12"/>
  <c r="AA39" i="12"/>
  <c r="X39" i="12"/>
  <c r="U39" i="12"/>
  <c r="R39" i="12"/>
  <c r="AA38" i="12"/>
  <c r="X38" i="12"/>
  <c r="U38" i="12"/>
  <c r="R38" i="12"/>
  <c r="AA37" i="12"/>
  <c r="X37" i="12"/>
  <c r="U37" i="12"/>
  <c r="R37" i="12"/>
  <c r="AA36" i="12"/>
  <c r="X36" i="12"/>
  <c r="U36" i="12"/>
  <c r="R36" i="12"/>
  <c r="AA35" i="12"/>
  <c r="X35" i="12"/>
  <c r="U35" i="12"/>
  <c r="R35" i="12"/>
  <c r="AA32" i="12"/>
  <c r="X32" i="12"/>
  <c r="U32" i="12"/>
  <c r="R32" i="12"/>
  <c r="AA31" i="12"/>
  <c r="X31" i="12"/>
  <c r="U31" i="12"/>
  <c r="R31" i="12"/>
  <c r="AA30" i="12"/>
  <c r="X30" i="12"/>
  <c r="U30" i="12"/>
  <c r="R30" i="12"/>
  <c r="AA29" i="12"/>
  <c r="X29" i="12"/>
  <c r="U29" i="12"/>
  <c r="R29" i="12"/>
  <c r="AA28" i="12"/>
  <c r="X28" i="12"/>
  <c r="U28" i="12"/>
  <c r="R28" i="12"/>
  <c r="AA27" i="12"/>
  <c r="X27" i="12"/>
  <c r="U27" i="12"/>
  <c r="R27" i="12"/>
  <c r="B12" i="12"/>
  <c r="B13" i="12" s="1"/>
  <c r="B11" i="12"/>
  <c r="L60" i="12"/>
  <c r="L59" i="12"/>
  <c r="L58" i="12"/>
  <c r="L55" i="12"/>
  <c r="L54" i="12"/>
  <c r="L53" i="12"/>
  <c r="L50" i="12"/>
  <c r="L49" i="12"/>
  <c r="L48" i="12"/>
  <c r="L45" i="12"/>
  <c r="L44" i="12"/>
  <c r="L43" i="12"/>
  <c r="L40" i="12"/>
  <c r="L39" i="12"/>
  <c r="L38" i="12"/>
  <c r="L35" i="12"/>
  <c r="L34" i="12"/>
  <c r="L33" i="12"/>
  <c r="L20" i="12"/>
  <c r="L19" i="12"/>
  <c r="L18" i="12"/>
  <c r="L15" i="12"/>
  <c r="L14" i="12"/>
  <c r="L13" i="12"/>
  <c r="L10" i="12"/>
  <c r="L9" i="12"/>
  <c r="L8" i="12"/>
  <c r="L5" i="12"/>
  <c r="L4" i="12"/>
  <c r="L3" i="12"/>
  <c r="AD52" i="16" l="1"/>
  <c r="AD7" i="16"/>
  <c r="A52" i="16"/>
  <c r="A7" i="16"/>
  <c r="J32" i="16" l="1"/>
  <c r="J33" i="16"/>
  <c r="J34" i="16"/>
  <c r="J35" i="16"/>
  <c r="J31" i="16"/>
  <c r="J25" i="16"/>
  <c r="J26" i="16"/>
  <c r="J27" i="16"/>
  <c r="J28" i="16"/>
  <c r="J24" i="16"/>
  <c r="J18" i="16"/>
  <c r="J19" i="16"/>
  <c r="J20" i="16"/>
  <c r="J21" i="16"/>
  <c r="J14" i="16"/>
  <c r="J13" i="16"/>
  <c r="J12" i="16"/>
  <c r="J11" i="16"/>
  <c r="J10" i="16"/>
  <c r="H123" i="16" l="1"/>
  <c r="H122" i="16"/>
  <c r="H121" i="16"/>
  <c r="H120" i="16"/>
  <c r="H119" i="16"/>
  <c r="H116" i="16"/>
  <c r="H115" i="16"/>
  <c r="H114" i="16"/>
  <c r="H113" i="16"/>
  <c r="H112" i="16"/>
  <c r="H109" i="16"/>
  <c r="H108" i="16"/>
  <c r="H107" i="16"/>
  <c r="H106" i="16"/>
  <c r="H105" i="16"/>
  <c r="H102" i="16"/>
  <c r="H101" i="16"/>
  <c r="H100" i="16"/>
  <c r="H99" i="16"/>
  <c r="H98" i="16"/>
  <c r="H95" i="16"/>
  <c r="H94" i="16"/>
  <c r="H93" i="16"/>
  <c r="H92" i="16"/>
  <c r="H91" i="16"/>
  <c r="V123" i="16"/>
  <c r="V122" i="16"/>
  <c r="V121" i="16"/>
  <c r="V120" i="16"/>
  <c r="V119" i="16"/>
  <c r="V116" i="16"/>
  <c r="V115" i="16"/>
  <c r="V114" i="16"/>
  <c r="V113" i="16"/>
  <c r="V112" i="16"/>
  <c r="V109" i="16"/>
  <c r="V108" i="16"/>
  <c r="V107" i="16"/>
  <c r="V106" i="16"/>
  <c r="V105" i="16"/>
  <c r="V102" i="16"/>
  <c r="V101" i="16"/>
  <c r="V100" i="16"/>
  <c r="V99" i="16"/>
  <c r="V98" i="16"/>
  <c r="V95" i="16"/>
  <c r="V94" i="16"/>
  <c r="V93" i="16"/>
  <c r="V92" i="16"/>
  <c r="V91" i="16"/>
  <c r="K123" i="16"/>
  <c r="K122" i="16"/>
  <c r="K121" i="16"/>
  <c r="K120" i="16"/>
  <c r="K119" i="16"/>
  <c r="K116" i="16"/>
  <c r="K115" i="16"/>
  <c r="K114" i="16"/>
  <c r="K113" i="16"/>
  <c r="K112" i="16"/>
  <c r="K109" i="16"/>
  <c r="K108" i="16"/>
  <c r="K107" i="16"/>
  <c r="K106" i="16"/>
  <c r="K105" i="16"/>
  <c r="K99" i="16"/>
  <c r="K100" i="16"/>
  <c r="K101" i="16"/>
  <c r="K102" i="16"/>
  <c r="K92" i="16"/>
  <c r="K93" i="16"/>
  <c r="K94" i="16"/>
  <c r="K95" i="16"/>
  <c r="K98" i="16"/>
  <c r="K91" i="16"/>
  <c r="S92" i="16"/>
  <c r="S91" i="16"/>
  <c r="S123" i="16"/>
  <c r="S122" i="16"/>
  <c r="S121" i="16"/>
  <c r="S120" i="16"/>
  <c r="S119" i="16"/>
  <c r="S116" i="16"/>
  <c r="S115" i="16"/>
  <c r="S114" i="16"/>
  <c r="S113" i="16"/>
  <c r="S112" i="16"/>
  <c r="S109" i="16"/>
  <c r="S108" i="16"/>
  <c r="S107" i="16"/>
  <c r="S106" i="16"/>
  <c r="S105" i="16"/>
  <c r="S102" i="16"/>
  <c r="S101" i="16"/>
  <c r="S100" i="16"/>
  <c r="S99" i="16"/>
  <c r="S98" i="16"/>
  <c r="S95" i="16"/>
  <c r="S94" i="16"/>
  <c r="S93" i="16"/>
  <c r="Q10" i="16" l="1"/>
  <c r="Q9" i="16"/>
  <c r="AE52" i="16" l="1"/>
  <c r="AE53" i="16" s="1"/>
  <c r="AE7" i="16"/>
  <c r="AE8" i="16" s="1"/>
  <c r="B52" i="16"/>
  <c r="B53" i="16" s="1"/>
  <c r="B52" i="15"/>
  <c r="B53" i="15" s="1"/>
  <c r="A52" i="15"/>
  <c r="B7" i="15"/>
  <c r="B8" i="15" s="1"/>
  <c r="A7" i="15"/>
  <c r="T34" i="16" l="1"/>
  <c r="T33" i="16"/>
  <c r="T32" i="16"/>
  <c r="T31" i="16"/>
  <c r="T30" i="16"/>
  <c r="T27" i="16"/>
  <c r="T26" i="16"/>
  <c r="T25" i="16"/>
  <c r="T24" i="16"/>
  <c r="T23" i="16"/>
  <c r="T20" i="16"/>
  <c r="T19" i="16"/>
  <c r="T18" i="16"/>
  <c r="T17" i="16"/>
  <c r="T16" i="16"/>
  <c r="T13" i="16"/>
  <c r="T12" i="16"/>
  <c r="T11" i="16"/>
  <c r="T10" i="16"/>
  <c r="T9" i="16"/>
  <c r="T6" i="16"/>
  <c r="T5" i="16"/>
  <c r="T4" i="16"/>
  <c r="T3" i="16"/>
  <c r="T2" i="16"/>
  <c r="B57" i="16"/>
  <c r="B58" i="16" s="1"/>
  <c r="B56" i="16"/>
  <c r="Q33" i="16"/>
  <c r="Q19" i="16"/>
  <c r="Q13" i="16"/>
  <c r="Q12" i="16"/>
  <c r="Q11" i="16"/>
  <c r="W57" i="16" l="1"/>
  <c r="W56" i="16"/>
  <c r="W55" i="16"/>
  <c r="W54" i="16"/>
  <c r="W51" i="16"/>
  <c r="W50" i="16"/>
  <c r="W49" i="16"/>
  <c r="W48" i="16"/>
  <c r="W47" i="16"/>
  <c r="T51" i="16"/>
  <c r="T50" i="16"/>
  <c r="T49" i="16"/>
  <c r="T48" i="16"/>
  <c r="T47" i="16"/>
  <c r="AQ9" i="16" l="1"/>
  <c r="AT9" i="16"/>
  <c r="AQ10" i="16"/>
  <c r="AT10" i="16"/>
  <c r="AQ11" i="16"/>
  <c r="AT11" i="16"/>
  <c r="AQ12" i="16"/>
  <c r="AT12" i="16"/>
  <c r="AQ13" i="16"/>
  <c r="AT13" i="16"/>
  <c r="AE51" i="16"/>
  <c r="AE6" i="16"/>
  <c r="AE48" i="16"/>
  <c r="AE3" i="16"/>
  <c r="B3" i="16"/>
  <c r="AE12" i="16"/>
  <c r="AE13" i="16" s="1"/>
  <c r="AE11" i="16"/>
  <c r="AV87" i="16"/>
  <c r="AQ87" i="16"/>
  <c r="AV86" i="16"/>
  <c r="AQ86" i="16"/>
  <c r="AV85" i="16"/>
  <c r="AQ85" i="16"/>
  <c r="AV84" i="16"/>
  <c r="AQ84" i="16"/>
  <c r="AV83" i="16"/>
  <c r="AQ83" i="16"/>
  <c r="AZ79" i="16"/>
  <c r="AW79" i="16"/>
  <c r="AT79" i="16"/>
  <c r="AQ79" i="16"/>
  <c r="AZ78" i="16"/>
  <c r="AW78" i="16"/>
  <c r="AT78" i="16"/>
  <c r="AQ78" i="16"/>
  <c r="AZ77" i="16"/>
  <c r="AW77" i="16"/>
  <c r="AT77" i="16"/>
  <c r="AQ77" i="16"/>
  <c r="AZ76" i="16"/>
  <c r="AW76" i="16"/>
  <c r="AT76" i="16"/>
  <c r="AQ76" i="16"/>
  <c r="AZ75" i="16"/>
  <c r="AW75" i="16"/>
  <c r="AT75" i="16"/>
  <c r="AQ75" i="16"/>
  <c r="AZ72" i="16"/>
  <c r="AW72" i="16"/>
  <c r="AT72" i="16"/>
  <c r="AQ72" i="16"/>
  <c r="AZ71" i="16"/>
  <c r="AW71" i="16"/>
  <c r="AT71" i="16"/>
  <c r="AQ71" i="16"/>
  <c r="AZ70" i="16"/>
  <c r="AW70" i="16"/>
  <c r="AT70" i="16"/>
  <c r="AQ70" i="16"/>
  <c r="AZ69" i="16"/>
  <c r="AW69" i="16"/>
  <c r="AT69" i="16"/>
  <c r="AQ69" i="16"/>
  <c r="AZ68" i="16"/>
  <c r="AW68" i="16"/>
  <c r="AT68" i="16"/>
  <c r="AQ68" i="16"/>
  <c r="AZ65" i="16"/>
  <c r="AW65" i="16"/>
  <c r="AT65" i="16"/>
  <c r="AQ65" i="16"/>
  <c r="AZ64" i="16"/>
  <c r="AW64" i="16"/>
  <c r="AT64" i="16"/>
  <c r="AQ64" i="16"/>
  <c r="AZ63" i="16"/>
  <c r="AW63" i="16"/>
  <c r="AT63" i="16"/>
  <c r="AQ63" i="16"/>
  <c r="AZ62" i="16"/>
  <c r="AW62" i="16"/>
  <c r="AT62" i="16"/>
  <c r="AQ62" i="16"/>
  <c r="AZ61" i="16"/>
  <c r="AW61" i="16"/>
  <c r="AT61" i="16"/>
  <c r="AQ61" i="16"/>
  <c r="AZ58" i="16"/>
  <c r="AW58" i="16"/>
  <c r="AT58" i="16"/>
  <c r="AQ58" i="16"/>
  <c r="AZ57" i="16"/>
  <c r="AW57" i="16"/>
  <c r="AT57" i="16"/>
  <c r="AQ57" i="16"/>
  <c r="AE57" i="16"/>
  <c r="AE58" i="16" s="1"/>
  <c r="AZ56" i="16"/>
  <c r="AW56" i="16"/>
  <c r="AT56" i="16"/>
  <c r="AQ56" i="16"/>
  <c r="AE56" i="16"/>
  <c r="AZ55" i="16"/>
  <c r="AW55" i="16"/>
  <c r="AT55" i="16"/>
  <c r="AQ55" i="16"/>
  <c r="AZ54" i="16"/>
  <c r="AW54" i="16"/>
  <c r="AT54" i="16"/>
  <c r="AQ54" i="16"/>
  <c r="AZ51" i="16"/>
  <c r="AW51" i="16"/>
  <c r="AT51" i="16"/>
  <c r="AQ51" i="16"/>
  <c r="AZ50" i="16"/>
  <c r="AW50" i="16"/>
  <c r="AT50" i="16"/>
  <c r="AQ50" i="16"/>
  <c r="AZ49" i="16"/>
  <c r="AW49" i="16"/>
  <c r="AT49" i="16"/>
  <c r="AQ49" i="16"/>
  <c r="AZ48" i="16"/>
  <c r="AW48" i="16"/>
  <c r="AT48" i="16"/>
  <c r="AQ48" i="16"/>
  <c r="AZ47" i="16"/>
  <c r="AW47" i="16"/>
  <c r="AT47" i="16"/>
  <c r="AQ47" i="16"/>
  <c r="AV42" i="16"/>
  <c r="AQ42" i="16"/>
  <c r="AV41" i="16"/>
  <c r="AQ41" i="16"/>
  <c r="AV40" i="16"/>
  <c r="AQ40" i="16"/>
  <c r="AV39" i="16"/>
  <c r="AQ39" i="16"/>
  <c r="AV38" i="16"/>
  <c r="AQ38" i="16"/>
  <c r="AZ34" i="16"/>
  <c r="AW34" i="16"/>
  <c r="AT34" i="16"/>
  <c r="AQ34" i="16"/>
  <c r="AZ33" i="16"/>
  <c r="AW33" i="16"/>
  <c r="AT33" i="16"/>
  <c r="AQ33" i="16"/>
  <c r="AZ32" i="16"/>
  <c r="AW32" i="16"/>
  <c r="AT32" i="16"/>
  <c r="AQ32" i="16"/>
  <c r="AZ31" i="16"/>
  <c r="AW31" i="16"/>
  <c r="AT31" i="16"/>
  <c r="AQ31" i="16"/>
  <c r="AZ30" i="16"/>
  <c r="AW30" i="16"/>
  <c r="AT30" i="16"/>
  <c r="AQ30" i="16"/>
  <c r="AZ27" i="16"/>
  <c r="AW27" i="16"/>
  <c r="AT27" i="16"/>
  <c r="AQ27" i="16"/>
  <c r="AZ26" i="16"/>
  <c r="AW26" i="16"/>
  <c r="AT26" i="16"/>
  <c r="AQ26" i="16"/>
  <c r="AZ25" i="16"/>
  <c r="AW25" i="16"/>
  <c r="AT25" i="16"/>
  <c r="AQ25" i="16"/>
  <c r="AZ24" i="16"/>
  <c r="AW24" i="16"/>
  <c r="AT24" i="16"/>
  <c r="AQ24" i="16"/>
  <c r="AZ23" i="16"/>
  <c r="AW23" i="16"/>
  <c r="AT23" i="16"/>
  <c r="AQ23" i="16"/>
  <c r="AZ20" i="16"/>
  <c r="AW20" i="16"/>
  <c r="AT20" i="16"/>
  <c r="AQ20" i="16"/>
  <c r="AZ19" i="16"/>
  <c r="AW19" i="16"/>
  <c r="AT19" i="16"/>
  <c r="AQ19" i="16"/>
  <c r="AZ18" i="16"/>
  <c r="AW18" i="16"/>
  <c r="AT18" i="16"/>
  <c r="AQ18" i="16"/>
  <c r="AZ17" i="16"/>
  <c r="AW17" i="16"/>
  <c r="AT17" i="16"/>
  <c r="AQ17" i="16"/>
  <c r="AZ16" i="16"/>
  <c r="AW16" i="16"/>
  <c r="AT16" i="16"/>
  <c r="AQ16" i="16"/>
  <c r="AZ13" i="16"/>
  <c r="AW13" i="16"/>
  <c r="AZ12" i="16"/>
  <c r="AW12" i="16"/>
  <c r="AZ11" i="16"/>
  <c r="AW11" i="16"/>
  <c r="AZ10" i="16"/>
  <c r="AW10" i="16"/>
  <c r="AZ9" i="16"/>
  <c r="AW9" i="16"/>
  <c r="AZ6" i="16"/>
  <c r="AW6" i="16"/>
  <c r="AT6" i="16"/>
  <c r="AQ6" i="16"/>
  <c r="AZ5" i="16"/>
  <c r="AW5" i="16"/>
  <c r="AT5" i="16"/>
  <c r="AQ5" i="16"/>
  <c r="AZ4" i="16"/>
  <c r="AW4" i="16"/>
  <c r="AT4" i="16"/>
  <c r="AQ4" i="16"/>
  <c r="AZ3" i="16"/>
  <c r="AW3" i="16"/>
  <c r="AT3" i="16"/>
  <c r="AQ3" i="16"/>
  <c r="AZ2" i="16"/>
  <c r="AW2" i="16"/>
  <c r="AT2" i="16"/>
  <c r="AQ2" i="16"/>
  <c r="AR40" i="16" l="1"/>
  <c r="AR84" i="16"/>
  <c r="AR83" i="16"/>
  <c r="AR87" i="16"/>
  <c r="AR85" i="16"/>
  <c r="AR86" i="16"/>
  <c r="AR42" i="16"/>
  <c r="AR41" i="16"/>
  <c r="J31" i="5"/>
  <c r="J30" i="5"/>
  <c r="S87" i="16" l="1"/>
  <c r="N87" i="16"/>
  <c r="S86" i="16"/>
  <c r="N86" i="16"/>
  <c r="S85" i="16"/>
  <c r="N85" i="16"/>
  <c r="S84" i="16"/>
  <c r="N84" i="16"/>
  <c r="S83" i="16"/>
  <c r="N83" i="16"/>
  <c r="W79" i="16"/>
  <c r="T79" i="16"/>
  <c r="Q79" i="16"/>
  <c r="N79" i="16"/>
  <c r="W78" i="16"/>
  <c r="T78" i="16"/>
  <c r="Q78" i="16"/>
  <c r="N78" i="16"/>
  <c r="W77" i="16"/>
  <c r="T77" i="16"/>
  <c r="Q77" i="16"/>
  <c r="N77" i="16"/>
  <c r="W76" i="16"/>
  <c r="T76" i="16"/>
  <c r="Q76" i="16"/>
  <c r="N76" i="16"/>
  <c r="W75" i="16"/>
  <c r="T75" i="16"/>
  <c r="Q75" i="16"/>
  <c r="N75" i="16"/>
  <c r="W72" i="16"/>
  <c r="T72" i="16"/>
  <c r="Q72" i="16"/>
  <c r="N72" i="16"/>
  <c r="W71" i="16"/>
  <c r="T71" i="16"/>
  <c r="Q71" i="16"/>
  <c r="N71" i="16"/>
  <c r="W70" i="16"/>
  <c r="T70" i="16"/>
  <c r="Q70" i="16"/>
  <c r="N70" i="16"/>
  <c r="W69" i="16"/>
  <c r="T69" i="16"/>
  <c r="Q69" i="16"/>
  <c r="N69" i="16"/>
  <c r="W68" i="16"/>
  <c r="T68" i="16"/>
  <c r="Q68" i="16"/>
  <c r="N68" i="16"/>
  <c r="W65" i="16"/>
  <c r="T65" i="16"/>
  <c r="Q65" i="16"/>
  <c r="N65" i="16"/>
  <c r="W64" i="16"/>
  <c r="T64" i="16"/>
  <c r="Q64" i="16"/>
  <c r="N64" i="16"/>
  <c r="W63" i="16"/>
  <c r="T63" i="16"/>
  <c r="Q63" i="16"/>
  <c r="N63" i="16"/>
  <c r="W62" i="16"/>
  <c r="T62" i="16"/>
  <c r="Q62" i="16"/>
  <c r="N62" i="16"/>
  <c r="W61" i="16"/>
  <c r="T61" i="16"/>
  <c r="Q61" i="16"/>
  <c r="N61" i="16"/>
  <c r="W58" i="16"/>
  <c r="T58" i="16"/>
  <c r="Q58" i="16"/>
  <c r="N58" i="16"/>
  <c r="T57" i="16"/>
  <c r="Q57" i="16"/>
  <c r="N57" i="16"/>
  <c r="T56" i="16"/>
  <c r="Q56" i="16"/>
  <c r="N56" i="16"/>
  <c r="T55" i="16"/>
  <c r="Q55" i="16"/>
  <c r="N55" i="16"/>
  <c r="T54" i="16"/>
  <c r="Q54" i="16"/>
  <c r="N54" i="16"/>
  <c r="Q51" i="16"/>
  <c r="N51" i="16"/>
  <c r="B51" i="16"/>
  <c r="Q50" i="16"/>
  <c r="N50" i="16"/>
  <c r="Q49" i="16"/>
  <c r="N49" i="16"/>
  <c r="Q48" i="16"/>
  <c r="N48" i="16"/>
  <c r="B48" i="16"/>
  <c r="Q47" i="16"/>
  <c r="N47" i="16"/>
  <c r="S42" i="16"/>
  <c r="N42" i="16"/>
  <c r="S41" i="16"/>
  <c r="N41" i="16"/>
  <c r="S40" i="16"/>
  <c r="N40" i="16"/>
  <c r="S39" i="16"/>
  <c r="N39" i="16"/>
  <c r="S38" i="16"/>
  <c r="W34" i="16"/>
  <c r="Q34" i="16"/>
  <c r="N34" i="16"/>
  <c r="W33" i="16"/>
  <c r="N33" i="16"/>
  <c r="W32" i="16"/>
  <c r="Q32" i="16"/>
  <c r="N32" i="16"/>
  <c r="W31" i="16"/>
  <c r="Q31" i="16"/>
  <c r="N31" i="16"/>
  <c r="W30" i="16"/>
  <c r="Q30" i="16"/>
  <c r="N30" i="16"/>
  <c r="W27" i="16"/>
  <c r="Q27" i="16"/>
  <c r="N27" i="16"/>
  <c r="W26" i="16"/>
  <c r="Q26" i="16"/>
  <c r="N26" i="16"/>
  <c r="W25" i="16"/>
  <c r="Q25" i="16"/>
  <c r="N25" i="16"/>
  <c r="W24" i="16"/>
  <c r="Q24" i="16"/>
  <c r="N24" i="16"/>
  <c r="W23" i="16"/>
  <c r="Q23" i="16"/>
  <c r="N23" i="16"/>
  <c r="W20" i="16"/>
  <c r="Q20" i="16"/>
  <c r="N20" i="16"/>
  <c r="W19" i="16"/>
  <c r="N19" i="16"/>
  <c r="W18" i="16"/>
  <c r="Q18" i="16"/>
  <c r="N18" i="16"/>
  <c r="W17" i="16"/>
  <c r="Q17" i="16"/>
  <c r="N17" i="16"/>
  <c r="W16" i="16"/>
  <c r="Q16" i="16"/>
  <c r="N16" i="16"/>
  <c r="W13" i="16"/>
  <c r="N13" i="16"/>
  <c r="W12" i="16"/>
  <c r="N12" i="16"/>
  <c r="B12" i="16"/>
  <c r="B13" i="16" s="1"/>
  <c r="W11" i="16"/>
  <c r="N11" i="16"/>
  <c r="B11" i="16"/>
  <c r="W10" i="16"/>
  <c r="N10" i="16"/>
  <c r="W9" i="16"/>
  <c r="N9" i="16"/>
  <c r="W6" i="16"/>
  <c r="Q6" i="16"/>
  <c r="N6" i="16"/>
  <c r="B6" i="16"/>
  <c r="W5" i="16"/>
  <c r="Q5" i="16"/>
  <c r="N5" i="16"/>
  <c r="W4" i="16"/>
  <c r="Q4" i="16"/>
  <c r="N4" i="16"/>
  <c r="W3" i="16"/>
  <c r="Q3" i="16"/>
  <c r="N3" i="16"/>
  <c r="W2" i="16"/>
  <c r="Q2" i="16"/>
  <c r="N2" i="16"/>
  <c r="O87" i="16" l="1"/>
  <c r="O83" i="16"/>
  <c r="O86" i="16"/>
  <c r="O85" i="16"/>
  <c r="O84" i="16"/>
  <c r="Q50" i="15" l="1"/>
  <c r="Q26" i="15" l="1"/>
  <c r="Q19" i="15"/>
  <c r="Q12" i="15"/>
  <c r="Q3" i="15"/>
  <c r="Q4" i="15"/>
  <c r="Q5" i="15"/>
  <c r="W50" i="15"/>
  <c r="Q71" i="15"/>
  <c r="W78" i="15"/>
  <c r="Q78" i="15"/>
  <c r="T78" i="15"/>
  <c r="N78" i="15"/>
  <c r="W71" i="15"/>
  <c r="T71" i="15"/>
  <c r="N71" i="15"/>
  <c r="W64" i="15"/>
  <c r="T64" i="15"/>
  <c r="Q64" i="15"/>
  <c r="N64" i="15"/>
  <c r="W57" i="15"/>
  <c r="T57" i="15"/>
  <c r="Q57" i="15"/>
  <c r="N57" i="15"/>
  <c r="N50" i="15"/>
  <c r="T50" i="15"/>
  <c r="W33" i="15"/>
  <c r="W26" i="15"/>
  <c r="W19" i="15"/>
  <c r="W12" i="15"/>
  <c r="W5" i="15"/>
  <c r="T33" i="15"/>
  <c r="T26" i="15"/>
  <c r="T19" i="15"/>
  <c r="T12" i="15"/>
  <c r="T5" i="15"/>
  <c r="Q33" i="15"/>
  <c r="N33" i="15"/>
  <c r="N26" i="15"/>
  <c r="N19" i="15"/>
  <c r="N12" i="15"/>
  <c r="N5" i="15"/>
  <c r="T3" i="15" l="1"/>
  <c r="W62" i="15"/>
  <c r="T62" i="15"/>
  <c r="Q62" i="15"/>
  <c r="N62" i="15"/>
  <c r="N10" i="15"/>
  <c r="N17" i="15"/>
  <c r="Q17" i="15"/>
  <c r="T17" i="15"/>
  <c r="W24" i="15"/>
  <c r="W17" i="15"/>
  <c r="W10" i="15"/>
  <c r="W3" i="15"/>
  <c r="W79" i="15"/>
  <c r="T79" i="15"/>
  <c r="Q79" i="15"/>
  <c r="N79" i="15"/>
  <c r="W77" i="15"/>
  <c r="T77" i="15"/>
  <c r="Q77" i="15"/>
  <c r="N77" i="15"/>
  <c r="W76" i="15"/>
  <c r="T76" i="15"/>
  <c r="Q76" i="15"/>
  <c r="N76" i="15"/>
  <c r="W75" i="15"/>
  <c r="T75" i="15"/>
  <c r="Q75" i="15"/>
  <c r="N75" i="15"/>
  <c r="W72" i="15"/>
  <c r="T72" i="15"/>
  <c r="Q72" i="15"/>
  <c r="N72" i="15"/>
  <c r="W70" i="15"/>
  <c r="T70" i="15"/>
  <c r="Q70" i="15"/>
  <c r="N70" i="15"/>
  <c r="W69" i="15"/>
  <c r="T69" i="15"/>
  <c r="Q69" i="15"/>
  <c r="N69" i="15"/>
  <c r="W68" i="15"/>
  <c r="T68" i="15"/>
  <c r="Q68" i="15"/>
  <c r="N68" i="15"/>
  <c r="W65" i="15"/>
  <c r="T65" i="15"/>
  <c r="Q65" i="15"/>
  <c r="N65" i="15"/>
  <c r="W63" i="15"/>
  <c r="T63" i="15"/>
  <c r="Q63" i="15"/>
  <c r="N63" i="15"/>
  <c r="W61" i="15"/>
  <c r="T61" i="15"/>
  <c r="Q61" i="15"/>
  <c r="N61" i="15"/>
  <c r="W58" i="15"/>
  <c r="T58" i="15"/>
  <c r="Q58" i="15"/>
  <c r="N58" i="15"/>
  <c r="W56" i="15"/>
  <c r="T56" i="15"/>
  <c r="Q56" i="15"/>
  <c r="N56" i="15"/>
  <c r="W55" i="15"/>
  <c r="T55" i="15"/>
  <c r="Q55" i="15"/>
  <c r="N55" i="15"/>
  <c r="W54" i="15"/>
  <c r="T54" i="15"/>
  <c r="Q54" i="15"/>
  <c r="N54" i="15"/>
  <c r="N51" i="15"/>
  <c r="N49" i="15"/>
  <c r="N47" i="15"/>
  <c r="W51" i="15"/>
  <c r="T51" i="15"/>
  <c r="Q51" i="15"/>
  <c r="W49" i="15"/>
  <c r="T49" i="15"/>
  <c r="Q49" i="15"/>
  <c r="W48" i="15"/>
  <c r="T48" i="15"/>
  <c r="Q48" i="15"/>
  <c r="N48" i="15"/>
  <c r="W47" i="15"/>
  <c r="T47" i="15"/>
  <c r="Q47" i="15"/>
  <c r="W31" i="15"/>
  <c r="T31" i="15"/>
  <c r="Q31" i="15"/>
  <c r="N31" i="15"/>
  <c r="T24" i="15"/>
  <c r="Q24" i="15"/>
  <c r="N24" i="15"/>
  <c r="W34" i="15"/>
  <c r="W32" i="15"/>
  <c r="W30" i="15"/>
  <c r="T34" i="15"/>
  <c r="T32" i="15"/>
  <c r="T30" i="15"/>
  <c r="Q34" i="15"/>
  <c r="Q32" i="15"/>
  <c r="Q30" i="15"/>
  <c r="N34" i="15"/>
  <c r="N32" i="15"/>
  <c r="N30" i="15"/>
  <c r="W27" i="15"/>
  <c r="W25" i="15"/>
  <c r="W23" i="15"/>
  <c r="T27" i="15"/>
  <c r="T25" i="15"/>
  <c r="T23" i="15"/>
  <c r="Q27" i="15"/>
  <c r="Q25" i="15"/>
  <c r="Q23" i="15"/>
  <c r="N27" i="15"/>
  <c r="N25" i="15"/>
  <c r="N23" i="15"/>
  <c r="W20" i="15"/>
  <c r="W18" i="15"/>
  <c r="W16" i="15"/>
  <c r="T20" i="15"/>
  <c r="T18" i="15"/>
  <c r="T16" i="15"/>
  <c r="Q20" i="15"/>
  <c r="Q18" i="15"/>
  <c r="Q16" i="15"/>
  <c r="N20" i="15"/>
  <c r="N18" i="15"/>
  <c r="N16" i="15"/>
  <c r="W13" i="15"/>
  <c r="W11" i="15"/>
  <c r="W9" i="15"/>
  <c r="T13" i="15"/>
  <c r="T11" i="15"/>
  <c r="T10" i="15"/>
  <c r="T9" i="15"/>
  <c r="Q13" i="15"/>
  <c r="Q11" i="15"/>
  <c r="Q10" i="15"/>
  <c r="Q9" i="15"/>
  <c r="N13" i="15"/>
  <c r="N11" i="15"/>
  <c r="N9" i="15"/>
  <c r="Q2" i="15"/>
  <c r="N6" i="15"/>
  <c r="N4" i="15"/>
  <c r="N3" i="15"/>
  <c r="N2" i="15"/>
  <c r="T4" i="15"/>
  <c r="M83" i="15" l="1"/>
  <c r="B51" i="15"/>
  <c r="B48" i="15"/>
  <c r="B57" i="15"/>
  <c r="B58" i="15" s="1"/>
  <c r="B56" i="15"/>
  <c r="R87" i="15" l="1"/>
  <c r="O87" i="15"/>
  <c r="M87" i="15"/>
  <c r="R86" i="15"/>
  <c r="O86" i="15"/>
  <c r="M86" i="15"/>
  <c r="R85" i="15"/>
  <c r="O85" i="15"/>
  <c r="M85" i="15"/>
  <c r="R84" i="15"/>
  <c r="O84" i="15"/>
  <c r="M84" i="15"/>
  <c r="R83" i="15"/>
  <c r="O83" i="15"/>
  <c r="O39" i="15"/>
  <c r="O40" i="15"/>
  <c r="O41" i="15"/>
  <c r="O42" i="15"/>
  <c r="O38" i="15"/>
  <c r="R39" i="15"/>
  <c r="R40" i="15"/>
  <c r="R41" i="15"/>
  <c r="R42" i="15"/>
  <c r="R38" i="15"/>
  <c r="N38" i="15" s="1"/>
  <c r="M39" i="15"/>
  <c r="M40" i="15"/>
  <c r="M41" i="15"/>
  <c r="M42" i="15"/>
  <c r="M38" i="15"/>
  <c r="W6" i="15"/>
  <c r="W4" i="15"/>
  <c r="T6" i="15"/>
  <c r="T2" i="15"/>
  <c r="Q6" i="15"/>
  <c r="B12" i="15"/>
  <c r="B13" i="15" s="1"/>
  <c r="B11" i="15"/>
  <c r="B6" i="15"/>
  <c r="B3" i="15"/>
  <c r="W2" i="15"/>
  <c r="N83" i="15" l="1"/>
  <c r="N41" i="15"/>
  <c r="N39" i="15"/>
  <c r="N40" i="15"/>
  <c r="N42" i="15"/>
  <c r="N87" i="15"/>
  <c r="N86" i="15"/>
  <c r="N84" i="15"/>
  <c r="N85" i="15"/>
  <c r="L80" i="14"/>
  <c r="L79" i="14"/>
  <c r="L78" i="14"/>
  <c r="L75" i="14"/>
  <c r="L74" i="14"/>
  <c r="L73" i="14"/>
  <c r="L70" i="14"/>
  <c r="L69" i="14"/>
  <c r="L68" i="14"/>
  <c r="L65" i="14"/>
  <c r="U70" i="14" s="1"/>
  <c r="L64" i="14"/>
  <c r="L63" i="14"/>
  <c r="L60" i="14"/>
  <c r="L59" i="14"/>
  <c r="L58" i="14"/>
  <c r="L55" i="14"/>
  <c r="L54" i="14"/>
  <c r="L53" i="14"/>
  <c r="L50" i="14"/>
  <c r="L49" i="14"/>
  <c r="L48" i="14"/>
  <c r="L45" i="14"/>
  <c r="L44" i="14"/>
  <c r="L43" i="14"/>
  <c r="L40" i="14"/>
  <c r="L39" i="14"/>
  <c r="L38" i="14"/>
  <c r="L35" i="14"/>
  <c r="L34" i="14"/>
  <c r="L33" i="14"/>
  <c r="L30" i="14"/>
  <c r="L29" i="14"/>
  <c r="L28" i="14"/>
  <c r="U27" i="14" s="1"/>
  <c r="L25" i="14"/>
  <c r="L24" i="14"/>
  <c r="L23" i="14"/>
  <c r="L20" i="14"/>
  <c r="L19" i="14"/>
  <c r="L18" i="14"/>
  <c r="U5" i="14" s="1"/>
  <c r="L15" i="14"/>
  <c r="L14" i="14"/>
  <c r="L13" i="14"/>
  <c r="L10" i="14"/>
  <c r="L9" i="14"/>
  <c r="L8" i="14"/>
  <c r="L5" i="14"/>
  <c r="U18" i="14" s="1"/>
  <c r="L4" i="14"/>
  <c r="L3" i="14"/>
  <c r="L162" i="14"/>
  <c r="L161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AA73" i="14"/>
  <c r="X73" i="14"/>
  <c r="U73" i="14"/>
  <c r="R73" i="14"/>
  <c r="AA72" i="14"/>
  <c r="X72" i="14"/>
  <c r="U72" i="14"/>
  <c r="R72" i="14"/>
  <c r="AA71" i="14"/>
  <c r="X71" i="14"/>
  <c r="R71" i="14"/>
  <c r="AA70" i="14"/>
  <c r="X70" i="14"/>
  <c r="R70" i="14"/>
  <c r="U71" i="14"/>
  <c r="AA69" i="14"/>
  <c r="X69" i="14"/>
  <c r="U69" i="14"/>
  <c r="R69" i="14"/>
  <c r="U63" i="14"/>
  <c r="AA68" i="14"/>
  <c r="X68" i="14"/>
  <c r="R68" i="14"/>
  <c r="AA65" i="14"/>
  <c r="X65" i="14"/>
  <c r="U65" i="14"/>
  <c r="R65" i="14"/>
  <c r="AA64" i="14"/>
  <c r="X64" i="14"/>
  <c r="U64" i="14"/>
  <c r="R64" i="14"/>
  <c r="AA63" i="14"/>
  <c r="X63" i="14"/>
  <c r="R63" i="14"/>
  <c r="AA62" i="14"/>
  <c r="X62" i="14"/>
  <c r="U62" i="14"/>
  <c r="R62" i="14"/>
  <c r="AA61" i="14"/>
  <c r="X61" i="14"/>
  <c r="R61" i="14"/>
  <c r="AA60" i="14"/>
  <c r="X60" i="14"/>
  <c r="R60" i="14"/>
  <c r="U61" i="14"/>
  <c r="AA57" i="14"/>
  <c r="X57" i="14"/>
  <c r="U57" i="14"/>
  <c r="R57" i="14"/>
  <c r="AA56" i="14"/>
  <c r="X56" i="14"/>
  <c r="U56" i="14"/>
  <c r="R56" i="14"/>
  <c r="AA55" i="14"/>
  <c r="X55" i="14"/>
  <c r="U55" i="14"/>
  <c r="R55" i="14"/>
  <c r="U68" i="14"/>
  <c r="AA54" i="14"/>
  <c r="X54" i="14"/>
  <c r="U54" i="14"/>
  <c r="R54" i="14"/>
  <c r="U40" i="14"/>
  <c r="AA53" i="14"/>
  <c r="X53" i="14"/>
  <c r="U53" i="14"/>
  <c r="R53" i="14"/>
  <c r="AA52" i="14"/>
  <c r="X52" i="14"/>
  <c r="U52" i="14"/>
  <c r="R52" i="14"/>
  <c r="U47" i="14"/>
  <c r="AA48" i="14"/>
  <c r="X48" i="14"/>
  <c r="U48" i="14"/>
  <c r="R48" i="14"/>
  <c r="U31" i="14"/>
  <c r="AA47" i="14"/>
  <c r="X47" i="14"/>
  <c r="R47" i="14"/>
  <c r="AA46" i="14"/>
  <c r="X46" i="14"/>
  <c r="R46" i="14"/>
  <c r="AA45" i="14"/>
  <c r="X45" i="14"/>
  <c r="R45" i="14"/>
  <c r="U46" i="14"/>
  <c r="AA44" i="14"/>
  <c r="X44" i="14"/>
  <c r="R44" i="14"/>
  <c r="AA43" i="14"/>
  <c r="X43" i="14"/>
  <c r="R43" i="14"/>
  <c r="U30" i="14"/>
  <c r="AA40" i="14"/>
  <c r="X40" i="14"/>
  <c r="R40" i="14"/>
  <c r="U45" i="14"/>
  <c r="AA39" i="14"/>
  <c r="X39" i="14"/>
  <c r="U39" i="14"/>
  <c r="R39" i="14"/>
  <c r="AA38" i="14"/>
  <c r="X38" i="14"/>
  <c r="U38" i="14"/>
  <c r="R38" i="14"/>
  <c r="U29" i="14"/>
  <c r="AA37" i="14"/>
  <c r="X37" i="14"/>
  <c r="U37" i="14"/>
  <c r="R37" i="14"/>
  <c r="AA36" i="14"/>
  <c r="X36" i="14"/>
  <c r="U36" i="14"/>
  <c r="R36" i="14"/>
  <c r="AA35" i="14"/>
  <c r="X35" i="14"/>
  <c r="R35" i="14"/>
  <c r="U44" i="14"/>
  <c r="AA32" i="14"/>
  <c r="X32" i="14"/>
  <c r="U32" i="14"/>
  <c r="R32" i="14"/>
  <c r="AA31" i="14"/>
  <c r="X31" i="14"/>
  <c r="R31" i="14"/>
  <c r="AA30" i="14"/>
  <c r="X30" i="14"/>
  <c r="R30" i="14"/>
  <c r="U43" i="14"/>
  <c r="AA29" i="14"/>
  <c r="X29" i="14"/>
  <c r="R29" i="14"/>
  <c r="U15" i="14"/>
  <c r="AA28" i="14"/>
  <c r="X28" i="14"/>
  <c r="U28" i="14"/>
  <c r="R28" i="14"/>
  <c r="AA27" i="14"/>
  <c r="X27" i="14"/>
  <c r="R27" i="14"/>
  <c r="U22" i="14"/>
  <c r="AA23" i="14"/>
  <c r="X23" i="14"/>
  <c r="R23" i="14"/>
  <c r="AT22" i="14"/>
  <c r="AQ22" i="14"/>
  <c r="AN22" i="14"/>
  <c r="AK22" i="14"/>
  <c r="AA22" i="14"/>
  <c r="X22" i="14"/>
  <c r="R22" i="14"/>
  <c r="AT21" i="14"/>
  <c r="AQ21" i="14"/>
  <c r="AN21" i="14"/>
  <c r="AK21" i="14"/>
  <c r="AA21" i="14"/>
  <c r="X21" i="14"/>
  <c r="U21" i="14"/>
  <c r="R21" i="14"/>
  <c r="AT20" i="14"/>
  <c r="AQ20" i="14"/>
  <c r="AN20" i="14"/>
  <c r="AK20" i="14"/>
  <c r="AA20" i="14"/>
  <c r="X20" i="14"/>
  <c r="U20" i="14"/>
  <c r="R20" i="14"/>
  <c r="AT19" i="14"/>
  <c r="AQ19" i="14"/>
  <c r="AN19" i="14"/>
  <c r="AK19" i="14"/>
  <c r="AA19" i="14"/>
  <c r="X19" i="14"/>
  <c r="U19" i="14"/>
  <c r="R19" i="14"/>
  <c r="AA18" i="14"/>
  <c r="X18" i="14"/>
  <c r="R18" i="14"/>
  <c r="AA15" i="14"/>
  <c r="X15" i="14"/>
  <c r="R15" i="14"/>
  <c r="G15" i="14"/>
  <c r="AT14" i="14"/>
  <c r="AQ14" i="14"/>
  <c r="AN14" i="14"/>
  <c r="AK14" i="14"/>
  <c r="AA14" i="14"/>
  <c r="X14" i="14"/>
  <c r="U14" i="14"/>
  <c r="R14" i="14"/>
  <c r="G14" i="14"/>
  <c r="AT13" i="14"/>
  <c r="AQ13" i="14"/>
  <c r="AN13" i="14"/>
  <c r="AK13" i="14"/>
  <c r="AA13" i="14"/>
  <c r="X13" i="14"/>
  <c r="U13" i="14"/>
  <c r="R13" i="14"/>
  <c r="G13" i="14"/>
  <c r="AT12" i="14"/>
  <c r="AQ12" i="14"/>
  <c r="AN12" i="14"/>
  <c r="AK12" i="14"/>
  <c r="AA12" i="14"/>
  <c r="X12" i="14"/>
  <c r="U12" i="14"/>
  <c r="R12" i="14"/>
  <c r="B12" i="14"/>
  <c r="B13" i="14" s="1"/>
  <c r="AT11" i="14"/>
  <c r="AQ11" i="14"/>
  <c r="AN11" i="14"/>
  <c r="AK11" i="14"/>
  <c r="AA11" i="14"/>
  <c r="X11" i="14"/>
  <c r="U11" i="14"/>
  <c r="R11" i="14"/>
  <c r="E11" i="14"/>
  <c r="E15" i="14" s="1"/>
  <c r="B11" i="14"/>
  <c r="AQ10" i="14"/>
  <c r="AA10" i="14"/>
  <c r="X10" i="14"/>
  <c r="U10" i="14"/>
  <c r="R10" i="14"/>
  <c r="E10" i="14"/>
  <c r="E14" i="14" s="1"/>
  <c r="E9" i="14"/>
  <c r="AA7" i="14"/>
  <c r="X7" i="14"/>
  <c r="U7" i="14"/>
  <c r="R7" i="14"/>
  <c r="AT6" i="14"/>
  <c r="AQ6" i="14"/>
  <c r="AN6" i="14"/>
  <c r="AK6" i="14"/>
  <c r="AA6" i="14"/>
  <c r="X6" i="14"/>
  <c r="U6" i="14"/>
  <c r="R6" i="14"/>
  <c r="B6" i="14"/>
  <c r="AT5" i="14"/>
  <c r="AQ5" i="14"/>
  <c r="AN5" i="14"/>
  <c r="AK5" i="14"/>
  <c r="AG5" i="14"/>
  <c r="AT18" i="14" s="1"/>
  <c r="AF5" i="14"/>
  <c r="AQ18" i="14" s="1"/>
  <c r="AE5" i="14"/>
  <c r="AN18" i="14" s="1"/>
  <c r="AD5" i="14"/>
  <c r="AK18" i="14" s="1"/>
  <c r="AA5" i="14"/>
  <c r="X5" i="14"/>
  <c r="R5" i="14"/>
  <c r="AT4" i="14"/>
  <c r="AQ4" i="14"/>
  <c r="AN4" i="14"/>
  <c r="AK4" i="14"/>
  <c r="AG4" i="14"/>
  <c r="AT10" i="14" s="1"/>
  <c r="AF4" i="14"/>
  <c r="AE4" i="14"/>
  <c r="AN10" i="14" s="1"/>
  <c r="AD4" i="14"/>
  <c r="AK10" i="14" s="1"/>
  <c r="AA4" i="14"/>
  <c r="X4" i="14"/>
  <c r="U4" i="14"/>
  <c r="R4" i="14"/>
  <c r="AT3" i="14"/>
  <c r="AQ3" i="14"/>
  <c r="AN3" i="14"/>
  <c r="AK3" i="14"/>
  <c r="AG3" i="14"/>
  <c r="AF3" i="14"/>
  <c r="AQ2" i="14" s="1"/>
  <c r="AE3" i="14"/>
  <c r="AN2" i="14" s="1"/>
  <c r="AD3" i="14"/>
  <c r="AK2" i="14" s="1"/>
  <c r="AA3" i="14"/>
  <c r="X3" i="14"/>
  <c r="U3" i="14"/>
  <c r="R3" i="14"/>
  <c r="B3" i="14"/>
  <c r="AT2" i="14"/>
  <c r="AA2" i="14"/>
  <c r="X2" i="14"/>
  <c r="U2" i="14"/>
  <c r="R2" i="14"/>
  <c r="F14" i="14" l="1"/>
  <c r="U35" i="14"/>
  <c r="U60" i="14"/>
  <c r="E13" i="14"/>
  <c r="F15" i="14"/>
  <c r="U23" i="14"/>
  <c r="F13" i="14"/>
  <c r="Y86" i="13"/>
  <c r="Y85" i="13"/>
  <c r="Y84" i="13"/>
  <c r="X86" i="13"/>
  <c r="X85" i="13"/>
  <c r="X84" i="13"/>
  <c r="W86" i="13"/>
  <c r="W85" i="13"/>
  <c r="W84" i="13"/>
  <c r="V86" i="13"/>
  <c r="V85" i="13"/>
  <c r="V84" i="13"/>
  <c r="U86" i="13"/>
  <c r="U85" i="13"/>
  <c r="U84" i="13"/>
  <c r="T86" i="13"/>
  <c r="T85" i="13"/>
  <c r="T84" i="13"/>
  <c r="S86" i="13"/>
  <c r="S85" i="13"/>
  <c r="S84" i="13"/>
  <c r="R86" i="13"/>
  <c r="R85" i="13"/>
  <c r="R84" i="13"/>
  <c r="Q86" i="13"/>
  <c r="Q85" i="13"/>
  <c r="Q84" i="13"/>
  <c r="P86" i="13"/>
  <c r="P85" i="13"/>
  <c r="P84" i="13"/>
  <c r="O86" i="13"/>
  <c r="O85" i="13"/>
  <c r="O84" i="13"/>
  <c r="N86" i="13"/>
  <c r="N85" i="13"/>
  <c r="N84" i="13"/>
  <c r="E10" i="13" l="1"/>
  <c r="E11" i="13"/>
  <c r="L80" i="13" l="1"/>
  <c r="L79" i="13"/>
  <c r="L78" i="13"/>
  <c r="L75" i="13"/>
  <c r="L74" i="13"/>
  <c r="L73" i="13"/>
  <c r="L68" i="13"/>
  <c r="L69" i="13"/>
  <c r="L70" i="13"/>
  <c r="L65" i="13"/>
  <c r="L64" i="13"/>
  <c r="L63" i="13"/>
  <c r="L60" i="13"/>
  <c r="L59" i="13"/>
  <c r="L58" i="13"/>
  <c r="L55" i="13"/>
  <c r="L54" i="13"/>
  <c r="L53" i="13"/>
  <c r="L50" i="13"/>
  <c r="L49" i="13"/>
  <c r="L48" i="13"/>
  <c r="L45" i="13"/>
  <c r="L44" i="13"/>
  <c r="L43" i="13"/>
  <c r="L40" i="13"/>
  <c r="L39" i="13"/>
  <c r="L38" i="13"/>
  <c r="L35" i="13"/>
  <c r="L34" i="13"/>
  <c r="L33" i="13"/>
  <c r="L30" i="13"/>
  <c r="L29" i="13"/>
  <c r="L28" i="13"/>
  <c r="L25" i="13"/>
  <c r="L24" i="13"/>
  <c r="L23" i="13"/>
  <c r="L162" i="13" l="1"/>
  <c r="L161" i="13"/>
  <c r="AA73" i="13" l="1"/>
  <c r="X73" i="13"/>
  <c r="U73" i="13"/>
  <c r="R73" i="13"/>
  <c r="AA72" i="13"/>
  <c r="X72" i="13"/>
  <c r="U72" i="13"/>
  <c r="R72" i="13"/>
  <c r="AA71" i="13"/>
  <c r="X71" i="13"/>
  <c r="U71" i="13"/>
  <c r="R71" i="13"/>
  <c r="AA70" i="13"/>
  <c r="X70" i="13"/>
  <c r="U70" i="13"/>
  <c r="R70" i="13"/>
  <c r="AA69" i="13"/>
  <c r="X69" i="13"/>
  <c r="R69" i="13"/>
  <c r="AA68" i="13"/>
  <c r="X68" i="13"/>
  <c r="R68" i="13"/>
  <c r="U65" i="13"/>
  <c r="R65" i="13"/>
  <c r="U64" i="13"/>
  <c r="R64" i="13"/>
  <c r="U63" i="13"/>
  <c r="R63" i="13"/>
  <c r="U62" i="13"/>
  <c r="R62" i="13"/>
  <c r="AA61" i="13"/>
  <c r="X61" i="13"/>
  <c r="R61" i="13"/>
  <c r="AA60" i="13"/>
  <c r="X60" i="13"/>
  <c r="R60" i="13"/>
  <c r="AA57" i="13"/>
  <c r="X57" i="13"/>
  <c r="U57" i="13"/>
  <c r="R57" i="13"/>
  <c r="AA56" i="13"/>
  <c r="X56" i="13"/>
  <c r="U56" i="13"/>
  <c r="R56" i="13"/>
  <c r="AA55" i="13"/>
  <c r="X55" i="13"/>
  <c r="U55" i="13"/>
  <c r="R55" i="13"/>
  <c r="AA54" i="13"/>
  <c r="X54" i="13"/>
  <c r="U54" i="13"/>
  <c r="R54" i="13"/>
  <c r="AA53" i="13"/>
  <c r="X53" i="13"/>
  <c r="R53" i="13"/>
  <c r="AA52" i="13"/>
  <c r="X52" i="13"/>
  <c r="R52" i="13"/>
  <c r="AA48" i="13"/>
  <c r="X48" i="13"/>
  <c r="R48" i="13"/>
  <c r="AA47" i="13"/>
  <c r="X47" i="13"/>
  <c r="U47" i="13"/>
  <c r="R47" i="13"/>
  <c r="AA46" i="13"/>
  <c r="X46" i="13"/>
  <c r="U46" i="13"/>
  <c r="R46" i="13"/>
  <c r="AA45" i="13"/>
  <c r="X45" i="13"/>
  <c r="U45" i="13"/>
  <c r="R45" i="13"/>
  <c r="AA44" i="13"/>
  <c r="X44" i="13"/>
  <c r="U44" i="13"/>
  <c r="R44" i="13"/>
  <c r="AA43" i="13"/>
  <c r="X43" i="13"/>
  <c r="R43" i="13"/>
  <c r="AA40" i="13"/>
  <c r="X40" i="13"/>
  <c r="R40" i="13"/>
  <c r="U39" i="13"/>
  <c r="R39" i="13"/>
  <c r="U38" i="13"/>
  <c r="R38" i="13"/>
  <c r="U37" i="13"/>
  <c r="R37" i="13"/>
  <c r="AA36" i="13"/>
  <c r="U36" i="13"/>
  <c r="R36" i="13"/>
  <c r="AA35" i="13"/>
  <c r="X35" i="13"/>
  <c r="R35" i="13"/>
  <c r="AA32" i="13"/>
  <c r="X32" i="13"/>
  <c r="R32" i="13"/>
  <c r="AA31" i="13"/>
  <c r="X31" i="13"/>
  <c r="U31" i="13"/>
  <c r="R31" i="13"/>
  <c r="AA30" i="13"/>
  <c r="X30" i="13"/>
  <c r="U30" i="13"/>
  <c r="R30" i="13"/>
  <c r="AA29" i="13"/>
  <c r="X29" i="13"/>
  <c r="U29" i="13"/>
  <c r="R29" i="13"/>
  <c r="AA28" i="13"/>
  <c r="X28" i="13"/>
  <c r="U28" i="13"/>
  <c r="R28" i="13"/>
  <c r="AA27" i="13"/>
  <c r="X27" i="13"/>
  <c r="R27" i="13"/>
  <c r="AA65" i="13"/>
  <c r="X65" i="13"/>
  <c r="AA64" i="13"/>
  <c r="X64" i="13"/>
  <c r="AA63" i="13"/>
  <c r="X63" i="13"/>
  <c r="AA62" i="13"/>
  <c r="X62" i="13"/>
  <c r="U69" i="13"/>
  <c r="U61" i="13"/>
  <c r="U53" i="13"/>
  <c r="U48" i="13"/>
  <c r="U40" i="13"/>
  <c r="U52" i="13"/>
  <c r="AA39" i="13"/>
  <c r="X39" i="13"/>
  <c r="AA38" i="13"/>
  <c r="X38" i="13"/>
  <c r="AA37" i="13"/>
  <c r="X37" i="13"/>
  <c r="X36" i="13"/>
  <c r="U32" i="13" l="1"/>
  <c r="U68" i="13"/>
  <c r="U60" i="13"/>
  <c r="U43" i="13"/>
  <c r="U35" i="13"/>
  <c r="U27" i="13"/>
  <c r="H25" i="9" l="1"/>
  <c r="H24" i="9"/>
  <c r="H23" i="9"/>
  <c r="H30" i="9"/>
  <c r="H29" i="9"/>
  <c r="H28" i="9"/>
  <c r="H20" i="9"/>
  <c r="H19" i="9"/>
  <c r="H18" i="9"/>
  <c r="H5" i="9" l="1"/>
  <c r="H4" i="9"/>
  <c r="H3" i="9"/>
  <c r="H15" i="9"/>
  <c r="H14" i="9"/>
  <c r="H13" i="9"/>
  <c r="H10" i="9"/>
  <c r="H9" i="9"/>
  <c r="H8" i="9"/>
  <c r="G14" i="13" l="1"/>
  <c r="G15" i="13"/>
  <c r="G13" i="13"/>
  <c r="E14" i="13" l="1"/>
  <c r="E15" i="13"/>
  <c r="E9" i="13"/>
  <c r="E13" i="13" s="1"/>
  <c r="B12" i="13" l="1"/>
  <c r="B6" i="13"/>
  <c r="B3" i="13"/>
  <c r="AS89" i="8" l="1"/>
  <c r="AP89" i="8"/>
  <c r="AM89" i="8"/>
  <c r="AJ89" i="8"/>
  <c r="AS81" i="8"/>
  <c r="AP81" i="8"/>
  <c r="AM81" i="8"/>
  <c r="AJ81" i="8"/>
  <c r="AS73" i="8"/>
  <c r="AP73" i="8"/>
  <c r="AM73" i="8"/>
  <c r="AJ73" i="8"/>
  <c r="AS54" i="8"/>
  <c r="AP54" i="8"/>
  <c r="AM54" i="8"/>
  <c r="AJ54" i="8"/>
  <c r="AS46" i="8"/>
  <c r="AP46" i="8"/>
  <c r="AM46" i="8"/>
  <c r="AJ46" i="8"/>
  <c r="AS38" i="8"/>
  <c r="AP38" i="8"/>
  <c r="AM38" i="8"/>
  <c r="AJ38" i="8"/>
  <c r="N9" i="1" l="1"/>
  <c r="N8" i="1"/>
  <c r="M7" i="1" l="1"/>
  <c r="M4" i="1"/>
  <c r="C14" i="18" l="1"/>
  <c r="X11" i="13" l="1"/>
  <c r="X10" i="13"/>
  <c r="X15" i="13"/>
  <c r="X2" i="13"/>
  <c r="X3" i="13"/>
  <c r="X4" i="13"/>
  <c r="X5" i="13"/>
  <c r="X6" i="13"/>
  <c r="X7" i="13"/>
  <c r="AD3" i="13" l="1"/>
  <c r="AK2" i="13" s="1"/>
  <c r="AE3" i="13"/>
  <c r="AF3" i="13"/>
  <c r="AQ2" i="13" s="1"/>
  <c r="AG3" i="13"/>
  <c r="AT2" i="13" s="1"/>
  <c r="AD4" i="13"/>
  <c r="AK10" i="13" s="1"/>
  <c r="AE4" i="13"/>
  <c r="AN10" i="13" s="1"/>
  <c r="AF4" i="13"/>
  <c r="AQ10" i="13" s="1"/>
  <c r="AG4" i="13"/>
  <c r="AT10" i="13" s="1"/>
  <c r="AD5" i="13"/>
  <c r="AK18" i="13" s="1"/>
  <c r="AE5" i="13"/>
  <c r="AF5" i="13"/>
  <c r="AQ18" i="13" s="1"/>
  <c r="AG5" i="13"/>
  <c r="AT18" i="13" s="1"/>
  <c r="F13" i="13"/>
  <c r="AA23" i="13"/>
  <c r="X23" i="13"/>
  <c r="U23" i="13"/>
  <c r="R23" i="13"/>
  <c r="AT22" i="13"/>
  <c r="AQ22" i="13"/>
  <c r="AN22" i="13"/>
  <c r="AK22" i="13"/>
  <c r="AA22" i="13"/>
  <c r="X22" i="13"/>
  <c r="U22" i="13"/>
  <c r="R22" i="13"/>
  <c r="AT21" i="13"/>
  <c r="AQ21" i="13"/>
  <c r="AN21" i="13"/>
  <c r="AK21" i="13"/>
  <c r="AA21" i="13"/>
  <c r="X21" i="13"/>
  <c r="U21" i="13"/>
  <c r="R21" i="13"/>
  <c r="AT20" i="13"/>
  <c r="AQ20" i="13"/>
  <c r="AN20" i="13"/>
  <c r="AK20" i="13"/>
  <c r="AA20" i="13"/>
  <c r="X20" i="13"/>
  <c r="U20" i="13"/>
  <c r="R20" i="13"/>
  <c r="AT19" i="13"/>
  <c r="AQ19" i="13"/>
  <c r="AN19" i="13"/>
  <c r="AK19" i="13"/>
  <c r="AA19" i="13"/>
  <c r="X19" i="13"/>
  <c r="U19" i="13"/>
  <c r="R19" i="13"/>
  <c r="AA18" i="13"/>
  <c r="X18" i="13"/>
  <c r="R18" i="13"/>
  <c r="AA15" i="13"/>
  <c r="U15" i="13"/>
  <c r="R15" i="13"/>
  <c r="AT14" i="13"/>
  <c r="AQ14" i="13"/>
  <c r="AN14" i="13"/>
  <c r="AK14" i="13"/>
  <c r="AA14" i="13"/>
  <c r="X14" i="13"/>
  <c r="U14" i="13"/>
  <c r="R14" i="13"/>
  <c r="AT13" i="13"/>
  <c r="AQ13" i="13"/>
  <c r="AN13" i="13"/>
  <c r="AK13" i="13"/>
  <c r="AA13" i="13"/>
  <c r="X13" i="13"/>
  <c r="U13" i="13"/>
  <c r="R13" i="13"/>
  <c r="AT12" i="13"/>
  <c r="AQ12" i="13"/>
  <c r="AN12" i="13"/>
  <c r="AK12" i="13"/>
  <c r="AA12" i="13"/>
  <c r="X12" i="13"/>
  <c r="U12" i="13"/>
  <c r="R12" i="13"/>
  <c r="B13" i="13"/>
  <c r="AT11" i="13"/>
  <c r="AQ11" i="13"/>
  <c r="AN11" i="13"/>
  <c r="AK11" i="13"/>
  <c r="AA11" i="13"/>
  <c r="U11" i="13"/>
  <c r="R11" i="13"/>
  <c r="AA10" i="13"/>
  <c r="U10" i="13"/>
  <c r="R10" i="13"/>
  <c r="AA7" i="13"/>
  <c r="U7" i="13"/>
  <c r="R7" i="13"/>
  <c r="AT6" i="13"/>
  <c r="AQ6" i="13"/>
  <c r="AN6" i="13"/>
  <c r="AK6" i="13"/>
  <c r="AA6" i="13"/>
  <c r="U6" i="13"/>
  <c r="R6" i="13"/>
  <c r="AT5" i="13"/>
  <c r="AQ5" i="13"/>
  <c r="AN5" i="13"/>
  <c r="AK5" i="13"/>
  <c r="AA5" i="13"/>
  <c r="U5" i="13"/>
  <c r="R5" i="13"/>
  <c r="U18" i="13"/>
  <c r="AT4" i="13"/>
  <c r="AQ4" i="13"/>
  <c r="AN4" i="13"/>
  <c r="AK4" i="13"/>
  <c r="AA4" i="13"/>
  <c r="U4" i="13"/>
  <c r="R4" i="13"/>
  <c r="AT3" i="13"/>
  <c r="AQ3" i="13"/>
  <c r="AN3" i="13"/>
  <c r="AK3" i="13"/>
  <c r="AA3" i="13"/>
  <c r="U3" i="13"/>
  <c r="R3" i="13"/>
  <c r="U2" i="13"/>
  <c r="AA2" i="13"/>
  <c r="R2" i="13"/>
  <c r="F15" i="13" l="1"/>
  <c r="F14" i="13"/>
  <c r="AN2" i="13"/>
  <c r="AN18" i="13"/>
  <c r="AA23" i="12" l="1"/>
  <c r="X23" i="12"/>
  <c r="U23" i="12"/>
  <c r="R23" i="12"/>
  <c r="AA22" i="12"/>
  <c r="X22" i="12"/>
  <c r="U22" i="12"/>
  <c r="R22" i="12"/>
  <c r="AA21" i="12"/>
  <c r="X21" i="12"/>
  <c r="U21" i="12"/>
  <c r="R21" i="12"/>
  <c r="AA20" i="12"/>
  <c r="X20" i="12"/>
  <c r="U20" i="12"/>
  <c r="R20" i="12"/>
  <c r="AA19" i="12"/>
  <c r="X19" i="12"/>
  <c r="U19" i="12"/>
  <c r="R19" i="12"/>
  <c r="AA18" i="12"/>
  <c r="X18" i="12"/>
  <c r="U18" i="12"/>
  <c r="R18" i="12"/>
  <c r="AA15" i="12"/>
  <c r="X15" i="12"/>
  <c r="U15" i="12"/>
  <c r="R15" i="12"/>
  <c r="AA14" i="12"/>
  <c r="X14" i="12"/>
  <c r="U14" i="12"/>
  <c r="R14" i="12"/>
  <c r="AA13" i="12"/>
  <c r="X13" i="12"/>
  <c r="U13" i="12"/>
  <c r="R13" i="12"/>
  <c r="AA12" i="12"/>
  <c r="X12" i="12"/>
  <c r="U12" i="12"/>
  <c r="R12" i="12"/>
  <c r="AA11" i="12"/>
  <c r="X11" i="12"/>
  <c r="U11" i="12"/>
  <c r="R11" i="12"/>
  <c r="AA10" i="12"/>
  <c r="X10" i="12"/>
  <c r="U10" i="12"/>
  <c r="R10" i="12"/>
  <c r="AA7" i="12"/>
  <c r="X7" i="12"/>
  <c r="U7" i="12"/>
  <c r="R7" i="12"/>
  <c r="AA6" i="12"/>
  <c r="X6" i="12"/>
  <c r="U6" i="12"/>
  <c r="R6" i="12"/>
  <c r="AA5" i="12"/>
  <c r="X5" i="12"/>
  <c r="U5" i="12"/>
  <c r="R5" i="12"/>
  <c r="AA4" i="12"/>
  <c r="X4" i="12"/>
  <c r="U4" i="12"/>
  <c r="R4" i="12"/>
  <c r="AA3" i="12"/>
  <c r="X3" i="12"/>
  <c r="U3" i="12"/>
  <c r="R3" i="12"/>
  <c r="AA2" i="12"/>
  <c r="X2" i="12"/>
  <c r="U2" i="12"/>
  <c r="R2" i="12"/>
  <c r="E11" i="12" l="1"/>
  <c r="E15" i="12" s="1"/>
  <c r="E10" i="12"/>
  <c r="E9" i="12"/>
  <c r="F15" i="12" s="1"/>
  <c r="AT22" i="12"/>
  <c r="AQ22" i="12"/>
  <c r="AN22" i="12"/>
  <c r="AK22" i="12"/>
  <c r="AT21" i="12"/>
  <c r="AQ21" i="12"/>
  <c r="AN21" i="12"/>
  <c r="AK21" i="12"/>
  <c r="AT20" i="12"/>
  <c r="AQ20" i="12"/>
  <c r="AN20" i="12"/>
  <c r="AK20" i="12"/>
  <c r="AT19" i="12"/>
  <c r="AQ19" i="12"/>
  <c r="AN19" i="12"/>
  <c r="AK19" i="12"/>
  <c r="AT14" i="12"/>
  <c r="AQ14" i="12"/>
  <c r="AN14" i="12"/>
  <c r="AK14" i="12"/>
  <c r="AT13" i="12"/>
  <c r="AQ13" i="12"/>
  <c r="AN13" i="12"/>
  <c r="AK13" i="12"/>
  <c r="AT12" i="12"/>
  <c r="AQ12" i="12"/>
  <c r="AN12" i="12"/>
  <c r="AK12" i="12"/>
  <c r="AT11" i="12"/>
  <c r="AQ11" i="12"/>
  <c r="AN11" i="12"/>
  <c r="AK11" i="12"/>
  <c r="AT6" i="12"/>
  <c r="AQ6" i="12"/>
  <c r="AN6" i="12"/>
  <c r="AK6" i="12"/>
  <c r="B6" i="12"/>
  <c r="AT5" i="12"/>
  <c r="AQ5" i="12"/>
  <c r="AN5" i="12"/>
  <c r="AK5" i="12"/>
  <c r="AG5" i="12"/>
  <c r="AT18" i="12" s="1"/>
  <c r="AF5" i="12"/>
  <c r="AQ18" i="12" s="1"/>
  <c r="AE5" i="12"/>
  <c r="AN18" i="12" s="1"/>
  <c r="AD5" i="12"/>
  <c r="AK18" i="12" s="1"/>
  <c r="AT4" i="12"/>
  <c r="AQ4" i="12"/>
  <c r="AN4" i="12"/>
  <c r="AK4" i="12"/>
  <c r="AG4" i="12"/>
  <c r="AT10" i="12" s="1"/>
  <c r="AF4" i="12"/>
  <c r="AQ10" i="12" s="1"/>
  <c r="AE4" i="12"/>
  <c r="AN10" i="12" s="1"/>
  <c r="AD4" i="12"/>
  <c r="AK10" i="12" s="1"/>
  <c r="AT3" i="12"/>
  <c r="AQ3" i="12"/>
  <c r="AN3" i="12"/>
  <c r="AK3" i="12"/>
  <c r="AG3" i="12"/>
  <c r="AT2" i="12" s="1"/>
  <c r="AF3" i="12"/>
  <c r="AQ2" i="12" s="1"/>
  <c r="AE3" i="12"/>
  <c r="AN2" i="12" s="1"/>
  <c r="AD3" i="12"/>
  <c r="AK2" i="12" s="1"/>
  <c r="B3" i="12"/>
  <c r="E13" i="12" l="1"/>
  <c r="E14" i="12"/>
  <c r="F13" i="12"/>
  <c r="F14" i="12"/>
  <c r="AF75" i="8" l="1"/>
  <c r="AS88" i="8" s="1"/>
  <c r="AE75" i="8"/>
  <c r="AP88" i="8" s="1"/>
  <c r="AD75" i="8"/>
  <c r="AM88" i="8" s="1"/>
  <c r="AC75" i="8"/>
  <c r="AJ88" i="8" s="1"/>
  <c r="AF74" i="8"/>
  <c r="AS80" i="8" s="1"/>
  <c r="AE74" i="8"/>
  <c r="AP80" i="8" s="1"/>
  <c r="AD74" i="8"/>
  <c r="AM80" i="8" s="1"/>
  <c r="AC74" i="8"/>
  <c r="AJ80" i="8" s="1"/>
  <c r="AF73" i="8"/>
  <c r="AS72" i="8" s="1"/>
  <c r="AE73" i="8"/>
  <c r="AP72" i="8" s="1"/>
  <c r="AD73" i="8"/>
  <c r="AM72" i="8" s="1"/>
  <c r="AC73" i="8"/>
  <c r="AJ72" i="8" s="1"/>
  <c r="AS53" i="8"/>
  <c r="AP53" i="8"/>
  <c r="AM53" i="8"/>
  <c r="AJ53" i="8"/>
  <c r="AS45" i="8"/>
  <c r="AP45" i="8"/>
  <c r="AM45" i="8"/>
  <c r="AJ45" i="8"/>
  <c r="AF38" i="8"/>
  <c r="AS37" i="8" s="1"/>
  <c r="AE38" i="8"/>
  <c r="AP37" i="8" s="1"/>
  <c r="AD38" i="8"/>
  <c r="AM37" i="8" s="1"/>
  <c r="AC38" i="8"/>
  <c r="AJ37" i="8" s="1"/>
  <c r="Z93" i="8" l="1"/>
  <c r="W93" i="8"/>
  <c r="T93" i="8"/>
  <c r="Q93" i="8"/>
  <c r="Z92" i="8"/>
  <c r="W92" i="8"/>
  <c r="T92" i="8"/>
  <c r="Q92" i="8"/>
  <c r="Z91" i="8"/>
  <c r="W91" i="8"/>
  <c r="T91" i="8"/>
  <c r="Q91" i="8"/>
  <c r="Z90" i="8"/>
  <c r="W90" i="8"/>
  <c r="T90" i="8"/>
  <c r="Q90" i="8"/>
  <c r="Z89" i="8"/>
  <c r="W89" i="8"/>
  <c r="T89" i="8"/>
  <c r="Q89" i="8"/>
  <c r="Z88" i="8"/>
  <c r="W88" i="8"/>
  <c r="T88" i="8"/>
  <c r="Q88" i="8"/>
  <c r="E86" i="8"/>
  <c r="E91" i="8" s="1"/>
  <c r="Z85" i="8"/>
  <c r="W85" i="8"/>
  <c r="T85" i="8"/>
  <c r="Q85" i="8"/>
  <c r="E85" i="8"/>
  <c r="Z84" i="8"/>
  <c r="W84" i="8"/>
  <c r="T84" i="8"/>
  <c r="Q84" i="8"/>
  <c r="E84" i="8"/>
  <c r="Z83" i="8"/>
  <c r="W83" i="8"/>
  <c r="T83" i="8"/>
  <c r="Q83" i="8"/>
  <c r="Z82" i="8"/>
  <c r="W82" i="8"/>
  <c r="T82" i="8"/>
  <c r="Q82" i="8"/>
  <c r="B82" i="8"/>
  <c r="B83" i="8" s="1"/>
  <c r="Z81" i="8"/>
  <c r="W81" i="8"/>
  <c r="T81" i="8"/>
  <c r="Q81" i="8"/>
  <c r="Z80" i="8"/>
  <c r="W80" i="8"/>
  <c r="T80" i="8"/>
  <c r="Q80" i="8"/>
  <c r="Z77" i="8"/>
  <c r="W77" i="8"/>
  <c r="T77" i="8"/>
  <c r="Q77" i="8"/>
  <c r="Z76" i="8"/>
  <c r="W76" i="8"/>
  <c r="T76" i="8"/>
  <c r="Q76" i="8"/>
  <c r="Z75" i="8"/>
  <c r="W75" i="8"/>
  <c r="T75" i="8"/>
  <c r="Q75" i="8"/>
  <c r="Z74" i="8"/>
  <c r="W74" i="8"/>
  <c r="T74" i="8"/>
  <c r="Q74" i="8"/>
  <c r="Z73" i="8"/>
  <c r="W73" i="8"/>
  <c r="T73" i="8"/>
  <c r="Q73" i="8"/>
  <c r="Z72" i="8"/>
  <c r="W72" i="8"/>
  <c r="T72" i="8"/>
  <c r="Q72" i="8"/>
  <c r="F89" i="8" l="1"/>
  <c r="F91" i="8"/>
  <c r="E90" i="8"/>
  <c r="F90" i="8"/>
  <c r="E89" i="8"/>
  <c r="AC38" i="11"/>
  <c r="AD38" i="11"/>
  <c r="AE38" i="11"/>
  <c r="AF38" i="11"/>
  <c r="AC39" i="11"/>
  <c r="AD39" i="11"/>
  <c r="AE39" i="11"/>
  <c r="AF39" i="11"/>
  <c r="AC40" i="11"/>
  <c r="AD40" i="11"/>
  <c r="AE40" i="11"/>
  <c r="AF40" i="11"/>
  <c r="AS90" i="11" l="1"/>
  <c r="AP90" i="11"/>
  <c r="AM90" i="11"/>
  <c r="AJ90" i="11"/>
  <c r="AS89" i="11"/>
  <c r="AP89" i="11"/>
  <c r="AM89" i="11"/>
  <c r="AJ89" i="11"/>
  <c r="AS82" i="11"/>
  <c r="AP82" i="11"/>
  <c r="AM82" i="11"/>
  <c r="AJ82" i="11"/>
  <c r="AS81" i="11"/>
  <c r="AP81" i="11"/>
  <c r="AM81" i="11"/>
  <c r="AJ81" i="11"/>
  <c r="AF75" i="11"/>
  <c r="AS88" i="11" s="1"/>
  <c r="AE75" i="11"/>
  <c r="AP88" i="11" s="1"/>
  <c r="AD75" i="11"/>
  <c r="AM88" i="11" s="1"/>
  <c r="AC75" i="11"/>
  <c r="AJ88" i="11" s="1"/>
  <c r="AS74" i="11"/>
  <c r="AP74" i="11"/>
  <c r="AM74" i="11"/>
  <c r="AJ74" i="11"/>
  <c r="AF74" i="11"/>
  <c r="AS80" i="11" s="1"/>
  <c r="AE74" i="11"/>
  <c r="AP80" i="11" s="1"/>
  <c r="AD74" i="11"/>
  <c r="AM80" i="11" s="1"/>
  <c r="AC74" i="11"/>
  <c r="AJ80" i="11" s="1"/>
  <c r="AS73" i="11"/>
  <c r="AP73" i="11"/>
  <c r="AM73" i="11"/>
  <c r="AJ73" i="11"/>
  <c r="AF73" i="11"/>
  <c r="AE73" i="11"/>
  <c r="AD73" i="11"/>
  <c r="AC73" i="11"/>
  <c r="AS72" i="11"/>
  <c r="AP72" i="11"/>
  <c r="AM72" i="11"/>
  <c r="AJ72" i="11"/>
  <c r="AS55" i="11"/>
  <c r="AP55" i="11"/>
  <c r="AM55" i="11"/>
  <c r="AJ55" i="11"/>
  <c r="AS54" i="11"/>
  <c r="AP54" i="11"/>
  <c r="AM54" i="11"/>
  <c r="AJ54" i="11"/>
  <c r="AS47" i="11"/>
  <c r="AP47" i="11"/>
  <c r="AM47" i="11"/>
  <c r="AJ47" i="11"/>
  <c r="AS46" i="11"/>
  <c r="AP46" i="11"/>
  <c r="AM46" i="11"/>
  <c r="AJ46" i="11"/>
  <c r="AS53" i="11"/>
  <c r="AP53" i="11"/>
  <c r="AM53" i="11"/>
  <c r="AJ53" i="11"/>
  <c r="AS39" i="11"/>
  <c r="AP39" i="11"/>
  <c r="AM39" i="11"/>
  <c r="AJ39" i="11"/>
  <c r="AS45" i="11"/>
  <c r="AP45" i="11"/>
  <c r="AM45" i="11"/>
  <c r="AJ45" i="11"/>
  <c r="AS38" i="11"/>
  <c r="AP38" i="11"/>
  <c r="AM38" i="11"/>
  <c r="AJ38" i="11"/>
  <c r="AS37" i="11"/>
  <c r="AP37" i="11"/>
  <c r="AM37" i="11"/>
  <c r="AJ37" i="11"/>
  <c r="Z93" i="11" l="1"/>
  <c r="W93" i="11"/>
  <c r="T93" i="11"/>
  <c r="Q93" i="11"/>
  <c r="Z92" i="11"/>
  <c r="W92" i="11"/>
  <c r="T92" i="11"/>
  <c r="Q92" i="11"/>
  <c r="Z91" i="11"/>
  <c r="W91" i="11"/>
  <c r="T91" i="11"/>
  <c r="Q91" i="11"/>
  <c r="F91" i="11"/>
  <c r="E91" i="11"/>
  <c r="Z90" i="11"/>
  <c r="W90" i="11"/>
  <c r="T90" i="11"/>
  <c r="Q90" i="11"/>
  <c r="F90" i="11"/>
  <c r="E90" i="11"/>
  <c r="Z89" i="11"/>
  <c r="W89" i="11"/>
  <c r="T89" i="11"/>
  <c r="Q89" i="11"/>
  <c r="F89" i="11"/>
  <c r="E89" i="11"/>
  <c r="Z88" i="11"/>
  <c r="W88" i="11"/>
  <c r="T88" i="11"/>
  <c r="Q88" i="11"/>
  <c r="Z85" i="11"/>
  <c r="W85" i="11"/>
  <c r="T85" i="11"/>
  <c r="Q85" i="11"/>
  <c r="Z84" i="11"/>
  <c r="W84" i="11"/>
  <c r="T84" i="11"/>
  <c r="Q84" i="11"/>
  <c r="Z83" i="11"/>
  <c r="W83" i="11"/>
  <c r="T83" i="11"/>
  <c r="Q83" i="11"/>
  <c r="Z82" i="11"/>
  <c r="W82" i="11"/>
  <c r="T82" i="11"/>
  <c r="Q82" i="11"/>
  <c r="B82" i="11"/>
  <c r="B83" i="11" s="1"/>
  <c r="Z81" i="11"/>
  <c r="W81" i="11"/>
  <c r="T81" i="11"/>
  <c r="Q81" i="11"/>
  <c r="Z80" i="11"/>
  <c r="W80" i="11"/>
  <c r="T80" i="11"/>
  <c r="Q80" i="11"/>
  <c r="Z77" i="11"/>
  <c r="W77" i="11"/>
  <c r="T77" i="11"/>
  <c r="Q77" i="11"/>
  <c r="Z76" i="11"/>
  <c r="W76" i="11"/>
  <c r="T76" i="11"/>
  <c r="Q76" i="11"/>
  <c r="Z75" i="11"/>
  <c r="W75" i="11"/>
  <c r="T75" i="11"/>
  <c r="Q75" i="11"/>
  <c r="Z74" i="11"/>
  <c r="W74" i="11"/>
  <c r="T74" i="11"/>
  <c r="Q74" i="11"/>
  <c r="Z73" i="11"/>
  <c r="W73" i="11"/>
  <c r="T73" i="11"/>
  <c r="Q73" i="11"/>
  <c r="Z72" i="11"/>
  <c r="W72" i="11"/>
  <c r="T72" i="11"/>
  <c r="Q72" i="11"/>
  <c r="Z58" i="11" l="1"/>
  <c r="W58" i="11"/>
  <c r="T58" i="11"/>
  <c r="Q58" i="11"/>
  <c r="Z57" i="11"/>
  <c r="W57" i="11"/>
  <c r="T57" i="11"/>
  <c r="Q57" i="11"/>
  <c r="Z56" i="11"/>
  <c r="W56" i="11"/>
  <c r="T56" i="11"/>
  <c r="Q56" i="11"/>
  <c r="Z55" i="11"/>
  <c r="W55" i="11"/>
  <c r="T55" i="11"/>
  <c r="Q55" i="11"/>
  <c r="E55" i="11"/>
  <c r="Z54" i="11"/>
  <c r="W54" i="11"/>
  <c r="T54" i="11"/>
  <c r="Q54" i="11"/>
  <c r="Z53" i="11"/>
  <c r="W53" i="11"/>
  <c r="T53" i="11"/>
  <c r="Q53" i="11"/>
  <c r="Z50" i="11"/>
  <c r="W50" i="11"/>
  <c r="T50" i="11"/>
  <c r="Q50" i="11"/>
  <c r="Z49" i="11"/>
  <c r="W49" i="11"/>
  <c r="T49" i="11"/>
  <c r="Q49" i="11"/>
  <c r="F54" i="11"/>
  <c r="Z48" i="11"/>
  <c r="W48" i="11"/>
  <c r="T48" i="11"/>
  <c r="Q48" i="11"/>
  <c r="Z47" i="11"/>
  <c r="W47" i="11"/>
  <c r="T47" i="11"/>
  <c r="Q47" i="11"/>
  <c r="B47" i="11"/>
  <c r="B48" i="11" s="1"/>
  <c r="Z46" i="11"/>
  <c r="W46" i="11"/>
  <c r="T46" i="11"/>
  <c r="Q46" i="11"/>
  <c r="Z45" i="11"/>
  <c r="W45" i="11"/>
  <c r="T45" i="11"/>
  <c r="Q45" i="11"/>
  <c r="Z42" i="11"/>
  <c r="W42" i="11"/>
  <c r="T42" i="11"/>
  <c r="Q42" i="11"/>
  <c r="Z41" i="11"/>
  <c r="W41" i="11"/>
  <c r="T41" i="11"/>
  <c r="Q41" i="11"/>
  <c r="Z40" i="11"/>
  <c r="W40" i="11"/>
  <c r="T40" i="11"/>
  <c r="Q40" i="11"/>
  <c r="Z39" i="11"/>
  <c r="W39" i="11"/>
  <c r="T39" i="11"/>
  <c r="Q39" i="11"/>
  <c r="Z38" i="11"/>
  <c r="W38" i="11"/>
  <c r="T38" i="11"/>
  <c r="Q38" i="11"/>
  <c r="Z37" i="11"/>
  <c r="W37" i="11"/>
  <c r="T37" i="11"/>
  <c r="Q37" i="11"/>
  <c r="Z23" i="11"/>
  <c r="W23" i="11"/>
  <c r="T23" i="11"/>
  <c r="Q23" i="11"/>
  <c r="Z22" i="11"/>
  <c r="W22" i="11"/>
  <c r="T22" i="11"/>
  <c r="Q22" i="11"/>
  <c r="Z21" i="11"/>
  <c r="W21" i="11"/>
  <c r="T21" i="11"/>
  <c r="Q21" i="11"/>
  <c r="AS20" i="11"/>
  <c r="AP20" i="11"/>
  <c r="AM20" i="11"/>
  <c r="AJ20" i="11"/>
  <c r="Z20" i="11"/>
  <c r="W20" i="11"/>
  <c r="T20" i="11"/>
  <c r="Q20" i="11"/>
  <c r="AS19" i="11"/>
  <c r="AP19" i="11"/>
  <c r="AM19" i="11"/>
  <c r="AJ19" i="11"/>
  <c r="Z19" i="11"/>
  <c r="W19" i="11"/>
  <c r="T19" i="11"/>
  <c r="Q19" i="11"/>
  <c r="Z18" i="11"/>
  <c r="W18" i="11"/>
  <c r="T18" i="11"/>
  <c r="Q18" i="11"/>
  <c r="AA17" i="11"/>
  <c r="AA16" i="11"/>
  <c r="AA15" i="11"/>
  <c r="Z15" i="11"/>
  <c r="W15" i="11"/>
  <c r="T15" i="11"/>
  <c r="Q15" i="11"/>
  <c r="E20" i="11"/>
  <c r="Z14" i="11"/>
  <c r="W14" i="11"/>
  <c r="T14" i="11"/>
  <c r="Q14" i="11"/>
  <c r="E19" i="11"/>
  <c r="Z13" i="11"/>
  <c r="W13" i="11"/>
  <c r="T13" i="11"/>
  <c r="Q13" i="11"/>
  <c r="F20" i="11"/>
  <c r="AS12" i="11"/>
  <c r="AP12" i="11"/>
  <c r="AM12" i="11"/>
  <c r="AJ12" i="11"/>
  <c r="Z12" i="11"/>
  <c r="W12" i="11"/>
  <c r="T12" i="11"/>
  <c r="Q12" i="11"/>
  <c r="B12" i="11"/>
  <c r="B13" i="11" s="1"/>
  <c r="AS11" i="11"/>
  <c r="AP11" i="11"/>
  <c r="AM11" i="11"/>
  <c r="AJ11" i="11"/>
  <c r="Z11" i="11"/>
  <c r="W11" i="11"/>
  <c r="T11" i="11"/>
  <c r="Q11" i="11"/>
  <c r="AP10" i="11"/>
  <c r="Z10" i="11"/>
  <c r="W10" i="11"/>
  <c r="T10" i="11"/>
  <c r="Q10" i="11"/>
  <c r="Z7" i="11"/>
  <c r="W7" i="11"/>
  <c r="T7" i="11"/>
  <c r="Q7" i="11"/>
  <c r="Z6" i="11"/>
  <c r="W6" i="11"/>
  <c r="T6" i="11"/>
  <c r="Q6" i="11"/>
  <c r="B6" i="11"/>
  <c r="AS18" i="11"/>
  <c r="AP18" i="11"/>
  <c r="AM18" i="11"/>
  <c r="AJ18" i="11"/>
  <c r="Z5" i="11"/>
  <c r="W5" i="11"/>
  <c r="T5" i="11"/>
  <c r="Q5" i="11"/>
  <c r="AS4" i="11"/>
  <c r="AP4" i="11"/>
  <c r="AM4" i="11"/>
  <c r="AJ4" i="11"/>
  <c r="AS10" i="11"/>
  <c r="AM10" i="11"/>
  <c r="AJ10" i="11"/>
  <c r="Z4" i="11"/>
  <c r="W4" i="11"/>
  <c r="T4" i="11"/>
  <c r="Q4" i="11"/>
  <c r="AS3" i="11"/>
  <c r="AP3" i="11"/>
  <c r="AM3" i="11"/>
  <c r="AJ3" i="11"/>
  <c r="AF3" i="11"/>
  <c r="AS2" i="11" s="1"/>
  <c r="AE3" i="11"/>
  <c r="AP2" i="11" s="1"/>
  <c r="AD3" i="11"/>
  <c r="AM2" i="11" s="1"/>
  <c r="AC3" i="11"/>
  <c r="AJ2" i="11" s="1"/>
  <c r="Z3" i="11"/>
  <c r="W3" i="11"/>
  <c r="T3" i="11"/>
  <c r="Q3" i="11"/>
  <c r="B3" i="11"/>
  <c r="Z2" i="11"/>
  <c r="W2" i="11"/>
  <c r="T2" i="11"/>
  <c r="Q2" i="11"/>
  <c r="F56" i="11" l="1"/>
  <c r="E18" i="11"/>
  <c r="E56" i="11"/>
  <c r="F19" i="11"/>
  <c r="F18" i="11"/>
  <c r="F55" i="11"/>
  <c r="E54" i="11"/>
  <c r="B47" i="8"/>
  <c r="B48" i="8" s="1"/>
  <c r="B12" i="8"/>
  <c r="B13" i="8" s="1"/>
  <c r="B6" i="8"/>
  <c r="B3" i="8"/>
  <c r="Z58" i="8"/>
  <c r="W58" i="8"/>
  <c r="T58" i="8"/>
  <c r="Q58" i="8"/>
  <c r="Z57" i="8"/>
  <c r="W57" i="8"/>
  <c r="T57" i="8"/>
  <c r="Q57" i="8"/>
  <c r="Z56" i="8"/>
  <c r="W56" i="8"/>
  <c r="T56" i="8"/>
  <c r="Q56" i="8"/>
  <c r="Z55" i="8"/>
  <c r="W55" i="8"/>
  <c r="T55" i="8"/>
  <c r="Q55" i="8"/>
  <c r="Z54" i="8"/>
  <c r="W54" i="8"/>
  <c r="T54" i="8"/>
  <c r="Q54" i="8"/>
  <c r="Z53" i="8"/>
  <c r="W53" i="8"/>
  <c r="T53" i="8"/>
  <c r="Q53" i="8"/>
  <c r="E51" i="8"/>
  <c r="E56" i="8" s="1"/>
  <c r="Z50" i="8"/>
  <c r="W50" i="8"/>
  <c r="T50" i="8"/>
  <c r="Q50" i="8"/>
  <c r="E50" i="8"/>
  <c r="Z49" i="8"/>
  <c r="W49" i="8"/>
  <c r="T49" i="8"/>
  <c r="Q49" i="8"/>
  <c r="E49" i="8"/>
  <c r="Z48" i="8"/>
  <c r="W48" i="8"/>
  <c r="T48" i="8"/>
  <c r="Q48" i="8"/>
  <c r="Z47" i="8"/>
  <c r="W47" i="8"/>
  <c r="T47" i="8"/>
  <c r="Q47" i="8"/>
  <c r="Z46" i="8"/>
  <c r="W46" i="8"/>
  <c r="T46" i="8"/>
  <c r="Q46" i="8"/>
  <c r="Z45" i="8"/>
  <c r="W45" i="8"/>
  <c r="T45" i="8"/>
  <c r="Q45" i="8"/>
  <c r="Z42" i="8"/>
  <c r="W42" i="8"/>
  <c r="T42" i="8"/>
  <c r="Q42" i="8"/>
  <c r="Z41" i="8"/>
  <c r="W41" i="8"/>
  <c r="T41" i="8"/>
  <c r="Q41" i="8"/>
  <c r="Z40" i="8"/>
  <c r="W40" i="8"/>
  <c r="T40" i="8"/>
  <c r="Q40" i="8"/>
  <c r="Z39" i="8"/>
  <c r="W39" i="8"/>
  <c r="T39" i="8"/>
  <c r="Q39" i="8"/>
  <c r="Z38" i="8"/>
  <c r="W38" i="8"/>
  <c r="T38" i="8"/>
  <c r="Q38" i="8"/>
  <c r="Z37" i="8"/>
  <c r="W37" i="8"/>
  <c r="T37" i="8"/>
  <c r="Q37" i="8"/>
  <c r="E15" i="8"/>
  <c r="E20" i="8" s="1"/>
  <c r="E14" i="8"/>
  <c r="E13" i="8"/>
  <c r="Z23" i="8"/>
  <c r="W23" i="8"/>
  <c r="T23" i="8"/>
  <c r="Q23" i="8"/>
  <c r="Z22" i="8"/>
  <c r="W22" i="8"/>
  <c r="T22" i="8"/>
  <c r="Q22" i="8"/>
  <c r="Z21" i="8"/>
  <c r="W21" i="8"/>
  <c r="T21" i="8"/>
  <c r="Q21" i="8"/>
  <c r="Z20" i="8"/>
  <c r="W20" i="8"/>
  <c r="T20" i="8"/>
  <c r="Q20" i="8"/>
  <c r="Z19" i="8"/>
  <c r="W19" i="8"/>
  <c r="T19" i="8"/>
  <c r="Q19" i="8"/>
  <c r="Z18" i="8"/>
  <c r="W18" i="8"/>
  <c r="T18" i="8"/>
  <c r="Q18" i="8"/>
  <c r="AA17" i="8"/>
  <c r="AA16" i="8"/>
  <c r="AA15" i="8"/>
  <c r="Z15" i="8"/>
  <c r="W15" i="8"/>
  <c r="T15" i="8"/>
  <c r="Q15" i="8"/>
  <c r="Z14" i="8"/>
  <c r="W14" i="8"/>
  <c r="T14" i="8"/>
  <c r="Q14" i="8"/>
  <c r="Z13" i="8"/>
  <c r="W13" i="8"/>
  <c r="T13" i="8"/>
  <c r="Q13" i="8"/>
  <c r="Z12" i="8"/>
  <c r="W12" i="8"/>
  <c r="T12" i="8"/>
  <c r="Q12" i="8"/>
  <c r="Z11" i="8"/>
  <c r="W11" i="8"/>
  <c r="T11" i="8"/>
  <c r="Q11" i="8"/>
  <c r="Z10" i="8"/>
  <c r="W10" i="8"/>
  <c r="T10" i="8"/>
  <c r="Q10" i="8"/>
  <c r="Z7" i="8"/>
  <c r="W7" i="8"/>
  <c r="T7" i="8"/>
  <c r="Q7" i="8"/>
  <c r="Z6" i="8"/>
  <c r="W6" i="8"/>
  <c r="T6" i="8"/>
  <c r="Q6" i="8"/>
  <c r="AF5" i="8"/>
  <c r="AS18" i="8" s="1"/>
  <c r="AE5" i="8"/>
  <c r="AP18" i="8" s="1"/>
  <c r="AC5" i="8"/>
  <c r="AJ18" i="8" s="1"/>
  <c r="Z5" i="8"/>
  <c r="W5" i="8"/>
  <c r="T5" i="8"/>
  <c r="Q5" i="8"/>
  <c r="AF4" i="8"/>
  <c r="AS10" i="8" s="1"/>
  <c r="AE4" i="8"/>
  <c r="AP10" i="8" s="1"/>
  <c r="AC4" i="8"/>
  <c r="AJ10" i="8" s="1"/>
  <c r="Z4" i="8"/>
  <c r="W4" i="8"/>
  <c r="T4" i="8"/>
  <c r="Q4" i="8"/>
  <c r="AF3" i="8"/>
  <c r="AS2" i="8" s="1"/>
  <c r="AE3" i="8"/>
  <c r="AP2" i="8" s="1"/>
  <c r="AC3" i="8"/>
  <c r="AJ2" i="8" s="1"/>
  <c r="Z3" i="8"/>
  <c r="W3" i="8"/>
  <c r="T3" i="8"/>
  <c r="Q3" i="8"/>
  <c r="Z2" i="8"/>
  <c r="W2" i="8"/>
  <c r="T2" i="8"/>
  <c r="Q2" i="8"/>
  <c r="F54" i="8" l="1"/>
  <c r="E54" i="8"/>
  <c r="E18" i="8"/>
  <c r="F20" i="8"/>
  <c r="F19" i="8"/>
  <c r="E19" i="8"/>
  <c r="F56" i="8"/>
  <c r="E55" i="8"/>
  <c r="F55" i="8"/>
  <c r="N29" i="4" l="1"/>
  <c r="N28" i="4"/>
  <c r="N27" i="4"/>
  <c r="E29" i="4"/>
  <c r="E30" i="4"/>
  <c r="E28" i="4"/>
  <c r="E31" i="4"/>
  <c r="N29" i="2"/>
  <c r="N28" i="2"/>
  <c r="N27" i="2"/>
  <c r="E29" i="2"/>
  <c r="E30" i="2"/>
  <c r="E28" i="2"/>
  <c r="E31" i="2"/>
  <c r="N28" i="7"/>
  <c r="N27" i="7"/>
  <c r="E31" i="7"/>
  <c r="K32" i="7"/>
  <c r="K33" i="7"/>
  <c r="K31" i="7"/>
  <c r="O31" i="7"/>
  <c r="O32" i="2"/>
  <c r="O33" i="2"/>
  <c r="O31" i="2"/>
  <c r="O32" i="4"/>
  <c r="O33" i="4"/>
  <c r="O31" i="4"/>
  <c r="O32" i="7"/>
  <c r="O33" i="7"/>
  <c r="O28" i="7" l="1"/>
  <c r="N29" i="7"/>
  <c r="Z4" i="4" l="1"/>
  <c r="AA4" i="4"/>
  <c r="AB4" i="4"/>
  <c r="AC4" i="4"/>
  <c r="Z5" i="4"/>
  <c r="AA5" i="4"/>
  <c r="AB5" i="4"/>
  <c r="AC5" i="4"/>
  <c r="AA3" i="4"/>
  <c r="AB3" i="4"/>
  <c r="AC3" i="4"/>
  <c r="Z3" i="4"/>
  <c r="AP22" i="9"/>
  <c r="AM22" i="9"/>
  <c r="AJ22" i="9"/>
  <c r="AG22" i="9"/>
  <c r="AP21" i="9"/>
  <c r="AM21" i="9"/>
  <c r="AJ21" i="9"/>
  <c r="AG21" i="9"/>
  <c r="AP20" i="9"/>
  <c r="AM20" i="9"/>
  <c r="AJ20" i="9"/>
  <c r="AG20" i="9"/>
  <c r="AP19" i="9"/>
  <c r="AM19" i="9"/>
  <c r="AJ19" i="9"/>
  <c r="AG19" i="9"/>
  <c r="AP18" i="9"/>
  <c r="AM18" i="9"/>
  <c r="AG18" i="9"/>
  <c r="AP14" i="9"/>
  <c r="AM14" i="9"/>
  <c r="AJ14" i="9"/>
  <c r="AG14" i="9"/>
  <c r="AP13" i="9"/>
  <c r="AM13" i="9"/>
  <c r="AJ13" i="9"/>
  <c r="AG13" i="9"/>
  <c r="AP12" i="9"/>
  <c r="AM12" i="9"/>
  <c r="AJ12" i="9"/>
  <c r="AG12" i="9"/>
  <c r="AP11" i="9"/>
  <c r="AM11" i="9"/>
  <c r="AJ11" i="9"/>
  <c r="AG11" i="9"/>
  <c r="AP10" i="9"/>
  <c r="AM10" i="9"/>
  <c r="AG10" i="9"/>
  <c r="AP6" i="9"/>
  <c r="AM6" i="9"/>
  <c r="AJ6" i="9"/>
  <c r="AG6" i="9"/>
  <c r="AP5" i="9"/>
  <c r="AM5" i="9"/>
  <c r="AJ5" i="9"/>
  <c r="AG5" i="9"/>
  <c r="AP4" i="9"/>
  <c r="AM4" i="9"/>
  <c r="AJ4" i="9"/>
  <c r="AG4" i="9"/>
  <c r="AP3" i="9"/>
  <c r="AM3" i="9"/>
  <c r="AJ3" i="9"/>
  <c r="AG3" i="9"/>
  <c r="AP2" i="9"/>
  <c r="AM2" i="9"/>
  <c r="AG2" i="9"/>
  <c r="N2" i="9"/>
  <c r="Q2" i="9"/>
  <c r="T2" i="9"/>
  <c r="W2" i="9"/>
  <c r="N3" i="9"/>
  <c r="Q3" i="9"/>
  <c r="T3" i="9"/>
  <c r="W3" i="9"/>
  <c r="N4" i="9"/>
  <c r="Q4" i="9"/>
  <c r="T4" i="9"/>
  <c r="W4" i="9"/>
  <c r="N5" i="9"/>
  <c r="Q5" i="9"/>
  <c r="T5" i="9"/>
  <c r="W5" i="9"/>
  <c r="N6" i="9"/>
  <c r="Q6" i="9"/>
  <c r="T6" i="9"/>
  <c r="W6" i="9"/>
  <c r="N7" i="9"/>
  <c r="Q7" i="9"/>
  <c r="T7" i="9"/>
  <c r="W7" i="9"/>
  <c r="N10" i="9"/>
  <c r="Q10" i="9"/>
  <c r="T10" i="9"/>
  <c r="W10" i="9"/>
  <c r="N11" i="9"/>
  <c r="Q11" i="9"/>
  <c r="T11" i="9"/>
  <c r="W11" i="9"/>
  <c r="N12" i="9"/>
  <c r="Q12" i="9"/>
  <c r="T12" i="9"/>
  <c r="W12" i="9"/>
  <c r="N13" i="9"/>
  <c r="Q13" i="9"/>
  <c r="T13" i="9"/>
  <c r="W13" i="9"/>
  <c r="N14" i="9"/>
  <c r="Q14" i="9"/>
  <c r="T14" i="9"/>
  <c r="W14" i="9"/>
  <c r="N15" i="9"/>
  <c r="Q15" i="9"/>
  <c r="T15" i="9"/>
  <c r="W15" i="9"/>
  <c r="N18" i="9"/>
  <c r="Q18" i="9"/>
  <c r="T18" i="9"/>
  <c r="W18" i="9"/>
  <c r="N19" i="9"/>
  <c r="Q19" i="9"/>
  <c r="T19" i="9"/>
  <c r="W19" i="9"/>
  <c r="N20" i="9"/>
  <c r="Q20" i="9"/>
  <c r="T20" i="9"/>
  <c r="W20" i="9"/>
  <c r="N21" i="9"/>
  <c r="Q21" i="9"/>
  <c r="T21" i="9"/>
  <c r="W21" i="9"/>
  <c r="N22" i="9"/>
  <c r="Q22" i="9"/>
  <c r="T22" i="9"/>
  <c r="W22" i="9"/>
  <c r="N23" i="9"/>
  <c r="Q23" i="9"/>
  <c r="T23" i="9"/>
  <c r="W23" i="9"/>
  <c r="AG11" i="7"/>
  <c r="AG10" i="7"/>
  <c r="M29" i="9" l="1"/>
  <c r="M33" i="9" s="1"/>
  <c r="M28" i="9"/>
  <c r="M32" i="9" s="1"/>
  <c r="M27" i="9"/>
  <c r="B12" i="9"/>
  <c r="B13" i="9" s="1"/>
  <c r="B6" i="9"/>
  <c r="AC5" i="9"/>
  <c r="AB5" i="9"/>
  <c r="AA5" i="9"/>
  <c r="AJ18" i="9" s="1"/>
  <c r="Z5" i="9"/>
  <c r="AC4" i="9"/>
  <c r="AB4" i="9"/>
  <c r="AA4" i="9"/>
  <c r="AJ10" i="9" s="1"/>
  <c r="Z4" i="9"/>
  <c r="AC3" i="9"/>
  <c r="AB3" i="9"/>
  <c r="AA3" i="9"/>
  <c r="AJ2" i="9" s="1"/>
  <c r="Z3" i="9"/>
  <c r="B3" i="9"/>
  <c r="Z4" i="7"/>
  <c r="AA4" i="7"/>
  <c r="AB4" i="7"/>
  <c r="AC4" i="7"/>
  <c r="Z5" i="7"/>
  <c r="AA5" i="7"/>
  <c r="AB5" i="7"/>
  <c r="AC5" i="7"/>
  <c r="AA3" i="7"/>
  <c r="AB3" i="7"/>
  <c r="AC3" i="7"/>
  <c r="Z3" i="7"/>
  <c r="M31" i="9" l="1"/>
  <c r="N32" i="9"/>
  <c r="N31" i="9"/>
  <c r="N33" i="9"/>
  <c r="M33" i="7" l="1"/>
  <c r="M29" i="7"/>
  <c r="M28" i="7"/>
  <c r="M32" i="7" s="1"/>
  <c r="M27" i="7"/>
  <c r="M31" i="7" s="1"/>
  <c r="W23" i="7"/>
  <c r="T23" i="7"/>
  <c r="Q23" i="7"/>
  <c r="N23" i="7"/>
  <c r="AP22" i="7"/>
  <c r="AM22" i="7"/>
  <c r="AJ22" i="7"/>
  <c r="AG22" i="7"/>
  <c r="W22" i="7"/>
  <c r="T22" i="7"/>
  <c r="Q22" i="7"/>
  <c r="N22" i="7"/>
  <c r="AP21" i="7"/>
  <c r="AM21" i="7"/>
  <c r="AJ21" i="7"/>
  <c r="AG21" i="7"/>
  <c r="W21" i="7"/>
  <c r="T21" i="7"/>
  <c r="Q21" i="7"/>
  <c r="N21" i="7"/>
  <c r="AP20" i="7"/>
  <c r="AM20" i="7"/>
  <c r="AJ20" i="7"/>
  <c r="AG20" i="7"/>
  <c r="W20" i="7"/>
  <c r="T20" i="7"/>
  <c r="Q20" i="7"/>
  <c r="N20" i="7"/>
  <c r="AP19" i="7"/>
  <c r="AM19" i="7"/>
  <c r="AJ19" i="7"/>
  <c r="AG19" i="7"/>
  <c r="W19" i="7"/>
  <c r="T19" i="7"/>
  <c r="Q19" i="7"/>
  <c r="N19" i="7"/>
  <c r="AP18" i="7"/>
  <c r="AM18" i="7"/>
  <c r="AJ18" i="7"/>
  <c r="AG18" i="7"/>
  <c r="W18" i="7"/>
  <c r="T18" i="7"/>
  <c r="Q18" i="7"/>
  <c r="N18" i="7"/>
  <c r="W15" i="7"/>
  <c r="T15" i="7"/>
  <c r="Q15" i="7"/>
  <c r="N15" i="7"/>
  <c r="AP14" i="7"/>
  <c r="AM14" i="7"/>
  <c r="AJ14" i="7"/>
  <c r="AG14" i="7"/>
  <c r="W14" i="7"/>
  <c r="T14" i="7"/>
  <c r="Q14" i="7"/>
  <c r="N14" i="7"/>
  <c r="AP13" i="7"/>
  <c r="AM13" i="7"/>
  <c r="AJ13" i="7"/>
  <c r="AG13" i="7"/>
  <c r="W13" i="7"/>
  <c r="T13" i="7"/>
  <c r="Q13" i="7"/>
  <c r="N13" i="7"/>
  <c r="AP12" i="7"/>
  <c r="AM12" i="7"/>
  <c r="AJ12" i="7"/>
  <c r="AG12" i="7"/>
  <c r="W12" i="7"/>
  <c r="T12" i="7"/>
  <c r="Q12" i="7"/>
  <c r="N12" i="7"/>
  <c r="B12" i="7"/>
  <c r="B13" i="7" s="1"/>
  <c r="AP11" i="7"/>
  <c r="AM11" i="7"/>
  <c r="AJ11" i="7"/>
  <c r="W11" i="7"/>
  <c r="T11" i="7"/>
  <c r="Q11" i="7"/>
  <c r="N11" i="7"/>
  <c r="AP10" i="7"/>
  <c r="AM10" i="7"/>
  <c r="AJ10" i="7"/>
  <c r="W10" i="7"/>
  <c r="T10" i="7"/>
  <c r="Q10" i="7"/>
  <c r="N10" i="7"/>
  <c r="W7" i="7"/>
  <c r="T7" i="7"/>
  <c r="Q7" i="7"/>
  <c r="N7" i="7"/>
  <c r="AP6" i="7"/>
  <c r="AM6" i="7"/>
  <c r="AJ6" i="7"/>
  <c r="AG6" i="7"/>
  <c r="W6" i="7"/>
  <c r="T6" i="7"/>
  <c r="Q6" i="7"/>
  <c r="N6" i="7"/>
  <c r="B6" i="7"/>
  <c r="AP5" i="7"/>
  <c r="AM5" i="7"/>
  <c r="AJ5" i="7"/>
  <c r="AG5" i="7"/>
  <c r="W5" i="7"/>
  <c r="T5" i="7"/>
  <c r="Q5" i="7"/>
  <c r="N5" i="7"/>
  <c r="AP4" i="7"/>
  <c r="AM4" i="7"/>
  <c r="AJ4" i="7"/>
  <c r="AG4" i="7"/>
  <c r="W4" i="7"/>
  <c r="T4" i="7"/>
  <c r="Q4" i="7"/>
  <c r="N4" i="7"/>
  <c r="AP3" i="7"/>
  <c r="AM3" i="7"/>
  <c r="AJ3" i="7"/>
  <c r="AG3" i="7"/>
  <c r="W3" i="7"/>
  <c r="T3" i="7"/>
  <c r="Q3" i="7"/>
  <c r="N3" i="7"/>
  <c r="B3" i="7"/>
  <c r="AP2" i="7"/>
  <c r="AM2" i="7"/>
  <c r="AJ2" i="7"/>
  <c r="AG2" i="7"/>
  <c r="W2" i="7"/>
  <c r="T2" i="7"/>
  <c r="Q2" i="7"/>
  <c r="N2" i="7"/>
  <c r="N33" i="7" l="1"/>
  <c r="N31" i="7"/>
  <c r="N32" i="7"/>
  <c r="B1" i="6"/>
  <c r="A281" i="6" s="1"/>
  <c r="A362" i="6"/>
  <c r="A342" i="6"/>
  <c r="A322" i="6"/>
  <c r="A302" i="6"/>
  <c r="A282" i="6"/>
  <c r="A262" i="6"/>
  <c r="A242" i="6"/>
  <c r="A222" i="6"/>
  <c r="A202" i="6"/>
  <c r="A182" i="6"/>
  <c r="A162" i="6"/>
  <c r="A142" i="6"/>
  <c r="A122" i="6"/>
  <c r="A102" i="6"/>
  <c r="A82" i="6"/>
  <c r="A62" i="6"/>
  <c r="A42" i="6"/>
  <c r="J29" i="6"/>
  <c r="I29" i="6"/>
  <c r="J28" i="6"/>
  <c r="I28" i="6"/>
  <c r="J27" i="6"/>
  <c r="I27" i="6"/>
  <c r="A22" i="6"/>
  <c r="A2" i="6"/>
  <c r="D1" i="1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E61" i="6" l="1"/>
  <c r="M6" i="6" s="1"/>
  <c r="D281" i="6"/>
  <c r="L17" i="6" s="1"/>
  <c r="D61" i="6"/>
  <c r="L6" i="6" s="1"/>
  <c r="E121" i="6"/>
  <c r="M9" i="6" s="1"/>
  <c r="C281" i="6"/>
  <c r="K17" i="6" s="1"/>
  <c r="C221" i="6"/>
  <c r="K14" i="6" s="1"/>
  <c r="G381" i="6"/>
  <c r="O22" i="6" s="1"/>
  <c r="A221" i="6"/>
  <c r="D301" i="6"/>
  <c r="L18" i="6" s="1"/>
  <c r="C161" i="6"/>
  <c r="K11" i="6" s="1"/>
  <c r="D241" i="6"/>
  <c r="L15" i="6" s="1"/>
  <c r="A41" i="6"/>
  <c r="B101" i="6"/>
  <c r="J8" i="6" s="1"/>
  <c r="D161" i="6"/>
  <c r="L11" i="6" s="1"/>
  <c r="E241" i="6"/>
  <c r="M15" i="6" s="1"/>
  <c r="A341" i="6"/>
  <c r="G121" i="6"/>
  <c r="O9" i="6" s="1"/>
  <c r="D221" i="6"/>
  <c r="L14" i="6" s="1"/>
  <c r="A161" i="6"/>
  <c r="B41" i="6"/>
  <c r="J5" i="6" s="1"/>
  <c r="C101" i="6"/>
  <c r="K8" i="6" s="1"/>
  <c r="G241" i="6"/>
  <c r="O15" i="6" s="1"/>
  <c r="F121" i="6"/>
  <c r="N9" i="6" s="1"/>
  <c r="F61" i="6"/>
  <c r="N6" i="6" s="1"/>
  <c r="G61" i="6"/>
  <c r="O6" i="6" s="1"/>
  <c r="C41" i="6"/>
  <c r="K5" i="6" s="1"/>
  <c r="D101" i="6"/>
  <c r="L8" i="6" s="1"/>
  <c r="D181" i="6"/>
  <c r="L12" i="6" s="1"/>
  <c r="D361" i="6"/>
  <c r="L21" i="6" s="1"/>
  <c r="E301" i="6"/>
  <c r="M18" i="6" s="1"/>
  <c r="D41" i="6"/>
  <c r="L5" i="6" s="1"/>
  <c r="E181" i="6"/>
  <c r="M12" i="6" s="1"/>
  <c r="E361" i="6"/>
  <c r="M21" i="6" s="1"/>
  <c r="A101" i="6"/>
  <c r="D121" i="6"/>
  <c r="L9" i="6" s="1"/>
  <c r="G181" i="6"/>
  <c r="O12" i="6" s="1"/>
  <c r="B161" i="6"/>
  <c r="J11" i="6" s="1"/>
  <c r="F181" i="6"/>
  <c r="N12" i="6" s="1"/>
  <c r="B221" i="6"/>
  <c r="J14" i="6" s="1"/>
  <c r="F241" i="6"/>
  <c r="N15" i="6" s="1"/>
  <c r="B281" i="6"/>
  <c r="J17" i="6" s="1"/>
  <c r="F301" i="6"/>
  <c r="N18" i="6" s="1"/>
  <c r="B341" i="6"/>
  <c r="J20" i="6" s="1"/>
  <c r="F361" i="6"/>
  <c r="N21" i="6" s="1"/>
  <c r="G301" i="6"/>
  <c r="O18" i="6" s="1"/>
  <c r="C341" i="6"/>
  <c r="K20" i="6" s="1"/>
  <c r="G361" i="6"/>
  <c r="O21" i="6" s="1"/>
  <c r="D341" i="6"/>
  <c r="L20" i="6" s="1"/>
  <c r="A21" i="6"/>
  <c r="E41" i="6"/>
  <c r="M5" i="6" s="1"/>
  <c r="A81" i="6"/>
  <c r="E101" i="6"/>
  <c r="M8" i="6" s="1"/>
  <c r="A141" i="6"/>
  <c r="E161" i="6"/>
  <c r="M11" i="6" s="1"/>
  <c r="A201" i="6"/>
  <c r="E221" i="6"/>
  <c r="M14" i="6" s="1"/>
  <c r="A261" i="6"/>
  <c r="E281" i="6"/>
  <c r="M17" i="6" s="1"/>
  <c r="A321" i="6"/>
  <c r="E341" i="6"/>
  <c r="M20" i="6" s="1"/>
  <c r="A381" i="6"/>
  <c r="F41" i="6"/>
  <c r="N5" i="6" s="1"/>
  <c r="B81" i="6"/>
  <c r="J7" i="6" s="1"/>
  <c r="F101" i="6"/>
  <c r="N8" i="6" s="1"/>
  <c r="B141" i="6"/>
  <c r="J10" i="6" s="1"/>
  <c r="F161" i="6"/>
  <c r="N11" i="6" s="1"/>
  <c r="B201" i="6"/>
  <c r="J13" i="6" s="1"/>
  <c r="F221" i="6"/>
  <c r="N14" i="6" s="1"/>
  <c r="B261" i="6"/>
  <c r="J16" i="6" s="1"/>
  <c r="F281" i="6"/>
  <c r="N17" i="6" s="1"/>
  <c r="B321" i="6"/>
  <c r="J19" i="6" s="1"/>
  <c r="F341" i="6"/>
  <c r="N20" i="6" s="1"/>
  <c r="B381" i="6"/>
  <c r="J22" i="6" s="1"/>
  <c r="B21" i="6"/>
  <c r="J4" i="6" s="1"/>
  <c r="C21" i="6"/>
  <c r="K4" i="6" s="1"/>
  <c r="G41" i="6"/>
  <c r="O5" i="6" s="1"/>
  <c r="C81" i="6"/>
  <c r="K7" i="6" s="1"/>
  <c r="G101" i="6"/>
  <c r="O8" i="6" s="1"/>
  <c r="C141" i="6"/>
  <c r="K10" i="6" s="1"/>
  <c r="G161" i="6"/>
  <c r="O11" i="6" s="1"/>
  <c r="C201" i="6"/>
  <c r="K13" i="6" s="1"/>
  <c r="G221" i="6"/>
  <c r="O14" i="6" s="1"/>
  <c r="C261" i="6"/>
  <c r="K16" i="6" s="1"/>
  <c r="G281" i="6"/>
  <c r="O17" i="6" s="1"/>
  <c r="C321" i="6"/>
  <c r="K19" i="6" s="1"/>
  <c r="G341" i="6"/>
  <c r="O20" i="6" s="1"/>
  <c r="C381" i="6"/>
  <c r="K22" i="6" s="1"/>
  <c r="D21" i="6"/>
  <c r="L4" i="6" s="1"/>
  <c r="D81" i="6"/>
  <c r="L7" i="6" s="1"/>
  <c r="D141" i="6"/>
  <c r="L10" i="6" s="1"/>
  <c r="D201" i="6"/>
  <c r="L13" i="6" s="1"/>
  <c r="D261" i="6"/>
  <c r="L16" i="6" s="1"/>
  <c r="D321" i="6"/>
  <c r="L19" i="6" s="1"/>
  <c r="D381" i="6"/>
  <c r="L22" i="6" s="1"/>
  <c r="A61" i="6"/>
  <c r="E81" i="6"/>
  <c r="M7" i="6" s="1"/>
  <c r="A121" i="6"/>
  <c r="E141" i="6"/>
  <c r="M10" i="6" s="1"/>
  <c r="A181" i="6"/>
  <c r="E201" i="6"/>
  <c r="M13" i="6" s="1"/>
  <c r="A241" i="6"/>
  <c r="E261" i="6"/>
  <c r="M16" i="6" s="1"/>
  <c r="A301" i="6"/>
  <c r="E321" i="6"/>
  <c r="M19" i="6" s="1"/>
  <c r="A361" i="6"/>
  <c r="E381" i="6"/>
  <c r="M22" i="6" s="1"/>
  <c r="F21" i="6"/>
  <c r="N4" i="6" s="1"/>
  <c r="B61" i="6"/>
  <c r="J6" i="6" s="1"/>
  <c r="F81" i="6"/>
  <c r="N7" i="6" s="1"/>
  <c r="B121" i="6"/>
  <c r="J9" i="6" s="1"/>
  <c r="F141" i="6"/>
  <c r="N10" i="6" s="1"/>
  <c r="B181" i="6"/>
  <c r="J12" i="6" s="1"/>
  <c r="F201" i="6"/>
  <c r="N13" i="6" s="1"/>
  <c r="B241" i="6"/>
  <c r="J15" i="6" s="1"/>
  <c r="F261" i="6"/>
  <c r="N16" i="6" s="1"/>
  <c r="B301" i="6"/>
  <c r="J18" i="6" s="1"/>
  <c r="F321" i="6"/>
  <c r="N19" i="6" s="1"/>
  <c r="B361" i="6"/>
  <c r="J21" i="6" s="1"/>
  <c r="F381" i="6"/>
  <c r="N22" i="6" s="1"/>
  <c r="E21" i="6"/>
  <c r="M4" i="6" s="1"/>
  <c r="G21" i="6"/>
  <c r="O4" i="6" s="1"/>
  <c r="C61" i="6"/>
  <c r="K6" i="6" s="1"/>
  <c r="G81" i="6"/>
  <c r="O7" i="6" s="1"/>
  <c r="C121" i="6"/>
  <c r="K9" i="6" s="1"/>
  <c r="G141" i="6"/>
  <c r="O10" i="6" s="1"/>
  <c r="C181" i="6"/>
  <c r="K12" i="6" s="1"/>
  <c r="G201" i="6"/>
  <c r="O13" i="6" s="1"/>
  <c r="C241" i="6"/>
  <c r="K15" i="6" s="1"/>
  <c r="G261" i="6"/>
  <c r="O16" i="6" s="1"/>
  <c r="C301" i="6"/>
  <c r="K18" i="6" s="1"/>
  <c r="G321" i="6"/>
  <c r="O19" i="6" s="1"/>
  <c r="C361" i="6"/>
  <c r="K21" i="6" s="1"/>
  <c r="AP23" i="4"/>
  <c r="AM23" i="4"/>
  <c r="AJ23" i="4"/>
  <c r="AG23" i="4"/>
  <c r="AP22" i="4"/>
  <c r="AM22" i="4"/>
  <c r="AJ22" i="4"/>
  <c r="AG22" i="4"/>
  <c r="AP21" i="4"/>
  <c r="AM21" i="4"/>
  <c r="AJ21" i="4"/>
  <c r="AG21" i="4"/>
  <c r="AP20" i="4"/>
  <c r="AM20" i="4"/>
  <c r="AJ20" i="4"/>
  <c r="AG20" i="4"/>
  <c r="AP19" i="4"/>
  <c r="AM19" i="4"/>
  <c r="AJ19" i="4"/>
  <c r="AG19" i="4"/>
  <c r="AP18" i="4"/>
  <c r="AM18" i="4"/>
  <c r="AJ18" i="4"/>
  <c r="AG18" i="4"/>
  <c r="AP15" i="4"/>
  <c r="AM15" i="4"/>
  <c r="AJ15" i="4"/>
  <c r="AG15" i="4"/>
  <c r="AP14" i="4"/>
  <c r="AM14" i="4"/>
  <c r="AJ14" i="4"/>
  <c r="AG14" i="4"/>
  <c r="AP13" i="4"/>
  <c r="AM13" i="4"/>
  <c r="AJ13" i="4"/>
  <c r="AG13" i="4"/>
  <c r="AP12" i="4"/>
  <c r="AM12" i="4"/>
  <c r="AJ12" i="4"/>
  <c r="AG12" i="4"/>
  <c r="AP11" i="4"/>
  <c r="AM11" i="4"/>
  <c r="AJ11" i="4"/>
  <c r="AG11" i="4"/>
  <c r="AP10" i="4"/>
  <c r="AM10" i="4"/>
  <c r="AJ10" i="4"/>
  <c r="AG10" i="4"/>
  <c r="AP7" i="4"/>
  <c r="AM7" i="4"/>
  <c r="AJ7" i="4"/>
  <c r="AG7" i="4"/>
  <c r="AP6" i="4"/>
  <c r="AM6" i="4"/>
  <c r="AJ6" i="4"/>
  <c r="AG6" i="4"/>
  <c r="AP5" i="4"/>
  <c r="AM5" i="4"/>
  <c r="AJ5" i="4"/>
  <c r="AG5" i="4"/>
  <c r="AP4" i="4"/>
  <c r="AM4" i="4"/>
  <c r="AJ4" i="4"/>
  <c r="AG4" i="4"/>
  <c r="AP3" i="4"/>
  <c r="AM3" i="4"/>
  <c r="AJ3" i="4"/>
  <c r="AG3" i="4"/>
  <c r="AP2" i="4"/>
  <c r="AM2" i="4"/>
  <c r="AJ2" i="4"/>
  <c r="AG2" i="4"/>
  <c r="AP23" i="2"/>
  <c r="AP22" i="2"/>
  <c r="AP21" i="2"/>
  <c r="AM23" i="2"/>
  <c r="AM22" i="2"/>
  <c r="AM21" i="2"/>
  <c r="AJ23" i="2"/>
  <c r="AJ22" i="2"/>
  <c r="AJ21" i="2"/>
  <c r="AG23" i="2"/>
  <c r="AG22" i="2"/>
  <c r="AG21" i="2"/>
  <c r="AP15" i="2"/>
  <c r="AP14" i="2"/>
  <c r="AP13" i="2"/>
  <c r="AM15" i="2"/>
  <c r="AM14" i="2"/>
  <c r="AM13" i="2"/>
  <c r="AJ15" i="2"/>
  <c r="AJ14" i="2"/>
  <c r="AJ13" i="2"/>
  <c r="AG15" i="2"/>
  <c r="AG14" i="2"/>
  <c r="AG13" i="2"/>
  <c r="AP7" i="2"/>
  <c r="AP6" i="2"/>
  <c r="AP5" i="2"/>
  <c r="AM7" i="2"/>
  <c r="AM6" i="2"/>
  <c r="AM5" i="2"/>
  <c r="AJ7" i="2"/>
  <c r="AJ6" i="2"/>
  <c r="AJ5" i="2"/>
  <c r="AJ4" i="2"/>
  <c r="AG7" i="2"/>
  <c r="AG6" i="2"/>
  <c r="AG5" i="2"/>
  <c r="X33" i="2"/>
  <c r="X34" i="2"/>
  <c r="X32" i="2"/>
  <c r="M3" i="6" l="1"/>
  <c r="J2" i="6"/>
  <c r="O2" i="6"/>
  <c r="J3" i="6"/>
  <c r="L3" i="6"/>
  <c r="O3" i="6"/>
  <c r="N2" i="6"/>
  <c r="M2" i="6"/>
  <c r="M23" i="6" s="1"/>
  <c r="B25" i="1" s="1"/>
  <c r="L2" i="6"/>
  <c r="K2" i="6"/>
  <c r="N3" i="6"/>
  <c r="K3" i="6"/>
  <c r="M29" i="4"/>
  <c r="M28" i="4"/>
  <c r="M27" i="4"/>
  <c r="W23" i="4"/>
  <c r="T23" i="4"/>
  <c r="Q23" i="4"/>
  <c r="N23" i="4"/>
  <c r="W22" i="4"/>
  <c r="T22" i="4"/>
  <c r="Q22" i="4"/>
  <c r="N22" i="4"/>
  <c r="W21" i="4"/>
  <c r="T21" i="4"/>
  <c r="Q21" i="4"/>
  <c r="N21" i="4"/>
  <c r="W20" i="4"/>
  <c r="T20" i="4"/>
  <c r="Q20" i="4"/>
  <c r="N20" i="4"/>
  <c r="W19" i="4"/>
  <c r="T19" i="4"/>
  <c r="Q19" i="4"/>
  <c r="N19" i="4"/>
  <c r="W18" i="4"/>
  <c r="T18" i="4"/>
  <c r="Q18" i="4"/>
  <c r="N18" i="4"/>
  <c r="W15" i="4"/>
  <c r="T15" i="4"/>
  <c r="Q15" i="4"/>
  <c r="N15" i="4"/>
  <c r="W14" i="4"/>
  <c r="T14" i="4"/>
  <c r="Q14" i="4"/>
  <c r="N14" i="4"/>
  <c r="W13" i="4"/>
  <c r="T13" i="4"/>
  <c r="Q13" i="4"/>
  <c r="N13" i="4"/>
  <c r="W12" i="4"/>
  <c r="T12" i="4"/>
  <c r="Q12" i="4"/>
  <c r="N12" i="4"/>
  <c r="B12" i="4"/>
  <c r="B13" i="4" s="1"/>
  <c r="W11" i="4"/>
  <c r="T11" i="4"/>
  <c r="Q11" i="4"/>
  <c r="N11" i="4"/>
  <c r="W10" i="4"/>
  <c r="T10" i="4"/>
  <c r="Q10" i="4"/>
  <c r="N10" i="4"/>
  <c r="W7" i="4"/>
  <c r="T7" i="4"/>
  <c r="Q7" i="4"/>
  <c r="N7" i="4"/>
  <c r="W6" i="4"/>
  <c r="T6" i="4"/>
  <c r="Q6" i="4"/>
  <c r="N6" i="4"/>
  <c r="B6" i="4"/>
  <c r="W5" i="4"/>
  <c r="T5" i="4"/>
  <c r="Q5" i="4"/>
  <c r="N5" i="4"/>
  <c r="W4" i="4"/>
  <c r="T4" i="4"/>
  <c r="Q4" i="4"/>
  <c r="N4" i="4"/>
  <c r="W3" i="4"/>
  <c r="T3" i="4"/>
  <c r="Q3" i="4"/>
  <c r="N3" i="4"/>
  <c r="B3" i="4"/>
  <c r="W2" i="4"/>
  <c r="T2" i="4"/>
  <c r="Q2" i="4"/>
  <c r="N2" i="4"/>
  <c r="O23" i="6" l="1"/>
  <c r="B26" i="1" s="1"/>
  <c r="L23" i="6"/>
  <c r="A25" i="1" s="1"/>
  <c r="J23" i="6"/>
  <c r="A24" i="1" s="1"/>
  <c r="K23" i="6"/>
  <c r="B24" i="1" s="1"/>
  <c r="N23" i="6"/>
  <c r="A26" i="1" s="1"/>
  <c r="N33" i="4"/>
  <c r="M32" i="4"/>
  <c r="N32" i="4"/>
  <c r="M31" i="4"/>
  <c r="M33" i="4"/>
  <c r="N31" i="4"/>
  <c r="B1" i="19" l="1"/>
  <c r="D2" i="19" s="1"/>
  <c r="B2" i="18"/>
  <c r="B2" i="19"/>
  <c r="M6" i="19" s="1"/>
  <c r="N6" i="19" s="1"/>
  <c r="R27" i="19" s="1"/>
  <c r="B1" i="18"/>
  <c r="E79" i="18" s="1"/>
  <c r="B1" i="17"/>
  <c r="A9" i="17" s="1"/>
  <c r="D3" i="17" s="1"/>
  <c r="B2" i="17"/>
  <c r="B1" i="10"/>
  <c r="A9" i="10" s="1"/>
  <c r="D3" i="10" s="1"/>
  <c r="AE1" i="16"/>
  <c r="B46" i="16"/>
  <c r="AE46" i="16"/>
  <c r="B1" i="16"/>
  <c r="AE2" i="16"/>
  <c r="B2" i="16"/>
  <c r="AE47" i="16"/>
  <c r="B47" i="15"/>
  <c r="B1" i="14"/>
  <c r="B2" i="14"/>
  <c r="B2" i="15"/>
  <c r="B2" i="4"/>
  <c r="B2" i="7"/>
  <c r="AO23" i="7" s="1"/>
  <c r="AP23" i="7" s="1"/>
  <c r="B2" i="9"/>
  <c r="AL15" i="9" s="1"/>
  <c r="AM15" i="9" s="1"/>
  <c r="B2" i="8"/>
  <c r="B2" i="11"/>
  <c r="AR23" i="11" s="1"/>
  <c r="AS23" i="11" s="1"/>
  <c r="B2" i="12"/>
  <c r="B1" i="4"/>
  <c r="D2" i="4" s="1"/>
  <c r="B1" i="11"/>
  <c r="A9" i="19" l="1"/>
  <c r="D3" i="19" s="1"/>
  <c r="P14" i="19"/>
  <c r="Q14" i="19" s="1"/>
  <c r="S28" i="19" s="1"/>
  <c r="S22" i="19"/>
  <c r="T22" i="19" s="1"/>
  <c r="T29" i="19" s="1"/>
  <c r="AO14" i="19"/>
  <c r="AP14" i="19" s="1"/>
  <c r="S14" i="19"/>
  <c r="T14" i="19" s="1"/>
  <c r="T28" i="19" s="1"/>
  <c r="AL22" i="19"/>
  <c r="AM22" i="19" s="1"/>
  <c r="M14" i="19"/>
  <c r="N14" i="19" s="1"/>
  <c r="R28" i="19" s="1"/>
  <c r="M22" i="19"/>
  <c r="N22" i="19" s="1"/>
  <c r="R29" i="19" s="1"/>
  <c r="AF14" i="19"/>
  <c r="AG14" i="19" s="1"/>
  <c r="AF6" i="19"/>
  <c r="AG6" i="19" s="1"/>
  <c r="AI6" i="19"/>
  <c r="AJ6" i="19" s="1"/>
  <c r="AO6" i="19"/>
  <c r="AP6" i="19" s="1"/>
  <c r="AF22" i="19"/>
  <c r="AG22" i="19" s="1"/>
  <c r="V22" i="19"/>
  <c r="W22" i="19" s="1"/>
  <c r="U29" i="19" s="1"/>
  <c r="P22" i="19"/>
  <c r="Q22" i="19" s="1"/>
  <c r="S29" i="19" s="1"/>
  <c r="V14" i="19"/>
  <c r="W14" i="19" s="1"/>
  <c r="U28" i="19" s="1"/>
  <c r="P6" i="19"/>
  <c r="Q6" i="19" s="1"/>
  <c r="S27" i="19" s="1"/>
  <c r="AO22" i="19"/>
  <c r="AP22" i="19" s="1"/>
  <c r="AL6" i="19"/>
  <c r="AM6" i="19" s="1"/>
  <c r="S78" i="18"/>
  <c r="T78" i="18" s="1"/>
  <c r="AR6" i="18"/>
  <c r="AS6" i="18" s="1"/>
  <c r="AO57" i="18"/>
  <c r="AP57" i="18" s="1"/>
  <c r="V86" i="18"/>
  <c r="W86" i="18" s="1"/>
  <c r="S16" i="18"/>
  <c r="T16" i="18" s="1"/>
  <c r="AL90" i="18"/>
  <c r="AM90" i="18" s="1"/>
  <c r="Y16" i="18"/>
  <c r="Z16" i="18" s="1"/>
  <c r="AL82" i="18"/>
  <c r="AM82" i="18" s="1"/>
  <c r="S51" i="18"/>
  <c r="T51" i="18" s="1"/>
  <c r="AL49" i="18"/>
  <c r="AM49" i="18" s="1"/>
  <c r="P86" i="18"/>
  <c r="Q86" i="18" s="1"/>
  <c r="Y51" i="18"/>
  <c r="Z51" i="18" s="1"/>
  <c r="P16" i="18"/>
  <c r="Q16" i="18" s="1"/>
  <c r="AI90" i="18"/>
  <c r="AJ90" i="18" s="1"/>
  <c r="AL22" i="18"/>
  <c r="AM22" i="18" s="1"/>
  <c r="S86" i="18"/>
  <c r="T86" i="18" s="1"/>
  <c r="AI22" i="18"/>
  <c r="AJ22" i="18" s="1"/>
  <c r="AR57" i="18"/>
  <c r="AS57" i="18" s="1"/>
  <c r="Y59" i="18"/>
  <c r="Z59" i="18" s="1"/>
  <c r="AO14" i="18"/>
  <c r="AP14" i="18" s="1"/>
  <c r="AR74" i="18"/>
  <c r="AS74" i="18" s="1"/>
  <c r="AO41" i="18"/>
  <c r="AP41" i="18" s="1"/>
  <c r="AI6" i="18"/>
  <c r="AJ6" i="18" s="1"/>
  <c r="P59" i="18"/>
  <c r="Q59" i="18" s="1"/>
  <c r="P8" i="18"/>
  <c r="Q8" i="18" s="1"/>
  <c r="P24" i="18"/>
  <c r="Q24" i="18" s="1"/>
  <c r="AL41" i="18"/>
  <c r="AM41" i="18" s="1"/>
  <c r="V16" i="18"/>
  <c r="W16" i="18" s="1"/>
  <c r="AO82" i="18"/>
  <c r="AP82" i="18" s="1"/>
  <c r="S59" i="18"/>
  <c r="T59" i="18" s="1"/>
  <c r="AI82" i="18"/>
  <c r="AJ82" i="18" s="1"/>
  <c r="P94" i="18"/>
  <c r="Q94" i="18" s="1"/>
  <c r="Y86" i="18"/>
  <c r="Z86" i="18" s="1"/>
  <c r="AO74" i="18"/>
  <c r="AP74" i="18" s="1"/>
  <c r="AL14" i="18"/>
  <c r="AM14" i="18" s="1"/>
  <c r="P51" i="18"/>
  <c r="Q51" i="18" s="1"/>
  <c r="AI49" i="18"/>
  <c r="AJ49" i="18" s="1"/>
  <c r="AR82" i="18"/>
  <c r="AS82" i="18" s="1"/>
  <c r="AL74" i="18"/>
  <c r="AM74" i="18" s="1"/>
  <c r="S8" i="18"/>
  <c r="T8" i="18" s="1"/>
  <c r="V8" i="18"/>
  <c r="W8" i="18" s="1"/>
  <c r="AO49" i="18"/>
  <c r="AP49" i="18" s="1"/>
  <c r="AI57" i="18"/>
  <c r="AJ57" i="18" s="1"/>
  <c r="AR22" i="18"/>
  <c r="AS22" i="18" s="1"/>
  <c r="S24" i="18"/>
  <c r="T24" i="18" s="1"/>
  <c r="P43" i="18"/>
  <c r="Q43" i="18" s="1"/>
  <c r="AR41" i="18"/>
  <c r="AS41" i="18" s="1"/>
  <c r="V24" i="18"/>
  <c r="W24" i="18" s="1"/>
  <c r="V59" i="18"/>
  <c r="W59" i="18" s="1"/>
  <c r="P78" i="18"/>
  <c r="Q78" i="18" s="1"/>
  <c r="Y24" i="18"/>
  <c r="Z24" i="18" s="1"/>
  <c r="AL57" i="18"/>
  <c r="AM57" i="18" s="1"/>
  <c r="Y78" i="18"/>
  <c r="Z78" i="18" s="1"/>
  <c r="Y94" i="18"/>
  <c r="Z94" i="18" s="1"/>
  <c r="S43" i="18"/>
  <c r="T43" i="18" s="1"/>
  <c r="AR90" i="18"/>
  <c r="AS90" i="18" s="1"/>
  <c r="V94" i="18"/>
  <c r="W94" i="18" s="1"/>
  <c r="AI74" i="18"/>
  <c r="AJ74" i="18" s="1"/>
  <c r="AI41" i="18"/>
  <c r="AJ41" i="18" s="1"/>
  <c r="AO6" i="18"/>
  <c r="AP6" i="18" s="1"/>
  <c r="AO90" i="18"/>
  <c r="AP90" i="18" s="1"/>
  <c r="AR49" i="18"/>
  <c r="AS49" i="18" s="1"/>
  <c r="V43" i="18"/>
  <c r="W43" i="18" s="1"/>
  <c r="AL6" i="18"/>
  <c r="AM6" i="18" s="1"/>
  <c r="AO22" i="18"/>
  <c r="AP22" i="18" s="1"/>
  <c r="Y8" i="18"/>
  <c r="Z8" i="18" s="1"/>
  <c r="H23" i="18" s="1"/>
  <c r="AI14" i="18"/>
  <c r="AJ14" i="18" s="1"/>
  <c r="V51" i="18"/>
  <c r="W51" i="18" s="1"/>
  <c r="Y43" i="18"/>
  <c r="Z43" i="18" s="1"/>
  <c r="S94" i="18"/>
  <c r="T94" i="18" s="1"/>
  <c r="AR14" i="18"/>
  <c r="AS14" i="18" s="1"/>
  <c r="H24" i="18" s="1"/>
  <c r="V78" i="18"/>
  <c r="W78" i="18" s="1"/>
  <c r="V6" i="19"/>
  <c r="W6" i="19" s="1"/>
  <c r="U27" i="19" s="1"/>
  <c r="AI14" i="19"/>
  <c r="AJ14" i="19" s="1"/>
  <c r="AL14" i="19"/>
  <c r="AM14" i="19" s="1"/>
  <c r="AI22" i="19"/>
  <c r="AJ22" i="19" s="1"/>
  <c r="S6" i="19"/>
  <c r="T6" i="19" s="1"/>
  <c r="T27" i="19" s="1"/>
  <c r="A44" i="18"/>
  <c r="E45" i="18" s="1"/>
  <c r="E8" i="18"/>
  <c r="E44" i="18"/>
  <c r="A79" i="18"/>
  <c r="E80" i="18" s="1"/>
  <c r="A9" i="18"/>
  <c r="E9" i="18" s="1"/>
  <c r="AI14" i="8"/>
  <c r="AJ14" i="8" s="1"/>
  <c r="AR22" i="8"/>
  <c r="AS22" i="8" s="1"/>
  <c r="AL6" i="8"/>
  <c r="AM6" i="8" s="1"/>
  <c r="AL22" i="8"/>
  <c r="AM22" i="8" s="1"/>
  <c r="AL14" i="8"/>
  <c r="AM14" i="8" s="1"/>
  <c r="AI6" i="8"/>
  <c r="AJ6" i="8" s="1"/>
  <c r="AO6" i="8"/>
  <c r="AP6" i="8" s="1"/>
  <c r="AR6" i="8"/>
  <c r="AS6" i="8" s="1"/>
  <c r="AO14" i="8"/>
  <c r="AP14" i="8" s="1"/>
  <c r="AI22" i="8"/>
  <c r="AJ22" i="8" s="1"/>
  <c r="AR14" i="8"/>
  <c r="AS14" i="8" s="1"/>
  <c r="AO22" i="8"/>
  <c r="AP22" i="8" s="1"/>
  <c r="D2" i="17"/>
  <c r="B47" i="16"/>
  <c r="AP15" i="17"/>
  <c r="AQ15" i="17" s="1"/>
  <c r="G29" i="17" s="1"/>
  <c r="T8" i="17"/>
  <c r="U8" i="17" s="1"/>
  <c r="AP7" i="17"/>
  <c r="AQ7" i="17" s="1"/>
  <c r="G28" i="17" s="1"/>
  <c r="T16" i="17"/>
  <c r="U16" i="17" s="1"/>
  <c r="AM15" i="17"/>
  <c r="AN15" i="17" s="1"/>
  <c r="F29" i="17" s="1"/>
  <c r="Z74" i="17"/>
  <c r="AA74" i="17" s="1"/>
  <c r="Z24" i="17"/>
  <c r="AA24" i="17" s="1"/>
  <c r="Z16" i="17"/>
  <c r="AA16" i="17" s="1"/>
  <c r="AJ15" i="17"/>
  <c r="AK15" i="17" s="1"/>
  <c r="E29" i="17" s="1"/>
  <c r="Q16" i="17"/>
  <c r="R16" i="17" s="1"/>
  <c r="T41" i="17"/>
  <c r="U41" i="17" s="1"/>
  <c r="W66" i="17"/>
  <c r="X66" i="17" s="1"/>
  <c r="Q33" i="17"/>
  <c r="R33" i="17" s="1"/>
  <c r="Z8" i="17"/>
  <c r="AA8" i="17" s="1"/>
  <c r="AJ23" i="17"/>
  <c r="AK23" i="17" s="1"/>
  <c r="E30" i="17" s="1"/>
  <c r="W16" i="17"/>
  <c r="X16" i="17" s="1"/>
  <c r="AS23" i="17"/>
  <c r="AT23" i="17" s="1"/>
  <c r="H30" i="17" s="1"/>
  <c r="T58" i="17"/>
  <c r="U58" i="17" s="1"/>
  <c r="AJ7" i="17"/>
  <c r="AK7" i="17" s="1"/>
  <c r="E28" i="17" s="1"/>
  <c r="Z49" i="17"/>
  <c r="AA49" i="17" s="1"/>
  <c r="AM23" i="17"/>
  <c r="AN23" i="17" s="1"/>
  <c r="F30" i="17" s="1"/>
  <c r="Q74" i="17"/>
  <c r="R74" i="17" s="1"/>
  <c r="T24" i="17"/>
  <c r="U24" i="17" s="1"/>
  <c r="Z41" i="17"/>
  <c r="AA41" i="17" s="1"/>
  <c r="W74" i="17"/>
  <c r="X74" i="17" s="1"/>
  <c r="Q8" i="17"/>
  <c r="R8" i="17" s="1"/>
  <c r="AP23" i="17"/>
  <c r="AQ23" i="17" s="1"/>
  <c r="G30" i="17" s="1"/>
  <c r="T49" i="17"/>
  <c r="U49" i="17" s="1"/>
  <c r="W41" i="17"/>
  <c r="X41" i="17" s="1"/>
  <c r="Z33" i="17"/>
  <c r="AA33" i="17" s="1"/>
  <c r="T74" i="17"/>
  <c r="U74" i="17" s="1"/>
  <c r="Q66" i="17"/>
  <c r="R66" i="17" s="1"/>
  <c r="W49" i="17"/>
  <c r="X49" i="17" s="1"/>
  <c r="Q49" i="17"/>
  <c r="R49" i="17" s="1"/>
  <c r="AS15" i="17"/>
  <c r="AT15" i="17" s="1"/>
  <c r="H29" i="17" s="1"/>
  <c r="Z66" i="17"/>
  <c r="AA66" i="17" s="1"/>
  <c r="W24" i="17"/>
  <c r="X24" i="17" s="1"/>
  <c r="W58" i="17"/>
  <c r="X58" i="17" s="1"/>
  <c r="T66" i="17"/>
  <c r="U66" i="17" s="1"/>
  <c r="AM7" i="17"/>
  <c r="AN7" i="17" s="1"/>
  <c r="F28" i="17" s="1"/>
  <c r="Z58" i="17"/>
  <c r="AA58" i="17" s="1"/>
  <c r="AS7" i="17"/>
  <c r="AT7" i="17" s="1"/>
  <c r="H28" i="17" s="1"/>
  <c r="T33" i="17"/>
  <c r="U33" i="17" s="1"/>
  <c r="Q41" i="17"/>
  <c r="R41" i="17" s="1"/>
  <c r="Q58" i="17"/>
  <c r="R58" i="17" s="1"/>
  <c r="Q24" i="17"/>
  <c r="R24" i="17" s="1"/>
  <c r="W33" i="17"/>
  <c r="X33" i="17" s="1"/>
  <c r="W8" i="17"/>
  <c r="X8" i="17" s="1"/>
  <c r="B2" i="10"/>
  <c r="D2" i="10"/>
  <c r="Z74" i="12"/>
  <c r="AA74" i="12" s="1"/>
  <c r="Z58" i="12"/>
  <c r="AA58" i="12" s="1"/>
  <c r="Z41" i="12"/>
  <c r="AA41" i="12" s="1"/>
  <c r="W74" i="12"/>
  <c r="X74" i="12" s="1"/>
  <c r="W58" i="12"/>
  <c r="X58" i="12" s="1"/>
  <c r="W41" i="12"/>
  <c r="X41" i="12" s="1"/>
  <c r="W49" i="12"/>
  <c r="X49" i="12" s="1"/>
  <c r="T74" i="12"/>
  <c r="U74" i="12" s="1"/>
  <c r="T58" i="12"/>
  <c r="U58" i="12" s="1"/>
  <c r="T41" i="12"/>
  <c r="U41" i="12" s="1"/>
  <c r="W66" i="12"/>
  <c r="X66" i="12" s="1"/>
  <c r="Q33" i="12"/>
  <c r="R33" i="12" s="1"/>
  <c r="Q74" i="12"/>
  <c r="R74" i="12" s="1"/>
  <c r="Q58" i="12"/>
  <c r="R58" i="12" s="1"/>
  <c r="Q41" i="12"/>
  <c r="R41" i="12" s="1"/>
  <c r="W33" i="12"/>
  <c r="X33" i="12" s="1"/>
  <c r="Z66" i="12"/>
  <c r="AA66" i="12" s="1"/>
  <c r="Z49" i="12"/>
  <c r="AA49" i="12" s="1"/>
  <c r="Z33" i="12"/>
  <c r="AA33" i="12" s="1"/>
  <c r="T66" i="12"/>
  <c r="U66" i="12" s="1"/>
  <c r="T49" i="12"/>
  <c r="U49" i="12" s="1"/>
  <c r="T33" i="12"/>
  <c r="U33" i="12" s="1"/>
  <c r="Q66" i="12"/>
  <c r="R66" i="12" s="1"/>
  <c r="Q49" i="12"/>
  <c r="R49" i="12" s="1"/>
  <c r="AP15" i="12"/>
  <c r="AQ15" i="12" s="1"/>
  <c r="G29" i="12" s="1"/>
  <c r="S73" i="16"/>
  <c r="T73" i="16" s="1"/>
  <c r="V86" i="16" s="1"/>
  <c r="R110" i="16"/>
  <c r="S110" i="16" s="1"/>
  <c r="G124" i="16"/>
  <c r="H124" i="16" s="1"/>
  <c r="D42" i="16" s="1"/>
  <c r="G110" i="16"/>
  <c r="R124" i="16"/>
  <c r="S124" i="16" s="1"/>
  <c r="R103" i="16"/>
  <c r="S103" i="16" s="1"/>
  <c r="R117" i="16"/>
  <c r="S117" i="16" s="1"/>
  <c r="G117" i="16"/>
  <c r="H117" i="16" s="1"/>
  <c r="D41" i="16" s="1"/>
  <c r="R96" i="16"/>
  <c r="S96" i="16" s="1"/>
  <c r="G103" i="16"/>
  <c r="H103" i="16" s="1"/>
  <c r="D39" i="16" s="1"/>
  <c r="G96" i="16"/>
  <c r="H96" i="16" s="1"/>
  <c r="D38" i="16" s="1"/>
  <c r="A54" i="16"/>
  <c r="D48" i="16" s="1"/>
  <c r="AD9" i="16"/>
  <c r="AG3" i="16" s="1"/>
  <c r="AD54" i="16"/>
  <c r="AG48" i="16" s="1"/>
  <c r="S52" i="16"/>
  <c r="M35" i="16"/>
  <c r="N35" i="16" s="1"/>
  <c r="M28" i="16"/>
  <c r="N28" i="16" s="1"/>
  <c r="S28" i="16"/>
  <c r="T28" i="16" s="1"/>
  <c r="V41" i="16" s="1"/>
  <c r="P80" i="16"/>
  <c r="S35" i="16"/>
  <c r="T35" i="16" s="1"/>
  <c r="V42" i="16" s="1"/>
  <c r="S21" i="16"/>
  <c r="T21" i="16" s="1"/>
  <c r="V40" i="16" s="1"/>
  <c r="S80" i="16"/>
  <c r="P59" i="16"/>
  <c r="V52" i="16"/>
  <c r="M14" i="16"/>
  <c r="N14" i="16" s="1"/>
  <c r="S7" i="16"/>
  <c r="P28" i="16"/>
  <c r="Q28" i="16" s="1"/>
  <c r="P21" i="16"/>
  <c r="Q21" i="16" s="1"/>
  <c r="I85" i="16" s="1"/>
  <c r="M52" i="16"/>
  <c r="N52" i="16" s="1"/>
  <c r="V59" i="16"/>
  <c r="W59" i="16" s="1"/>
  <c r="M7" i="16"/>
  <c r="N7" i="16" s="1"/>
  <c r="P14" i="16"/>
  <c r="V73" i="16"/>
  <c r="W73" i="16" s="1"/>
  <c r="V7" i="16"/>
  <c r="W7" i="16" s="1"/>
  <c r="M80" i="16"/>
  <c r="N80" i="16" s="1"/>
  <c r="V21" i="16"/>
  <c r="W21" i="16" s="1"/>
  <c r="V14" i="16"/>
  <c r="W14" i="16" s="1"/>
  <c r="M21" i="16"/>
  <c r="N21" i="16" s="1"/>
  <c r="M73" i="16"/>
  <c r="N73" i="16" s="1"/>
  <c r="P52" i="16"/>
  <c r="Q52" i="16" s="1"/>
  <c r="F83" i="16" s="1"/>
  <c r="S14" i="16"/>
  <c r="T14" i="16" s="1"/>
  <c r="V39" i="16" s="1"/>
  <c r="P7" i="16"/>
  <c r="P35" i="16"/>
  <c r="Q35" i="16" s="1"/>
  <c r="I87" i="16" s="1"/>
  <c r="V35" i="16"/>
  <c r="M66" i="16"/>
  <c r="N66" i="16" s="1"/>
  <c r="V66" i="16"/>
  <c r="W66" i="16" s="1"/>
  <c r="P66" i="16"/>
  <c r="V28" i="16"/>
  <c r="W28" i="16" s="1"/>
  <c r="M59" i="16"/>
  <c r="N59" i="16" s="1"/>
  <c r="P73" i="16"/>
  <c r="AY80" i="16"/>
  <c r="AY66" i="16"/>
  <c r="AY52" i="16"/>
  <c r="AY28" i="16"/>
  <c r="AZ28" i="16" s="1"/>
  <c r="AZ41" i="16" s="1"/>
  <c r="AY14" i="16"/>
  <c r="AZ14" i="16" s="1"/>
  <c r="AZ39" i="16" s="1"/>
  <c r="AV80" i="16"/>
  <c r="AV66" i="16"/>
  <c r="AV52" i="16"/>
  <c r="AV28" i="16"/>
  <c r="AW28" i="16" s="1"/>
  <c r="AY41" i="16" s="1"/>
  <c r="AV14" i="16"/>
  <c r="AW14" i="16" s="1"/>
  <c r="AY39" i="16" s="1"/>
  <c r="AS80" i="16"/>
  <c r="AT80" i="16" s="1"/>
  <c r="AS66" i="16"/>
  <c r="AT66" i="16" s="1"/>
  <c r="AS52" i="16"/>
  <c r="AT52" i="16" s="1"/>
  <c r="AI83" i="16" s="1"/>
  <c r="AS28" i="16"/>
  <c r="AT28" i="16" s="1"/>
  <c r="AS14" i="16"/>
  <c r="AT14" i="16" s="1"/>
  <c r="AP7" i="16"/>
  <c r="AQ7" i="16" s="1"/>
  <c r="AP35" i="16"/>
  <c r="AQ35" i="16" s="1"/>
  <c r="AP80" i="16"/>
  <c r="AQ80" i="16" s="1"/>
  <c r="AP66" i="16"/>
  <c r="AQ66" i="16" s="1"/>
  <c r="AP52" i="16"/>
  <c r="AQ52" i="16" s="1"/>
  <c r="AP28" i="16"/>
  <c r="AQ28" i="16" s="1"/>
  <c r="AP14" i="16"/>
  <c r="AQ14" i="16" s="1"/>
  <c r="AY73" i="16"/>
  <c r="AY59" i="16"/>
  <c r="AY35" i="16"/>
  <c r="AZ35" i="16" s="1"/>
  <c r="AZ42" i="16" s="1"/>
  <c r="AY21" i="16"/>
  <c r="AZ21" i="16" s="1"/>
  <c r="AZ40" i="16" s="1"/>
  <c r="AS7" i="16"/>
  <c r="AT7" i="16" s="1"/>
  <c r="AV73" i="16"/>
  <c r="AV59" i="16"/>
  <c r="AV35" i="16"/>
  <c r="AW35" i="16" s="1"/>
  <c r="AY42" i="16" s="1"/>
  <c r="AV21" i="16"/>
  <c r="AW21" i="16" s="1"/>
  <c r="AY40" i="16" s="1"/>
  <c r="AV7" i="16"/>
  <c r="AW7" i="16" s="1"/>
  <c r="AY38" i="16" s="1"/>
  <c r="AS73" i="16"/>
  <c r="AT73" i="16" s="1"/>
  <c r="AS59" i="16"/>
  <c r="AT59" i="16" s="1"/>
  <c r="AS35" i="16"/>
  <c r="AT35" i="16" s="1"/>
  <c r="AS21" i="16"/>
  <c r="AT21" i="16" s="1"/>
  <c r="AY7" i="16"/>
  <c r="AZ7" i="16" s="1"/>
  <c r="AZ38" i="16" s="1"/>
  <c r="AP73" i="16"/>
  <c r="AQ73" i="16" s="1"/>
  <c r="AP59" i="16"/>
  <c r="AQ59" i="16" s="1"/>
  <c r="AP21" i="16"/>
  <c r="AQ21" i="16" s="1"/>
  <c r="S59" i="16"/>
  <c r="V80" i="16"/>
  <c r="W80" i="16" s="1"/>
  <c r="S66" i="16"/>
  <c r="B1" i="15"/>
  <c r="B1" i="8"/>
  <c r="E8" i="8" s="1"/>
  <c r="B1" i="9"/>
  <c r="D2" i="9" s="1"/>
  <c r="B46" i="15"/>
  <c r="B1" i="13"/>
  <c r="A9" i="13" s="1"/>
  <c r="D3" i="13" s="1"/>
  <c r="B1" i="12"/>
  <c r="D2" i="12" s="1"/>
  <c r="V80" i="15"/>
  <c r="M73" i="15"/>
  <c r="N73" i="15" s="1"/>
  <c r="P59" i="15"/>
  <c r="P52" i="15"/>
  <c r="Q52" i="15" s="1"/>
  <c r="V7" i="15"/>
  <c r="W7" i="15" s="1"/>
  <c r="M35" i="15"/>
  <c r="N35" i="15" s="1"/>
  <c r="M21" i="15"/>
  <c r="N21" i="15" s="1"/>
  <c r="S66" i="15"/>
  <c r="P7" i="15"/>
  <c r="Q7" i="15" s="1"/>
  <c r="H38" i="15" s="1"/>
  <c r="S14" i="15"/>
  <c r="T14" i="15" s="1"/>
  <c r="U39" i="15" s="1"/>
  <c r="S80" i="15"/>
  <c r="V66" i="15"/>
  <c r="M59" i="15"/>
  <c r="N59" i="15" s="1"/>
  <c r="M52" i="15"/>
  <c r="N52" i="15" s="1"/>
  <c r="S7" i="15"/>
  <c r="T7" i="15" s="1"/>
  <c r="U38" i="15" s="1"/>
  <c r="V28" i="15"/>
  <c r="W28" i="15" s="1"/>
  <c r="V14" i="15"/>
  <c r="W14" i="15" s="1"/>
  <c r="P80" i="15"/>
  <c r="Q80" i="15" s="1"/>
  <c r="S28" i="15"/>
  <c r="T28" i="15" s="1"/>
  <c r="U41" i="15" s="1"/>
  <c r="M80" i="15"/>
  <c r="N80" i="15" s="1"/>
  <c r="P66" i="15"/>
  <c r="Q66" i="15" s="1"/>
  <c r="P28" i="15"/>
  <c r="Q28" i="15" s="1"/>
  <c r="H41" i="15" s="1"/>
  <c r="P14" i="15"/>
  <c r="Q14" i="15" s="1"/>
  <c r="H39" i="15" s="1"/>
  <c r="M66" i="15"/>
  <c r="N66" i="15" s="1"/>
  <c r="M28" i="15"/>
  <c r="N28" i="15" s="1"/>
  <c r="M14" i="15"/>
  <c r="N14" i="15" s="1"/>
  <c r="V35" i="15"/>
  <c r="W35" i="15" s="1"/>
  <c r="V73" i="15"/>
  <c r="V21" i="15"/>
  <c r="W21" i="15" s="1"/>
  <c r="S73" i="15"/>
  <c r="V59" i="15"/>
  <c r="W59" i="15" s="1"/>
  <c r="V52" i="15"/>
  <c r="W52" i="15" s="1"/>
  <c r="S35" i="15"/>
  <c r="T35" i="15" s="1"/>
  <c r="U42" i="15" s="1"/>
  <c r="S21" i="15"/>
  <c r="T21" i="15" s="1"/>
  <c r="U40" i="15" s="1"/>
  <c r="P73" i="15"/>
  <c r="Q73" i="15" s="1"/>
  <c r="S59" i="15"/>
  <c r="S52" i="15"/>
  <c r="P35" i="15"/>
  <c r="Q35" i="15" s="1"/>
  <c r="H42" i="15" s="1"/>
  <c r="P21" i="15"/>
  <c r="Q21" i="15" s="1"/>
  <c r="H40" i="15" s="1"/>
  <c r="T41" i="14"/>
  <c r="U41" i="14" s="1"/>
  <c r="AM7" i="14"/>
  <c r="AN7" i="14" s="1"/>
  <c r="F28" i="14" s="1"/>
  <c r="Z74" i="14"/>
  <c r="AA74" i="14" s="1"/>
  <c r="T49" i="14"/>
  <c r="U49" i="14" s="1"/>
  <c r="Z66" i="14"/>
  <c r="AA66" i="14" s="1"/>
  <c r="AM15" i="14"/>
  <c r="AN15" i="14" s="1"/>
  <c r="F29" i="14" s="1"/>
  <c r="AJ15" i="14"/>
  <c r="AK15" i="14" s="1"/>
  <c r="E29" i="14" s="1"/>
  <c r="Q33" i="14"/>
  <c r="R33" i="14" s="1"/>
  <c r="Z58" i="14"/>
  <c r="AA58" i="14" s="1"/>
  <c r="Q49" i="14"/>
  <c r="R49" i="14" s="1"/>
  <c r="Z41" i="14"/>
  <c r="AA41" i="14" s="1"/>
  <c r="T24" i="14"/>
  <c r="U24" i="14" s="1"/>
  <c r="AJ23" i="14"/>
  <c r="AK23" i="14" s="1"/>
  <c r="E30" i="14" s="1"/>
  <c r="W49" i="14"/>
  <c r="X49" i="14" s="1"/>
  <c r="Q58" i="14"/>
  <c r="R58" i="14" s="1"/>
  <c r="AS23" i="14"/>
  <c r="AT23" i="14" s="1"/>
  <c r="H30" i="14" s="1"/>
  <c r="T33" i="14"/>
  <c r="U33" i="14" s="1"/>
  <c r="W74" i="14"/>
  <c r="X74" i="14" s="1"/>
  <c r="Q24" i="14"/>
  <c r="R24" i="14" s="1"/>
  <c r="T16" i="14"/>
  <c r="U16" i="14" s="1"/>
  <c r="T8" i="14"/>
  <c r="U8" i="14" s="1"/>
  <c r="Q8" i="14"/>
  <c r="R8" i="14" s="1"/>
  <c r="AP15" i="14"/>
  <c r="AQ15" i="14" s="1"/>
  <c r="G29" i="14" s="1"/>
  <c r="Q16" i="14"/>
  <c r="R16" i="14" s="1"/>
  <c r="W58" i="14"/>
  <c r="X58" i="14" s="1"/>
  <c r="Q74" i="14"/>
  <c r="R74" i="14" s="1"/>
  <c r="T58" i="14"/>
  <c r="U58" i="14" s="1"/>
  <c r="AS7" i="14"/>
  <c r="AT7" i="14" s="1"/>
  <c r="H28" i="14" s="1"/>
  <c r="Z8" i="14"/>
  <c r="AA8" i="14" s="1"/>
  <c r="AS15" i="14"/>
  <c r="AT15" i="14" s="1"/>
  <c r="H29" i="14" s="1"/>
  <c r="W66" i="14"/>
  <c r="X66" i="14" s="1"/>
  <c r="Z24" i="14"/>
  <c r="AA24" i="14" s="1"/>
  <c r="W24" i="14"/>
  <c r="X24" i="14" s="1"/>
  <c r="Z16" i="14"/>
  <c r="AA16" i="14" s="1"/>
  <c r="T66" i="14"/>
  <c r="U66" i="14" s="1"/>
  <c r="W33" i="14"/>
  <c r="X33" i="14" s="1"/>
  <c r="W8" i="14"/>
  <c r="X8" i="14" s="1"/>
  <c r="AJ7" i="14"/>
  <c r="AK7" i="14" s="1"/>
  <c r="E28" i="14" s="1"/>
  <c r="AP23" i="14"/>
  <c r="AQ23" i="14" s="1"/>
  <c r="G30" i="14" s="1"/>
  <c r="Z49" i="14"/>
  <c r="AA49" i="14" s="1"/>
  <c r="AP7" i="14"/>
  <c r="AQ7" i="14" s="1"/>
  <c r="G28" i="14" s="1"/>
  <c r="T74" i="14"/>
  <c r="U74" i="14" s="1"/>
  <c r="W41" i="14"/>
  <c r="X41" i="14" s="1"/>
  <c r="Z33" i="14"/>
  <c r="AA33" i="14" s="1"/>
  <c r="W16" i="14"/>
  <c r="X16" i="14" s="1"/>
  <c r="AM23" i="14"/>
  <c r="AN23" i="14" s="1"/>
  <c r="F30" i="14" s="1"/>
  <c r="Q41" i="14"/>
  <c r="R41" i="14" s="1"/>
  <c r="Q66" i="14"/>
  <c r="R66" i="14" s="1"/>
  <c r="M7" i="15"/>
  <c r="N7" i="15" s="1"/>
  <c r="A9" i="14"/>
  <c r="D3" i="14" s="1"/>
  <c r="D2" i="14"/>
  <c r="B1" i="7"/>
  <c r="A9" i="7" s="1"/>
  <c r="D3" i="7" s="1"/>
  <c r="AO90" i="8"/>
  <c r="AP90" i="8" s="1"/>
  <c r="S24" i="7"/>
  <c r="T24" i="7" s="1"/>
  <c r="V78" i="8"/>
  <c r="W78" i="8" s="1"/>
  <c r="AI82" i="8"/>
  <c r="AJ82" i="8" s="1"/>
  <c r="AR55" i="8"/>
  <c r="AS55" i="8" s="1"/>
  <c r="Y78" i="8"/>
  <c r="Z78" i="8" s="1"/>
  <c r="V24" i="8"/>
  <c r="W24" i="8" s="1"/>
  <c r="Y43" i="8"/>
  <c r="Z43" i="8" s="1"/>
  <c r="S86" i="8"/>
  <c r="T86" i="8" s="1"/>
  <c r="AI23" i="7"/>
  <c r="AJ23" i="7" s="1"/>
  <c r="S8" i="8"/>
  <c r="T8" i="8" s="1"/>
  <c r="AO15" i="7"/>
  <c r="AP15" i="7" s="1"/>
  <c r="P16" i="8"/>
  <c r="Q16" i="8" s="1"/>
  <c r="M24" i="7"/>
  <c r="N24" i="7" s="1"/>
  <c r="S94" i="8"/>
  <c r="T94" i="8" s="1"/>
  <c r="AI39" i="8"/>
  <c r="AJ39" i="8" s="1"/>
  <c r="Y86" i="8"/>
  <c r="Z86" i="8" s="1"/>
  <c r="S51" i="8"/>
  <c r="T51" i="8" s="1"/>
  <c r="P43" i="8"/>
  <c r="Q43" i="8" s="1"/>
  <c r="AR74" i="8"/>
  <c r="AS74" i="8" s="1"/>
  <c r="Y59" i="8"/>
  <c r="Z59" i="8" s="1"/>
  <c r="Y24" i="8"/>
  <c r="Z24" i="8" s="1"/>
  <c r="A9" i="11"/>
  <c r="E9" i="11" s="1"/>
  <c r="E8" i="11"/>
  <c r="E44" i="11"/>
  <c r="E79" i="11"/>
  <c r="V16" i="7"/>
  <c r="W16" i="7" s="1"/>
  <c r="AL15" i="7"/>
  <c r="AM15" i="7" s="1"/>
  <c r="AI15" i="9"/>
  <c r="AJ15" i="9" s="1"/>
  <c r="S8" i="7"/>
  <c r="T8" i="7" s="1"/>
  <c r="S16" i="7"/>
  <c r="T16" i="7" s="1"/>
  <c r="AL55" i="8"/>
  <c r="AM55" i="8" s="1"/>
  <c r="AI90" i="8"/>
  <c r="AJ90" i="8" s="1"/>
  <c r="AL82" i="8"/>
  <c r="AM82" i="8" s="1"/>
  <c r="AO55" i="8"/>
  <c r="AP55" i="8" s="1"/>
  <c r="V43" i="8"/>
  <c r="W43" i="8" s="1"/>
  <c r="S43" i="8"/>
  <c r="T43" i="8" s="1"/>
  <c r="V51" i="8"/>
  <c r="W51" i="8" s="1"/>
  <c r="AL74" i="8"/>
  <c r="AM74" i="8" s="1"/>
  <c r="AL47" i="8"/>
  <c r="AM47" i="8" s="1"/>
  <c r="P86" i="8"/>
  <c r="Q86" i="8" s="1"/>
  <c r="S24" i="8"/>
  <c r="T24" i="8" s="1"/>
  <c r="V8" i="8"/>
  <c r="W8" i="8" s="1"/>
  <c r="Y94" i="8"/>
  <c r="Z94" i="8" s="1"/>
  <c r="Y16" i="8"/>
  <c r="Z16" i="8" s="1"/>
  <c r="AR47" i="8"/>
  <c r="AS47" i="8" s="1"/>
  <c r="Y51" i="8"/>
  <c r="Z51" i="8" s="1"/>
  <c r="V59" i="8"/>
  <c r="W59" i="8" s="1"/>
  <c r="S16" i="8"/>
  <c r="T16" i="8" s="1"/>
  <c r="P59" i="8"/>
  <c r="Q59" i="8" s="1"/>
  <c r="AI47" i="8"/>
  <c r="AJ47" i="8" s="1"/>
  <c r="AO74" i="8"/>
  <c r="AP74" i="8" s="1"/>
  <c r="P94" i="8"/>
  <c r="Q94" i="8" s="1"/>
  <c r="V86" i="8"/>
  <c r="W86" i="8" s="1"/>
  <c r="AR82" i="8"/>
  <c r="AS82" i="8" s="1"/>
  <c r="S59" i="8"/>
  <c r="T59" i="8" s="1"/>
  <c r="P24" i="8"/>
  <c r="Q24" i="8" s="1"/>
  <c r="Y8" i="8"/>
  <c r="Z8" i="8" s="1"/>
  <c r="AO47" i="8"/>
  <c r="AP47" i="8" s="1"/>
  <c r="AI74" i="8"/>
  <c r="AJ74" i="8" s="1"/>
  <c r="P78" i="8"/>
  <c r="Q78" i="8" s="1"/>
  <c r="AL90" i="8"/>
  <c r="AM90" i="8" s="1"/>
  <c r="V8" i="7"/>
  <c r="W8" i="7" s="1"/>
  <c r="AL7" i="7"/>
  <c r="AM7" i="7" s="1"/>
  <c r="M16" i="7"/>
  <c r="N16" i="7" s="1"/>
  <c r="P16" i="7"/>
  <c r="Q16" i="7" s="1"/>
  <c r="V24" i="7"/>
  <c r="W24" i="7" s="1"/>
  <c r="U29" i="7" s="1"/>
  <c r="AO7" i="9"/>
  <c r="AP7" i="9" s="1"/>
  <c r="AI15" i="7"/>
  <c r="AJ15" i="7" s="1"/>
  <c r="AF23" i="7"/>
  <c r="AG23" i="7" s="1"/>
  <c r="AI7" i="7"/>
  <c r="AJ7" i="7" s="1"/>
  <c r="AF7" i="9"/>
  <c r="AG7" i="9" s="1"/>
  <c r="AO15" i="9"/>
  <c r="AP15" i="9" s="1"/>
  <c r="AO23" i="9"/>
  <c r="AP23" i="9" s="1"/>
  <c r="V8" i="9"/>
  <c r="W8" i="9" s="1"/>
  <c r="P24" i="9"/>
  <c r="Q24" i="9" s="1"/>
  <c r="M24" i="9"/>
  <c r="N24" i="9" s="1"/>
  <c r="S16" i="9"/>
  <c r="T16" i="9" s="1"/>
  <c r="T28" i="9" s="1"/>
  <c r="AI23" i="9"/>
  <c r="AJ23" i="9" s="1"/>
  <c r="AF15" i="9"/>
  <c r="AG15" i="9" s="1"/>
  <c r="P8" i="9"/>
  <c r="Q8" i="9" s="1"/>
  <c r="AL23" i="9"/>
  <c r="AM23" i="9" s="1"/>
  <c r="AL7" i="9"/>
  <c r="AM7" i="9" s="1"/>
  <c r="AI7" i="9"/>
  <c r="AJ7" i="9" s="1"/>
  <c r="V16" i="9"/>
  <c r="W16" i="9" s="1"/>
  <c r="M8" i="9"/>
  <c r="N8" i="9" s="1"/>
  <c r="P16" i="9"/>
  <c r="Q16" i="9" s="1"/>
  <c r="S24" i="4"/>
  <c r="T24" i="4" s="1"/>
  <c r="S8" i="4"/>
  <c r="T8" i="4" s="1"/>
  <c r="S16" i="4"/>
  <c r="T16" i="4" s="1"/>
  <c r="AF8" i="4"/>
  <c r="AG8" i="4" s="1"/>
  <c r="AL8" i="4"/>
  <c r="AM8" i="4" s="1"/>
  <c r="V8" i="4"/>
  <c r="W8" i="4" s="1"/>
  <c r="P16" i="4"/>
  <c r="Q16" i="4" s="1"/>
  <c r="AO24" i="4"/>
  <c r="AP24" i="4" s="1"/>
  <c r="P8" i="4"/>
  <c r="Q8" i="4" s="1"/>
  <c r="AO16" i="4"/>
  <c r="AP16" i="4" s="1"/>
  <c r="P24" i="4"/>
  <c r="Q24" i="4" s="1"/>
  <c r="AF24" i="4"/>
  <c r="AG24" i="4" s="1"/>
  <c r="AI16" i="4"/>
  <c r="AJ16" i="4" s="1"/>
  <c r="V16" i="4"/>
  <c r="W16" i="4" s="1"/>
  <c r="AI24" i="4"/>
  <c r="AJ24" i="4" s="1"/>
  <c r="M8" i="4"/>
  <c r="N8" i="4" s="1"/>
  <c r="AL24" i="4"/>
  <c r="AM24" i="4" s="1"/>
  <c r="AO8" i="4"/>
  <c r="AP8" i="4" s="1"/>
  <c r="AI8" i="4"/>
  <c r="AJ8" i="4" s="1"/>
  <c r="AF16" i="4"/>
  <c r="AG16" i="4" s="1"/>
  <c r="V24" i="4"/>
  <c r="W24" i="4" s="1"/>
  <c r="M16" i="4"/>
  <c r="N16" i="4" s="1"/>
  <c r="AL16" i="4"/>
  <c r="AM16" i="4" s="1"/>
  <c r="M24" i="4"/>
  <c r="N24" i="4" s="1"/>
  <c r="B2" i="13"/>
  <c r="P24" i="11"/>
  <c r="Q24" i="11" s="1"/>
  <c r="V24" i="9"/>
  <c r="W24" i="9" s="1"/>
  <c r="M16" i="9"/>
  <c r="N16" i="9" s="1"/>
  <c r="AF23" i="9"/>
  <c r="AG23" i="9" s="1"/>
  <c r="AR58" i="11"/>
  <c r="AS58" i="11" s="1"/>
  <c r="S8" i="9"/>
  <c r="T8" i="9" s="1"/>
  <c r="S24" i="9"/>
  <c r="T24" i="9" s="1"/>
  <c r="AR50" i="11"/>
  <c r="AS50" i="11" s="1"/>
  <c r="AI77" i="11"/>
  <c r="AJ77" i="11" s="1"/>
  <c r="Y78" i="11"/>
  <c r="Z78" i="11" s="1"/>
  <c r="Y16" i="11"/>
  <c r="Z16" i="11" s="1"/>
  <c r="AR7" i="11"/>
  <c r="AS7" i="11" s="1"/>
  <c r="V43" i="11"/>
  <c r="W43" i="11" s="1"/>
  <c r="AP23" i="12"/>
  <c r="AQ23" i="12" s="1"/>
  <c r="G30" i="12" s="1"/>
  <c r="T24" i="12"/>
  <c r="U24" i="12" s="1"/>
  <c r="AJ23" i="12"/>
  <c r="AK23" i="12" s="1"/>
  <c r="E30" i="12" s="1"/>
  <c r="Q24" i="12"/>
  <c r="R24" i="12" s="1"/>
  <c r="W8" i="12"/>
  <c r="X8" i="12" s="1"/>
  <c r="Q16" i="12"/>
  <c r="R16" i="12" s="1"/>
  <c r="V59" i="11"/>
  <c r="W59" i="11" s="1"/>
  <c r="V86" i="11"/>
  <c r="W86" i="11" s="1"/>
  <c r="S43" i="11"/>
  <c r="T43" i="11" s="1"/>
  <c r="AM7" i="12"/>
  <c r="AN7" i="12" s="1"/>
  <c r="F28" i="12" s="1"/>
  <c r="T16" i="12"/>
  <c r="U16" i="12" s="1"/>
  <c r="W16" i="12"/>
  <c r="X16" i="12" s="1"/>
  <c r="AL23" i="11"/>
  <c r="AM23" i="11" s="1"/>
  <c r="V16" i="11"/>
  <c r="W16" i="11" s="1"/>
  <c r="AL77" i="11"/>
  <c r="AM77" i="11" s="1"/>
  <c r="AS23" i="12"/>
  <c r="AT23" i="12" s="1"/>
  <c r="H30" i="12" s="1"/>
  <c r="AS7" i="12"/>
  <c r="AT7" i="12" s="1"/>
  <c r="H28" i="12" s="1"/>
  <c r="Z24" i="12"/>
  <c r="AA24" i="12" s="1"/>
  <c r="AP7" i="12"/>
  <c r="AQ7" i="12" s="1"/>
  <c r="G28" i="12" s="1"/>
  <c r="W24" i="12"/>
  <c r="X24" i="12" s="1"/>
  <c r="AS15" i="12"/>
  <c r="AT15" i="12" s="1"/>
  <c r="H29" i="12" s="1"/>
  <c r="AO77" i="11"/>
  <c r="AP77" i="11" s="1"/>
  <c r="V94" i="11"/>
  <c r="W94" i="11" s="1"/>
  <c r="AL50" i="11"/>
  <c r="AM50" i="11" s="1"/>
  <c r="S59" i="11"/>
  <c r="T59" i="11" s="1"/>
  <c r="AM23" i="12"/>
  <c r="AN23" i="12" s="1"/>
  <c r="F30" i="12" s="1"/>
  <c r="Q8" i="12"/>
  <c r="R8" i="12" s="1"/>
  <c r="T8" i="12"/>
  <c r="U8" i="12" s="1"/>
  <c r="P43" i="11"/>
  <c r="Q43" i="11" s="1"/>
  <c r="S86" i="11"/>
  <c r="T86" i="11" s="1"/>
  <c r="Y94" i="11"/>
  <c r="Z94" i="11" s="1"/>
  <c r="P94" i="11"/>
  <c r="Q94" i="11" s="1"/>
  <c r="Z16" i="12"/>
  <c r="AA16" i="12" s="1"/>
  <c r="AJ7" i="12"/>
  <c r="AK7" i="12" s="1"/>
  <c r="E28" i="12" s="1"/>
  <c r="AM15" i="12"/>
  <c r="AN15" i="12" s="1"/>
  <c r="F29" i="12" s="1"/>
  <c r="AI42" i="11"/>
  <c r="AJ42" i="11" s="1"/>
  <c r="AO23" i="11"/>
  <c r="AP23" i="11" s="1"/>
  <c r="V78" i="11"/>
  <c r="W78" i="11" s="1"/>
  <c r="Y43" i="11"/>
  <c r="Z43" i="11" s="1"/>
  <c r="AJ15" i="12"/>
  <c r="AK15" i="12" s="1"/>
  <c r="E29" i="12" s="1"/>
  <c r="Z8" i="12"/>
  <c r="AA8" i="12" s="1"/>
  <c r="P86" i="11"/>
  <c r="Q86" i="11" s="1"/>
  <c r="Y59" i="11"/>
  <c r="Z59" i="11" s="1"/>
  <c r="AO7" i="11"/>
  <c r="AP7" i="11" s="1"/>
  <c r="V24" i="11"/>
  <c r="W24" i="11" s="1"/>
  <c r="AO7" i="7"/>
  <c r="AP7" i="7" s="1"/>
  <c r="AF15" i="7"/>
  <c r="AG15" i="7" s="1"/>
  <c r="AL58" i="11"/>
  <c r="AM58" i="11" s="1"/>
  <c r="AI7" i="11"/>
  <c r="AJ7" i="11" s="1"/>
  <c r="Y24" i="11"/>
  <c r="Z24" i="11" s="1"/>
  <c r="H25" i="11" s="1"/>
  <c r="AL15" i="11"/>
  <c r="AM15" i="11" s="1"/>
  <c r="V8" i="11"/>
  <c r="W8" i="11" s="1"/>
  <c r="Y51" i="11"/>
  <c r="Z51" i="11" s="1"/>
  <c r="Y86" i="11"/>
  <c r="Z86" i="11" s="1"/>
  <c r="AO42" i="11"/>
  <c r="AP42" i="11" s="1"/>
  <c r="AI93" i="11"/>
  <c r="AJ93" i="11" s="1"/>
  <c r="AR85" i="11"/>
  <c r="AS85" i="11" s="1"/>
  <c r="AR93" i="11"/>
  <c r="AS93" i="11" s="1"/>
  <c r="AI58" i="11"/>
  <c r="AJ58" i="11" s="1"/>
  <c r="AL23" i="7"/>
  <c r="AM23" i="7" s="1"/>
  <c r="P24" i="7"/>
  <c r="Q24" i="7" s="1"/>
  <c r="AO15" i="11"/>
  <c r="AP15" i="11" s="1"/>
  <c r="S24" i="11"/>
  <c r="T24" i="11" s="1"/>
  <c r="AR77" i="11"/>
  <c r="AS77" i="11" s="1"/>
  <c r="AL93" i="11"/>
  <c r="AM93" i="11" s="1"/>
  <c r="P16" i="11"/>
  <c r="Q16" i="11" s="1"/>
  <c r="AL85" i="11"/>
  <c r="AM85" i="11" s="1"/>
  <c r="AI15" i="11"/>
  <c r="AJ15" i="11" s="1"/>
  <c r="AO85" i="11"/>
  <c r="AP85" i="11" s="1"/>
  <c r="S8" i="11"/>
  <c r="T8" i="11" s="1"/>
  <c r="AI23" i="11"/>
  <c r="AJ23" i="11" s="1"/>
  <c r="P59" i="11"/>
  <c r="Q59" i="11" s="1"/>
  <c r="AL7" i="11"/>
  <c r="AM7" i="11" s="1"/>
  <c r="S78" i="8"/>
  <c r="T78" i="8" s="1"/>
  <c r="AO82" i="8"/>
  <c r="AP82" i="8" s="1"/>
  <c r="AI55" i="8"/>
  <c r="AJ55" i="8" s="1"/>
  <c r="V94" i="8"/>
  <c r="W94" i="8" s="1"/>
  <c r="AF7" i="7"/>
  <c r="AG7" i="7" s="1"/>
  <c r="M8" i="7"/>
  <c r="N8" i="7" s="1"/>
  <c r="AR42" i="11"/>
  <c r="AS42" i="11" s="1"/>
  <c r="AO50" i="11"/>
  <c r="AP50" i="11" s="1"/>
  <c r="AI85" i="11"/>
  <c r="AJ85" i="11" s="1"/>
  <c r="P51" i="11"/>
  <c r="Q51" i="11" s="1"/>
  <c r="P78" i="11"/>
  <c r="Q78" i="11" s="1"/>
  <c r="S16" i="11"/>
  <c r="T16" i="11" s="1"/>
  <c r="AI50" i="11"/>
  <c r="AJ50" i="11" s="1"/>
  <c r="AL42" i="11"/>
  <c r="AM42" i="11" s="1"/>
  <c r="AO58" i="11"/>
  <c r="AP58" i="11" s="1"/>
  <c r="V51" i="11"/>
  <c r="W51" i="11" s="1"/>
  <c r="S78" i="11"/>
  <c r="T78" i="11" s="1"/>
  <c r="P8" i="11"/>
  <c r="Q8" i="11" s="1"/>
  <c r="AO39" i="8"/>
  <c r="AP39" i="8" s="1"/>
  <c r="P8" i="8"/>
  <c r="Q8" i="8" s="1"/>
  <c r="V16" i="8"/>
  <c r="W16" i="8" s="1"/>
  <c r="AL39" i="8"/>
  <c r="AM39" i="8" s="1"/>
  <c r="AR90" i="8"/>
  <c r="AS90" i="8" s="1"/>
  <c r="AR39" i="8"/>
  <c r="AS39" i="8" s="1"/>
  <c r="P51" i="8"/>
  <c r="Q51" i="8" s="1"/>
  <c r="P8" i="7"/>
  <c r="Q8" i="7" s="1"/>
  <c r="Y8" i="11"/>
  <c r="Z8" i="11" s="1"/>
  <c r="AO93" i="11"/>
  <c r="AP93" i="11" s="1"/>
  <c r="S94" i="11"/>
  <c r="T94" i="11" s="1"/>
  <c r="AR15" i="11"/>
  <c r="AS15" i="11" s="1"/>
  <c r="S51" i="11"/>
  <c r="T51" i="11" s="1"/>
  <c r="A9" i="4"/>
  <c r="D3" i="4" s="1"/>
  <c r="A79" i="11"/>
  <c r="E80" i="11" s="1"/>
  <c r="A44" i="11"/>
  <c r="E45" i="11" s="1"/>
  <c r="E96" i="18" l="1"/>
  <c r="F23" i="18"/>
  <c r="E35" i="17"/>
  <c r="E25" i="17" s="1"/>
  <c r="E94" i="18"/>
  <c r="E61" i="18"/>
  <c r="G35" i="14"/>
  <c r="G25" i="14" s="1"/>
  <c r="F94" i="18"/>
  <c r="E33" i="17"/>
  <c r="E23" i="17" s="1"/>
  <c r="F61" i="18"/>
  <c r="H96" i="18"/>
  <c r="G25" i="18"/>
  <c r="E95" i="18"/>
  <c r="E33" i="14"/>
  <c r="E23" i="14" s="1"/>
  <c r="F34" i="14"/>
  <c r="F24" i="14" s="1"/>
  <c r="H34" i="17"/>
  <c r="H24" i="17" s="1"/>
  <c r="F35" i="17"/>
  <c r="F25" i="17" s="1"/>
  <c r="H35" i="14"/>
  <c r="H25" i="14" s="1"/>
  <c r="H25" i="18"/>
  <c r="E60" i="18"/>
  <c r="G95" i="18"/>
  <c r="H94" i="18"/>
  <c r="G24" i="18"/>
  <c r="E24" i="18"/>
  <c r="F24" i="18"/>
  <c r="F59" i="18"/>
  <c r="G61" i="18"/>
  <c r="G60" i="18"/>
  <c r="G94" i="18"/>
  <c r="H61" i="18"/>
  <c r="F60" i="18"/>
  <c r="E25" i="18"/>
  <c r="F95" i="18"/>
  <c r="H59" i="18"/>
  <c r="E23" i="18"/>
  <c r="F25" i="18"/>
  <c r="H60" i="18"/>
  <c r="G59" i="18"/>
  <c r="F96" i="18"/>
  <c r="A20" i="19"/>
  <c r="A21" i="19" s="1"/>
  <c r="G96" i="18"/>
  <c r="H95" i="18"/>
  <c r="E59" i="18"/>
  <c r="G23" i="18"/>
  <c r="G25" i="8"/>
  <c r="E25" i="8"/>
  <c r="H23" i="8"/>
  <c r="G24" i="8"/>
  <c r="G23" i="8"/>
  <c r="E23" i="8"/>
  <c r="F24" i="8"/>
  <c r="F25" i="8"/>
  <c r="H24" i="8"/>
  <c r="F23" i="8"/>
  <c r="H25" i="8"/>
  <c r="E24" i="8"/>
  <c r="E34" i="17"/>
  <c r="E24" i="17" s="1"/>
  <c r="G35" i="17"/>
  <c r="G25" i="17" s="1"/>
  <c r="H34" i="14"/>
  <c r="H24" i="14" s="1"/>
  <c r="G34" i="14"/>
  <c r="G24" i="14" s="1"/>
  <c r="H35" i="17"/>
  <c r="H25" i="17" s="1"/>
  <c r="H33" i="14"/>
  <c r="H23" i="14" s="1"/>
  <c r="G34" i="17"/>
  <c r="G24" i="17" s="1"/>
  <c r="F34" i="17"/>
  <c r="F24" i="17" s="1"/>
  <c r="H33" i="17"/>
  <c r="H23" i="17" s="1"/>
  <c r="F33" i="17"/>
  <c r="F23" i="17" s="1"/>
  <c r="G33" i="14"/>
  <c r="G23" i="14" s="1"/>
  <c r="G33" i="17"/>
  <c r="G23" i="17" s="1"/>
  <c r="AJ23" i="10"/>
  <c r="AK23" i="10" s="1"/>
  <c r="E30" i="10" s="1"/>
  <c r="Q74" i="10"/>
  <c r="R74" i="10" s="1"/>
  <c r="AM7" i="10"/>
  <c r="AN7" i="10" s="1"/>
  <c r="F28" i="10" s="1"/>
  <c r="AM23" i="10"/>
  <c r="AN23" i="10" s="1"/>
  <c r="F30" i="10" s="1"/>
  <c r="T49" i="10"/>
  <c r="U49" i="10" s="1"/>
  <c r="T24" i="10"/>
  <c r="U24" i="10" s="1"/>
  <c r="AP23" i="10"/>
  <c r="AQ23" i="10" s="1"/>
  <c r="G30" i="10" s="1"/>
  <c r="T8" i="10"/>
  <c r="U8" i="10" s="1"/>
  <c r="W24" i="10"/>
  <c r="X24" i="10" s="1"/>
  <c r="W74" i="10"/>
  <c r="X74" i="10" s="1"/>
  <c r="Z49" i="10"/>
  <c r="AA49" i="10" s="1"/>
  <c r="Q24" i="10"/>
  <c r="R24" i="10" s="1"/>
  <c r="AP15" i="10"/>
  <c r="AQ15" i="10" s="1"/>
  <c r="G29" i="10" s="1"/>
  <c r="Q33" i="10"/>
  <c r="R33" i="10" s="1"/>
  <c r="Z24" i="10"/>
  <c r="AA24" i="10" s="1"/>
  <c r="AJ15" i="10"/>
  <c r="AK15" i="10" s="1"/>
  <c r="E29" i="10" s="1"/>
  <c r="Q49" i="10"/>
  <c r="R49" i="10" s="1"/>
  <c r="W66" i="10"/>
  <c r="X66" i="10" s="1"/>
  <c r="Z66" i="10"/>
  <c r="AA66" i="10" s="1"/>
  <c r="Z33" i="10"/>
  <c r="AA33" i="10" s="1"/>
  <c r="Z74" i="10"/>
  <c r="AA74" i="10" s="1"/>
  <c r="T58" i="10"/>
  <c r="U58" i="10" s="1"/>
  <c r="T33" i="10"/>
  <c r="U33" i="10" s="1"/>
  <c r="W58" i="10"/>
  <c r="X58" i="10" s="1"/>
  <c r="Q66" i="10"/>
  <c r="R66" i="10" s="1"/>
  <c r="AP7" i="10"/>
  <c r="AQ7" i="10" s="1"/>
  <c r="G28" i="10" s="1"/>
  <c r="W41" i="10"/>
  <c r="X41" i="10" s="1"/>
  <c r="T66" i="10"/>
  <c r="U66" i="10" s="1"/>
  <c r="W49" i="10"/>
  <c r="X49" i="10" s="1"/>
  <c r="Z8" i="10"/>
  <c r="AA8" i="10" s="1"/>
  <c r="Q41" i="10"/>
  <c r="R41" i="10" s="1"/>
  <c r="AM15" i="10"/>
  <c r="AN15" i="10" s="1"/>
  <c r="F29" i="10" s="1"/>
  <c r="Z41" i="10"/>
  <c r="AA41" i="10" s="1"/>
  <c r="AS15" i="10"/>
  <c r="AT15" i="10" s="1"/>
  <c r="H29" i="10" s="1"/>
  <c r="Q16" i="10"/>
  <c r="R16" i="10" s="1"/>
  <c r="W16" i="10"/>
  <c r="X16" i="10" s="1"/>
  <c r="Q58" i="10"/>
  <c r="R58" i="10" s="1"/>
  <c r="T41" i="10"/>
  <c r="U41" i="10" s="1"/>
  <c r="W8" i="10"/>
  <c r="X8" i="10" s="1"/>
  <c r="AS7" i="10"/>
  <c r="AT7" i="10" s="1"/>
  <c r="H28" i="10" s="1"/>
  <c r="T74" i="10"/>
  <c r="U74" i="10" s="1"/>
  <c r="AS23" i="10"/>
  <c r="AT23" i="10" s="1"/>
  <c r="H30" i="10" s="1"/>
  <c r="Q8" i="10"/>
  <c r="R8" i="10" s="1"/>
  <c r="W33" i="10"/>
  <c r="X33" i="10" s="1"/>
  <c r="T16" i="10"/>
  <c r="U16" i="10" s="1"/>
  <c r="Z16" i="10"/>
  <c r="AA16" i="10" s="1"/>
  <c r="Z58" i="10"/>
  <c r="AA58" i="10" s="1"/>
  <c r="AJ7" i="10"/>
  <c r="AK7" i="10" s="1"/>
  <c r="E28" i="10" s="1"/>
  <c r="F35" i="12"/>
  <c r="F25" i="12" s="1"/>
  <c r="E34" i="12"/>
  <c r="E24" i="12" s="1"/>
  <c r="E33" i="12"/>
  <c r="E23" i="12" s="1"/>
  <c r="E35" i="12"/>
  <c r="E25" i="12" s="1"/>
  <c r="G33" i="12"/>
  <c r="G23" i="12" s="1"/>
  <c r="F34" i="12"/>
  <c r="F24" i="12" s="1"/>
  <c r="G35" i="12"/>
  <c r="G25" i="12" s="1"/>
  <c r="G34" i="12"/>
  <c r="G24" i="12" s="1"/>
  <c r="H33" i="12"/>
  <c r="H23" i="12" s="1"/>
  <c r="H34" i="12"/>
  <c r="H24" i="12" s="1"/>
  <c r="F33" i="12"/>
  <c r="F23" i="12" s="1"/>
  <c r="H35" i="12"/>
  <c r="H25" i="12" s="1"/>
  <c r="E34" i="14"/>
  <c r="E24" i="14" s="1"/>
  <c r="F35" i="14"/>
  <c r="F25" i="14" s="1"/>
  <c r="F33" i="14"/>
  <c r="F23" i="14" s="1"/>
  <c r="H110" i="16"/>
  <c r="D40" i="16" s="1"/>
  <c r="D85" i="16"/>
  <c r="D82" i="16"/>
  <c r="C82" i="16" s="1"/>
  <c r="D86" i="16"/>
  <c r="D83" i="16"/>
  <c r="AG41" i="16"/>
  <c r="AG85" i="16"/>
  <c r="AG83" i="16"/>
  <c r="AG39" i="16"/>
  <c r="AG42" i="16"/>
  <c r="AG86" i="16"/>
  <c r="AG40" i="16"/>
  <c r="AG84" i="16"/>
  <c r="AG38" i="16"/>
  <c r="AG82" i="16"/>
  <c r="AF82" i="16" s="1"/>
  <c r="I41" i="16"/>
  <c r="I86" i="16"/>
  <c r="W35" i="16"/>
  <c r="AW59" i="16"/>
  <c r="AY84" i="16" s="1"/>
  <c r="T52" i="15"/>
  <c r="U83" i="15" s="1"/>
  <c r="AZ73" i="16"/>
  <c r="AZ86" i="16" s="1"/>
  <c r="AW66" i="16"/>
  <c r="AY85" i="16" s="1"/>
  <c r="W86" i="16"/>
  <c r="T59" i="15"/>
  <c r="U84" i="15" s="1"/>
  <c r="W73" i="15"/>
  <c r="V86" i="15" s="1"/>
  <c r="W66" i="15"/>
  <c r="V85" i="15" s="1"/>
  <c r="AW80" i="16"/>
  <c r="AY87" i="16" s="1"/>
  <c r="W52" i="16"/>
  <c r="T80" i="15"/>
  <c r="U87" i="15" s="1"/>
  <c r="Q59" i="15"/>
  <c r="E39" i="15" s="1"/>
  <c r="Q66" i="16"/>
  <c r="F85" i="16" s="1"/>
  <c r="T52" i="16"/>
  <c r="V83" i="16" s="1"/>
  <c r="AW73" i="16"/>
  <c r="AY86" i="16" s="1"/>
  <c r="W85" i="16"/>
  <c r="W84" i="16"/>
  <c r="T80" i="16"/>
  <c r="V87" i="16" s="1"/>
  <c r="Q59" i="16"/>
  <c r="F84" i="16" s="1"/>
  <c r="W80" i="15"/>
  <c r="V87" i="15" s="1"/>
  <c r="T66" i="16"/>
  <c r="V85" i="16" s="1"/>
  <c r="AZ52" i="16"/>
  <c r="AZ83" i="16" s="1"/>
  <c r="T66" i="15"/>
  <c r="U85" i="15" s="1"/>
  <c r="W87" i="16"/>
  <c r="AZ66" i="16"/>
  <c r="AZ85" i="16" s="1"/>
  <c r="T59" i="16"/>
  <c r="V84" i="16" s="1"/>
  <c r="AZ80" i="16"/>
  <c r="AZ87" i="16" s="1"/>
  <c r="Q80" i="16"/>
  <c r="T73" i="15"/>
  <c r="U86" i="15" s="1"/>
  <c r="AZ59" i="16"/>
  <c r="AZ84" i="16" s="1"/>
  <c r="AW52" i="16"/>
  <c r="AY83" i="16" s="1"/>
  <c r="Q73" i="16"/>
  <c r="F86" i="16" s="1"/>
  <c r="Q7" i="16"/>
  <c r="I38" i="16" s="1"/>
  <c r="T7" i="16"/>
  <c r="V38" i="16" s="1"/>
  <c r="Q14" i="16"/>
  <c r="I84" i="16" s="1"/>
  <c r="I42" i="16"/>
  <c r="I40" i="16"/>
  <c r="AL39" i="16"/>
  <c r="AL84" i="16"/>
  <c r="AL86" i="16"/>
  <c r="AL41" i="16"/>
  <c r="AI38" i="16"/>
  <c r="AL85" i="16"/>
  <c r="AL40" i="16"/>
  <c r="AI40" i="16"/>
  <c r="AI85" i="16"/>
  <c r="AL42" i="16"/>
  <c r="AL87" i="16"/>
  <c r="AL38" i="16"/>
  <c r="AL83" i="16"/>
  <c r="AI87" i="16"/>
  <c r="AI42" i="16"/>
  <c r="AI39" i="16"/>
  <c r="AI84" i="16"/>
  <c r="AI41" i="16"/>
  <c r="AI86" i="16"/>
  <c r="E44" i="8"/>
  <c r="A9" i="8"/>
  <c r="E9" i="8" s="1"/>
  <c r="A79" i="8"/>
  <c r="E80" i="8" s="1"/>
  <c r="A44" i="8"/>
  <c r="E45" i="8" s="1"/>
  <c r="E79" i="8"/>
  <c r="A9" i="12"/>
  <c r="D3" i="12" s="1"/>
  <c r="A9" i="9"/>
  <c r="D3" i="9" s="1"/>
  <c r="T29" i="7"/>
  <c r="D2" i="13"/>
  <c r="A54" i="15"/>
  <c r="D48" i="15" s="1"/>
  <c r="E38" i="15"/>
  <c r="V84" i="15"/>
  <c r="V83" i="15"/>
  <c r="V39" i="15"/>
  <c r="G96" i="8"/>
  <c r="E35" i="14"/>
  <c r="E25" i="14" s="1"/>
  <c r="D2" i="7"/>
  <c r="Z66" i="13"/>
  <c r="AA66" i="13" s="1"/>
  <c r="Z41" i="13"/>
  <c r="AA41" i="13" s="1"/>
  <c r="W66" i="13"/>
  <c r="X66" i="13" s="1"/>
  <c r="T66" i="13"/>
  <c r="U66" i="13" s="1"/>
  <c r="W41" i="13"/>
  <c r="X41" i="13" s="1"/>
  <c r="T33" i="13"/>
  <c r="U33" i="13" s="1"/>
  <c r="Q66" i="13"/>
  <c r="R66" i="13" s="1"/>
  <c r="T41" i="13"/>
  <c r="U41" i="13" s="1"/>
  <c r="Z58" i="13"/>
  <c r="AA58" i="13" s="1"/>
  <c r="Q41" i="13"/>
  <c r="R41" i="13" s="1"/>
  <c r="W58" i="13"/>
  <c r="X58" i="13" s="1"/>
  <c r="Z33" i="13"/>
  <c r="AA33" i="13" s="1"/>
  <c r="T58" i="13"/>
  <c r="U58" i="13" s="1"/>
  <c r="W33" i="13"/>
  <c r="X33" i="13" s="1"/>
  <c r="Q58" i="13"/>
  <c r="R58" i="13" s="1"/>
  <c r="Z74" i="13"/>
  <c r="AA74" i="13" s="1"/>
  <c r="Z49" i="13"/>
  <c r="AA49" i="13" s="1"/>
  <c r="Q33" i="13"/>
  <c r="R33" i="13" s="1"/>
  <c r="W74" i="13"/>
  <c r="X74" i="13" s="1"/>
  <c r="W49" i="13"/>
  <c r="X49" i="13" s="1"/>
  <c r="T74" i="13"/>
  <c r="U74" i="13" s="1"/>
  <c r="T49" i="13"/>
  <c r="U49" i="13" s="1"/>
  <c r="Q74" i="13"/>
  <c r="R74" i="13" s="1"/>
  <c r="Q49" i="13"/>
  <c r="R49" i="13" s="1"/>
  <c r="H61" i="8"/>
  <c r="U29" i="9"/>
  <c r="G94" i="11"/>
  <c r="S29" i="7"/>
  <c r="E95" i="8"/>
  <c r="H59" i="8"/>
  <c r="R28" i="7"/>
  <c r="G94" i="8"/>
  <c r="R29" i="7"/>
  <c r="H96" i="8"/>
  <c r="H94" i="8"/>
  <c r="H95" i="8"/>
  <c r="U28" i="7"/>
  <c r="F59" i="8"/>
  <c r="E61" i="8"/>
  <c r="F96" i="8"/>
  <c r="T27" i="7"/>
  <c r="F60" i="8"/>
  <c r="F95" i="8"/>
  <c r="E59" i="8"/>
  <c r="T28" i="7"/>
  <c r="U27" i="7"/>
  <c r="H60" i="8"/>
  <c r="G60" i="8"/>
  <c r="G59" i="8"/>
  <c r="Q24" i="13"/>
  <c r="R24" i="13" s="1"/>
  <c r="S27" i="4"/>
  <c r="AM15" i="13"/>
  <c r="AN15" i="13" s="1"/>
  <c r="F29" i="13" s="1"/>
  <c r="H60" i="11"/>
  <c r="Z24" i="13"/>
  <c r="AA24" i="13" s="1"/>
  <c r="F94" i="8"/>
  <c r="Q16" i="13"/>
  <c r="R16" i="13" s="1"/>
  <c r="G95" i="8"/>
  <c r="Z16" i="13"/>
  <c r="AA16" i="13" s="1"/>
  <c r="S28" i="9"/>
  <c r="T16" i="13"/>
  <c r="U16" i="13" s="1"/>
  <c r="W24" i="13"/>
  <c r="X24" i="13" s="1"/>
  <c r="R27" i="9"/>
  <c r="U27" i="9"/>
  <c r="G61" i="8"/>
  <c r="E60" i="8"/>
  <c r="E96" i="8"/>
  <c r="S27" i="9"/>
  <c r="E94" i="8"/>
  <c r="F61" i="8"/>
  <c r="T27" i="9"/>
  <c r="S28" i="7"/>
  <c r="T27" i="4"/>
  <c r="T29" i="9"/>
  <c r="T28" i="4"/>
  <c r="Z8" i="13"/>
  <c r="AA8" i="13" s="1"/>
  <c r="U28" i="9"/>
  <c r="AP7" i="13"/>
  <c r="AQ7" i="13" s="1"/>
  <c r="G28" i="13" s="1"/>
  <c r="AS23" i="13"/>
  <c r="AT23" i="13" s="1"/>
  <c r="H30" i="13" s="1"/>
  <c r="W16" i="13"/>
  <c r="X16" i="13" s="1"/>
  <c r="AP23" i="13"/>
  <c r="AQ23" i="13" s="1"/>
  <c r="G30" i="13" s="1"/>
  <c r="R28" i="9"/>
  <c r="R29" i="9"/>
  <c r="S27" i="7"/>
  <c r="S29" i="9"/>
  <c r="AJ15" i="13"/>
  <c r="AK15" i="13" s="1"/>
  <c r="E29" i="13" s="1"/>
  <c r="R27" i="4"/>
  <c r="H61" i="11"/>
  <c r="U29" i="4"/>
  <c r="T24" i="13"/>
  <c r="U24" i="13" s="1"/>
  <c r="R29" i="4"/>
  <c r="U28" i="4"/>
  <c r="T8" i="13"/>
  <c r="U8" i="13" s="1"/>
  <c r="Q8" i="13"/>
  <c r="R8" i="13" s="1"/>
  <c r="AM7" i="13"/>
  <c r="AN7" i="13" s="1"/>
  <c r="F28" i="13" s="1"/>
  <c r="AS15" i="13"/>
  <c r="AT15" i="13" s="1"/>
  <c r="H29" i="13" s="1"/>
  <c r="AJ23" i="13"/>
  <c r="AK23" i="13" s="1"/>
  <c r="E30" i="13" s="1"/>
  <c r="S29" i="4"/>
  <c r="T29" i="4"/>
  <c r="AS7" i="13"/>
  <c r="AT7" i="13" s="1"/>
  <c r="H28" i="13" s="1"/>
  <c r="AJ7" i="13"/>
  <c r="AK7" i="13" s="1"/>
  <c r="E28" i="13" s="1"/>
  <c r="S28" i="4"/>
  <c r="R28" i="4"/>
  <c r="U27" i="4"/>
  <c r="AP15" i="13"/>
  <c r="AQ15" i="13" s="1"/>
  <c r="G29" i="13" s="1"/>
  <c r="W8" i="13"/>
  <c r="X8" i="13" s="1"/>
  <c r="AM23" i="13"/>
  <c r="AN23" i="13" s="1"/>
  <c r="F30" i="13" s="1"/>
  <c r="E25" i="11"/>
  <c r="E94" i="11"/>
  <c r="H23" i="11"/>
  <c r="F25" i="11"/>
  <c r="F94" i="11"/>
  <c r="G23" i="11"/>
  <c r="H59" i="11"/>
  <c r="E59" i="11"/>
  <c r="F60" i="11"/>
  <c r="H94" i="11"/>
  <c r="G59" i="11"/>
  <c r="G96" i="11"/>
  <c r="H96" i="11"/>
  <c r="F95" i="11"/>
  <c r="F96" i="11"/>
  <c r="G95" i="11"/>
  <c r="G61" i="11"/>
  <c r="H24" i="11"/>
  <c r="G24" i="11"/>
  <c r="E96" i="11"/>
  <c r="R27" i="7"/>
  <c r="F59" i="11"/>
  <c r="E95" i="11"/>
  <c r="F61" i="11"/>
  <c r="G25" i="11"/>
  <c r="E60" i="11"/>
  <c r="E23" i="11"/>
  <c r="H95" i="11"/>
  <c r="F24" i="11"/>
  <c r="E61" i="11"/>
  <c r="F23" i="11"/>
  <c r="E24" i="11"/>
  <c r="G60" i="11"/>
  <c r="E33" i="10" l="1"/>
  <c r="H34" i="10"/>
  <c r="H24" i="10" s="1"/>
  <c r="A90" i="18"/>
  <c r="A91" i="18" s="1"/>
  <c r="H35" i="10"/>
  <c r="H25" i="10" s="1"/>
  <c r="F35" i="10"/>
  <c r="F25" i="10" s="1"/>
  <c r="A55" i="18"/>
  <c r="A56" i="18" s="1"/>
  <c r="A20" i="18"/>
  <c r="A21" i="18" s="1"/>
  <c r="E23" i="10"/>
  <c r="H33" i="10"/>
  <c r="H23" i="10" s="1"/>
  <c r="G33" i="10"/>
  <c r="G23" i="10" s="1"/>
  <c r="G34" i="10"/>
  <c r="G24" i="10" s="1"/>
  <c r="E35" i="10"/>
  <c r="E25" i="10" s="1"/>
  <c r="E34" i="10"/>
  <c r="E24" i="10" s="1"/>
  <c r="F34" i="10"/>
  <c r="F24" i="10" s="1"/>
  <c r="G35" i="10"/>
  <c r="G25" i="10" s="1"/>
  <c r="F33" i="10"/>
  <c r="F23" i="10" s="1"/>
  <c r="A20" i="17"/>
  <c r="A21" i="17" s="1"/>
  <c r="AF86" i="16"/>
  <c r="AF38" i="16"/>
  <c r="AH38" i="16"/>
  <c r="AH41" i="16"/>
  <c r="AK41" i="16" s="1"/>
  <c r="AF41" i="16"/>
  <c r="AF85" i="16"/>
  <c r="AF42" i="16"/>
  <c r="AH42" i="16"/>
  <c r="AF83" i="16"/>
  <c r="AF84" i="16"/>
  <c r="AH39" i="16"/>
  <c r="AF39" i="16"/>
  <c r="AF40" i="16"/>
  <c r="AH40" i="16"/>
  <c r="AK40" i="16" s="1"/>
  <c r="W83" i="16"/>
  <c r="C38" i="16"/>
  <c r="C85" i="16"/>
  <c r="C83" i="16"/>
  <c r="C41" i="16"/>
  <c r="C40" i="16"/>
  <c r="C42" i="16"/>
  <c r="A20" i="12"/>
  <c r="A21" i="12" s="1"/>
  <c r="D84" i="16"/>
  <c r="C84" i="16" s="1"/>
  <c r="F42" i="16"/>
  <c r="E42" i="16" s="1"/>
  <c r="E86" i="16" s="1"/>
  <c r="F87" i="16"/>
  <c r="I83" i="16"/>
  <c r="F39" i="16"/>
  <c r="F41" i="16"/>
  <c r="E41" i="16" s="1"/>
  <c r="F40" i="16"/>
  <c r="E40" i="16" s="1"/>
  <c r="I39" i="16"/>
  <c r="F38" i="16"/>
  <c r="E38" i="16" s="1"/>
  <c r="H38" i="16" s="1"/>
  <c r="F38" i="15"/>
  <c r="E83" i="15"/>
  <c r="H83" i="15"/>
  <c r="H86" i="15"/>
  <c r="E42" i="15"/>
  <c r="F42" i="15" s="1"/>
  <c r="E87" i="15"/>
  <c r="E41" i="15"/>
  <c r="F41" i="15" s="1"/>
  <c r="AA5" i="15" s="1"/>
  <c r="E86" i="15"/>
  <c r="E84" i="15"/>
  <c r="F39" i="15"/>
  <c r="E40" i="15"/>
  <c r="E85" i="15"/>
  <c r="H84" i="15"/>
  <c r="H87" i="15"/>
  <c r="H85" i="15"/>
  <c r="V38" i="15"/>
  <c r="A20" i="14"/>
  <c r="A21" i="14" s="1"/>
  <c r="G35" i="13"/>
  <c r="G25" i="13" s="1"/>
  <c r="H33" i="13"/>
  <c r="H23" i="13" s="1"/>
  <c r="E35" i="13"/>
  <c r="E25" i="13" s="1"/>
  <c r="H35" i="13"/>
  <c r="H25" i="13" s="1"/>
  <c r="F33" i="13"/>
  <c r="F23" i="13" s="1"/>
  <c r="G34" i="13"/>
  <c r="G24" i="13" s="1"/>
  <c r="G33" i="13"/>
  <c r="G23" i="13" s="1"/>
  <c r="F35" i="13"/>
  <c r="F25" i="13" s="1"/>
  <c r="E34" i="13"/>
  <c r="E24" i="13" s="1"/>
  <c r="E33" i="13"/>
  <c r="E23" i="13" s="1"/>
  <c r="F34" i="13"/>
  <c r="F24" i="13" s="1"/>
  <c r="H34" i="13"/>
  <c r="H24" i="13" s="1"/>
  <c r="A55" i="8"/>
  <c r="A56" i="8" s="1"/>
  <c r="A20" i="8"/>
  <c r="A21" i="8" s="1"/>
  <c r="A90" i="8"/>
  <c r="A91" i="8" s="1"/>
  <c r="A20" i="9"/>
  <c r="A21" i="9" s="1"/>
  <c r="A20" i="7"/>
  <c r="A21" i="7" s="1"/>
  <c r="A20" i="4"/>
  <c r="A21" i="4" s="1"/>
  <c r="A90" i="11"/>
  <c r="A91" i="11" s="1"/>
  <c r="A55" i="11"/>
  <c r="A56" i="11" s="1"/>
  <c r="A20" i="11"/>
  <c r="A21" i="11" s="1"/>
  <c r="A20" i="10" l="1"/>
  <c r="A21" i="10" s="1"/>
  <c r="AH86" i="16"/>
  <c r="AJ42" i="16"/>
  <c r="BD6" i="16" s="1"/>
  <c r="AJ41" i="16"/>
  <c r="BD5" i="16" s="1"/>
  <c r="AH85" i="16"/>
  <c r="AH82" i="16"/>
  <c r="AJ38" i="16"/>
  <c r="AH83" i="16"/>
  <c r="AJ39" i="16"/>
  <c r="BD3" i="16" s="1"/>
  <c r="AK42" i="16"/>
  <c r="BD18" i="16" s="1"/>
  <c r="AK38" i="16"/>
  <c r="AK39" i="16"/>
  <c r="BD15" i="16" s="1"/>
  <c r="G38" i="16"/>
  <c r="AJ40" i="16"/>
  <c r="BD4" i="16" s="1"/>
  <c r="AH84" i="16"/>
  <c r="E82" i="16"/>
  <c r="AA14" i="16"/>
  <c r="E84" i="16"/>
  <c r="H40" i="16"/>
  <c r="AA16" i="16" s="1"/>
  <c r="E85" i="16"/>
  <c r="H41" i="16"/>
  <c r="AA17" i="16" s="1"/>
  <c r="C39" i="16"/>
  <c r="E39" i="16"/>
  <c r="E83" i="16" s="1"/>
  <c r="G40" i="16"/>
  <c r="H87" i="16"/>
  <c r="C86" i="16"/>
  <c r="G87" i="16" s="1"/>
  <c r="AA51" i="16" s="1"/>
  <c r="G42" i="16"/>
  <c r="AA6" i="16" s="1"/>
  <c r="H42" i="16"/>
  <c r="AA18" i="16" s="1"/>
  <c r="G41" i="16"/>
  <c r="BD16" i="16"/>
  <c r="BD17" i="16"/>
  <c r="G38" i="15"/>
  <c r="F83" i="15"/>
  <c r="G83" i="15" s="1"/>
  <c r="F87" i="15"/>
  <c r="G87" i="15" s="1"/>
  <c r="AA63" i="15" s="1"/>
  <c r="F86" i="15"/>
  <c r="AA50" i="15" s="1"/>
  <c r="F84" i="15"/>
  <c r="AA48" i="15" s="1"/>
  <c r="AA3" i="15"/>
  <c r="AA2" i="15"/>
  <c r="AA6" i="15"/>
  <c r="G42" i="15"/>
  <c r="AA18" i="15" s="1"/>
  <c r="G39" i="15"/>
  <c r="G41" i="15"/>
  <c r="AA17" i="15" s="1"/>
  <c r="A20" i="13"/>
  <c r="A21" i="13" s="1"/>
  <c r="M33" i="2"/>
  <c r="M27" i="2"/>
  <c r="M31" i="2" s="1"/>
  <c r="AP20" i="2"/>
  <c r="AP19" i="2"/>
  <c r="AP18" i="2"/>
  <c r="AM20" i="2"/>
  <c r="AM19" i="2"/>
  <c r="AM18" i="2"/>
  <c r="AJ20" i="2"/>
  <c r="AJ19" i="2"/>
  <c r="AJ18" i="2"/>
  <c r="AG20" i="2"/>
  <c r="AG19" i="2"/>
  <c r="AG18" i="2"/>
  <c r="AP12" i="2"/>
  <c r="AP11" i="2"/>
  <c r="AP10" i="2"/>
  <c r="AM12" i="2"/>
  <c r="AM11" i="2"/>
  <c r="AM10" i="2"/>
  <c r="AJ12" i="2"/>
  <c r="AJ11" i="2"/>
  <c r="AJ10" i="2"/>
  <c r="AG12" i="2"/>
  <c r="AG11" i="2"/>
  <c r="AG10" i="2"/>
  <c r="AP4" i="2"/>
  <c r="AP3" i="2"/>
  <c r="AP2" i="2"/>
  <c r="AM4" i="2"/>
  <c r="AM3" i="2"/>
  <c r="AM2" i="2"/>
  <c r="AJ3" i="2"/>
  <c r="AJ2" i="2"/>
  <c r="AG4" i="2"/>
  <c r="AG3" i="2"/>
  <c r="AG2" i="2"/>
  <c r="M29" i="2"/>
  <c r="M28" i="2"/>
  <c r="M32" i="2" s="1"/>
  <c r="B12" i="2"/>
  <c r="B13" i="2" s="1"/>
  <c r="G39" i="16" l="1"/>
  <c r="AA3" i="16" s="1"/>
  <c r="AJ84" i="16"/>
  <c r="BD48" i="16" s="1"/>
  <c r="AK84" i="16"/>
  <c r="BD60" i="16" s="1"/>
  <c r="AJ85" i="16"/>
  <c r="BD49" i="16" s="1"/>
  <c r="AK85" i="16"/>
  <c r="BD61" i="16" s="1"/>
  <c r="AJ83" i="16"/>
  <c r="BD47" i="16" s="1"/>
  <c r="AK83" i="16"/>
  <c r="BD59" i="16" s="1"/>
  <c r="AJ86" i="16"/>
  <c r="BD50" i="16" s="1"/>
  <c r="AK86" i="16"/>
  <c r="BD62" i="16" s="1"/>
  <c r="AJ87" i="16"/>
  <c r="BD51" i="16" s="1"/>
  <c r="AK87" i="16"/>
  <c r="BD63" i="16" s="1"/>
  <c r="H39" i="16"/>
  <c r="AA15" i="16" s="1"/>
  <c r="G86" i="16"/>
  <c r="AA50" i="16" s="1"/>
  <c r="H86" i="16"/>
  <c r="AA62" i="16" s="1"/>
  <c r="G85" i="16"/>
  <c r="AA49" i="16" s="1"/>
  <c r="H85" i="16"/>
  <c r="AA61" i="16" s="1"/>
  <c r="G84" i="16"/>
  <c r="AA48" i="16" s="1"/>
  <c r="H84" i="16"/>
  <c r="AA60" i="16" s="1"/>
  <c r="G83" i="16"/>
  <c r="AA47" i="16" s="1"/>
  <c r="H83" i="16"/>
  <c r="AA59" i="16" s="1"/>
  <c r="AA2" i="16"/>
  <c r="AA5" i="16"/>
  <c r="AA63" i="16"/>
  <c r="AA4" i="16"/>
  <c r="AA51" i="15"/>
  <c r="G84" i="15"/>
  <c r="AA60" i="15" s="1"/>
  <c r="AA47" i="15"/>
  <c r="AA14" i="15"/>
  <c r="G86" i="15"/>
  <c r="AA62" i="15" s="1"/>
  <c r="AA59" i="15"/>
  <c r="AA15" i="15"/>
  <c r="N31" i="2"/>
  <c r="N32" i="2"/>
  <c r="N33" i="2"/>
  <c r="W23" i="2" l="1"/>
  <c r="W22" i="2"/>
  <c r="W21" i="2"/>
  <c r="W20" i="2"/>
  <c r="W19" i="2"/>
  <c r="W18" i="2"/>
  <c r="T23" i="2"/>
  <c r="T22" i="2"/>
  <c r="T21" i="2"/>
  <c r="T20" i="2"/>
  <c r="T19" i="2"/>
  <c r="T18" i="2"/>
  <c r="Q23" i="2"/>
  <c r="Q22" i="2"/>
  <c r="Q21" i="2"/>
  <c r="Q20" i="2"/>
  <c r="Q19" i="2"/>
  <c r="Q18" i="2"/>
  <c r="N23" i="2"/>
  <c r="N22" i="2"/>
  <c r="N21" i="2"/>
  <c r="N20" i="2"/>
  <c r="N19" i="2"/>
  <c r="N18" i="2"/>
  <c r="W15" i="2"/>
  <c r="W14" i="2"/>
  <c r="W13" i="2"/>
  <c r="W12" i="2"/>
  <c r="W11" i="2"/>
  <c r="W10" i="2"/>
  <c r="Q15" i="2"/>
  <c r="Q14" i="2"/>
  <c r="Q13" i="2"/>
  <c r="Q12" i="2"/>
  <c r="Q11" i="2"/>
  <c r="Q10" i="2"/>
  <c r="T15" i="2"/>
  <c r="T14" i="2"/>
  <c r="T13" i="2"/>
  <c r="T12" i="2"/>
  <c r="T11" i="2"/>
  <c r="T10" i="2"/>
  <c r="N15" i="2"/>
  <c r="N14" i="2"/>
  <c r="N13" i="2"/>
  <c r="N12" i="2"/>
  <c r="N11" i="2"/>
  <c r="N10" i="2"/>
  <c r="B2" i="2" l="1"/>
  <c r="N2" i="2"/>
  <c r="N3" i="2"/>
  <c r="N4" i="2"/>
  <c r="N5" i="2"/>
  <c r="N6" i="2"/>
  <c r="N7" i="2"/>
  <c r="W7" i="2"/>
  <c r="W6" i="2"/>
  <c r="W5" i="2"/>
  <c r="W4" i="2"/>
  <c r="W3" i="2"/>
  <c r="W2" i="2"/>
  <c r="T7" i="2"/>
  <c r="T6" i="2"/>
  <c r="T5" i="2"/>
  <c r="T4" i="2"/>
  <c r="T3" i="2"/>
  <c r="T2" i="2"/>
  <c r="Q7" i="2"/>
  <c r="Q6" i="2"/>
  <c r="Q5" i="2"/>
  <c r="Q4" i="2"/>
  <c r="Q3" i="2"/>
  <c r="Q2" i="2"/>
  <c r="AI16" i="2" l="1"/>
  <c r="AJ16" i="2" s="1"/>
  <c r="AF16" i="2"/>
  <c r="AG16" i="2" s="1"/>
  <c r="AL24" i="2"/>
  <c r="AM24" i="2" s="1"/>
  <c r="AI24" i="2"/>
  <c r="AJ24" i="2" s="1"/>
  <c r="AF24" i="2"/>
  <c r="AG24" i="2" s="1"/>
  <c r="AO16" i="2"/>
  <c r="AP16" i="2" s="1"/>
  <c r="AL16" i="2"/>
  <c r="AM16" i="2" s="1"/>
  <c r="AO24" i="2"/>
  <c r="AP24" i="2" s="1"/>
  <c r="AO8" i="2"/>
  <c r="AP8" i="2" s="1"/>
  <c r="M24" i="2"/>
  <c r="N24" i="2" s="1"/>
  <c r="M8" i="2"/>
  <c r="N8" i="2" s="1"/>
  <c r="S16" i="2"/>
  <c r="T16" i="2" s="1"/>
  <c r="P16" i="2"/>
  <c r="Q16" i="2" s="1"/>
  <c r="AL8" i="2"/>
  <c r="AM8" i="2" s="1"/>
  <c r="AI8" i="2"/>
  <c r="AJ8" i="2" s="1"/>
  <c r="AF8" i="2"/>
  <c r="AG8" i="2" s="1"/>
  <c r="V16" i="2"/>
  <c r="W16" i="2" s="1"/>
  <c r="M16" i="2"/>
  <c r="N16" i="2" s="1"/>
  <c r="V24" i="2"/>
  <c r="W24" i="2" s="1"/>
  <c r="V8" i="2"/>
  <c r="W8" i="2" s="1"/>
  <c r="S24" i="2"/>
  <c r="T24" i="2" s="1"/>
  <c r="S8" i="2"/>
  <c r="T8" i="2" s="1"/>
  <c r="P24" i="2"/>
  <c r="Q24" i="2" s="1"/>
  <c r="P8" i="2"/>
  <c r="Q8" i="2" s="1"/>
  <c r="B3" i="2"/>
  <c r="B6" i="2"/>
  <c r="B1" i="2"/>
  <c r="D2" i="2" s="1"/>
  <c r="S29" i="2" l="1"/>
  <c r="R28" i="2"/>
  <c r="S27" i="2"/>
  <c r="T27" i="2"/>
  <c r="S28" i="2"/>
  <c r="U27" i="2"/>
  <c r="R29" i="2"/>
  <c r="T29" i="2"/>
  <c r="T28" i="2"/>
  <c r="R27" i="2"/>
  <c r="U29" i="2"/>
  <c r="U28" i="2"/>
  <c r="A9" i="2"/>
  <c r="D3" i="2" s="1"/>
  <c r="A20" i="2" l="1"/>
  <c r="A21" i="2" s="1"/>
  <c r="B11" i="7" l="1"/>
  <c r="B11" i="8"/>
  <c r="B11" i="4"/>
  <c r="B11" i="11"/>
  <c r="B11" i="2"/>
  <c r="B11" i="9"/>
  <c r="B81" i="8"/>
  <c r="B46" i="8"/>
  <c r="B81" i="11"/>
  <c r="B46" i="11"/>
  <c r="C14" i="8"/>
  <c r="B11" i="13"/>
  <c r="C19" i="5" l="1"/>
  <c r="B18" i="5" l="1"/>
  <c r="C18" i="5"/>
  <c r="B5" i="16" l="1"/>
  <c r="B5" i="19"/>
  <c r="B14" i="19" s="1"/>
  <c r="D4" i="19" s="1"/>
  <c r="A9" i="16" l="1"/>
  <c r="B50" i="16"/>
  <c r="B59" i="16" s="1"/>
  <c r="B5" i="15"/>
  <c r="B14" i="15" s="1"/>
  <c r="B50" i="15"/>
  <c r="B59" i="15" s="1"/>
  <c r="AE50" i="16"/>
  <c r="AE59" i="16" s="1"/>
  <c r="AE5" i="16"/>
  <c r="AE14" i="16" s="1"/>
  <c r="B27" i="19"/>
  <c r="A27" i="19"/>
  <c r="B5" i="17"/>
  <c r="B14" i="17" s="1"/>
  <c r="D4" i="17" s="1"/>
  <c r="A27" i="17" s="1"/>
  <c r="B5" i="18"/>
  <c r="B5" i="10"/>
  <c r="B14" i="10" s="1"/>
  <c r="D4" i="10" s="1"/>
  <c r="B5" i="14"/>
  <c r="B14" i="14" s="1"/>
  <c r="D4" i="14" s="1"/>
  <c r="A27" i="14" s="1"/>
  <c r="B5" i="8"/>
  <c r="B14" i="8" s="1"/>
  <c r="E10" i="8" s="1"/>
  <c r="B5" i="12"/>
  <c r="B5" i="4"/>
  <c r="B14" i="4" s="1"/>
  <c r="D4" i="4" s="1"/>
  <c r="B5" i="9"/>
  <c r="B14" i="9" s="1"/>
  <c r="D4" i="9" s="1"/>
  <c r="B5" i="13"/>
  <c r="B5" i="2"/>
  <c r="B14" i="2" s="1"/>
  <c r="D4" i="2" s="1"/>
  <c r="B5" i="7"/>
  <c r="B14" i="7" s="1"/>
  <c r="D4" i="7" s="1"/>
  <c r="B5" i="11"/>
  <c r="B27" i="8" l="1"/>
  <c r="A27" i="8"/>
  <c r="B27" i="10"/>
  <c r="A27" i="10"/>
  <c r="B14" i="16"/>
  <c r="A9" i="15"/>
  <c r="D2" i="15" s="1"/>
  <c r="B27" i="17"/>
  <c r="B84" i="18"/>
  <c r="E81" i="18" s="1"/>
  <c r="B14" i="18"/>
  <c r="E10" i="18" s="1"/>
  <c r="B49" i="18"/>
  <c r="E46" i="18" s="1"/>
  <c r="B14" i="12"/>
  <c r="D4" i="12" s="1"/>
  <c r="B27" i="12" s="1"/>
  <c r="D3" i="16"/>
  <c r="D2" i="16"/>
  <c r="D16" i="16" s="1"/>
  <c r="A27" i="16" s="1"/>
  <c r="D47" i="16"/>
  <c r="AG47" i="16"/>
  <c r="AG2" i="16"/>
  <c r="B84" i="8"/>
  <c r="E81" i="8" s="1"/>
  <c r="B27" i="14"/>
  <c r="B49" i="8"/>
  <c r="E46" i="8" s="1"/>
  <c r="B14" i="13"/>
  <c r="D4" i="13" s="1"/>
  <c r="B49" i="11"/>
  <c r="E46" i="11" s="1"/>
  <c r="B84" i="11"/>
  <c r="E81" i="11" s="1"/>
  <c r="B14" i="11"/>
  <c r="E10" i="11" s="1"/>
  <c r="F31" i="8"/>
  <c r="F102" i="8"/>
  <c r="F67" i="8"/>
  <c r="D3" i="15" l="1"/>
  <c r="D47" i="15"/>
  <c r="A65" i="15" s="1"/>
  <c r="A66" i="15" s="1"/>
  <c r="B62" i="18"/>
  <c r="A62" i="18"/>
  <c r="F67" i="18"/>
  <c r="B27" i="18"/>
  <c r="A27" i="18"/>
  <c r="F102" i="18"/>
  <c r="F31" i="18"/>
  <c r="A97" i="18"/>
  <c r="B97" i="18"/>
  <c r="A27" i="12"/>
  <c r="AG17" i="16"/>
  <c r="AE27" i="16" s="1"/>
  <c r="AD20" i="16"/>
  <c r="AD21" i="16" s="1"/>
  <c r="AG4" i="16"/>
  <c r="AG16" i="16"/>
  <c r="AD27" i="16" s="1"/>
  <c r="AG61" i="16"/>
  <c r="AD72" i="16" s="1"/>
  <c r="AG62" i="16"/>
  <c r="AE72" i="16" s="1"/>
  <c r="AG49" i="16"/>
  <c r="AD65" i="16"/>
  <c r="AD66" i="16" s="1"/>
  <c r="D61" i="16"/>
  <c r="A72" i="16" s="1"/>
  <c r="D62" i="16"/>
  <c r="B72" i="16" s="1"/>
  <c r="D49" i="16"/>
  <c r="A65" i="16"/>
  <c r="A66" i="16" s="1"/>
  <c r="D17" i="16"/>
  <c r="B27" i="16" s="1"/>
  <c r="A20" i="16"/>
  <c r="A21" i="16" s="1"/>
  <c r="D4" i="16"/>
  <c r="D16" i="15"/>
  <c r="A27" i="15" s="1"/>
  <c r="A20" i="15"/>
  <c r="A21" i="15" s="1"/>
  <c r="D4" i="15"/>
  <c r="D17" i="15"/>
  <c r="B27" i="15" s="1"/>
  <c r="B27" i="4"/>
  <c r="A27" i="4"/>
  <c r="B97" i="8"/>
  <c r="A97" i="8"/>
  <c r="B27" i="7"/>
  <c r="A27" i="7"/>
  <c r="A27" i="9"/>
  <c r="B27" i="9"/>
  <c r="A27" i="2"/>
  <c r="B27" i="2"/>
  <c r="B62" i="8"/>
  <c r="A62" i="8"/>
  <c r="D62" i="15" l="1"/>
  <c r="B72" i="15" s="1"/>
  <c r="D61" i="15"/>
  <c r="A72" i="15" s="1"/>
  <c r="D49" i="15"/>
  <c r="B27" i="11"/>
  <c r="F67" i="11"/>
  <c r="F102" i="11"/>
  <c r="A27" i="11"/>
  <c r="F31" i="11"/>
  <c r="A62" i="11"/>
  <c r="B62" i="11"/>
  <c r="A97" i="11"/>
  <c r="B97" i="11"/>
  <c r="B27" i="13"/>
  <c r="A27" i="13"/>
  <c r="A14" i="1" l="1"/>
  <c r="B12" i="1"/>
  <c r="B14" i="1"/>
  <c r="A12" i="1"/>
  <c r="B24" i="5"/>
  <c r="B29" i="5" s="1"/>
  <c r="C29" i="5" l="1"/>
  <c r="C27" i="5"/>
  <c r="B27" i="5"/>
  <c r="B31" i="5" l="1"/>
  <c r="B4" i="1" s="1"/>
  <c r="B4" i="18" l="1"/>
  <c r="B17" i="18" s="1"/>
  <c r="B4" i="19"/>
  <c r="B4" i="10"/>
  <c r="B17" i="10" s="1"/>
  <c r="B4" i="17"/>
  <c r="AE4" i="16"/>
  <c r="B4" i="16"/>
  <c r="AE49" i="16"/>
  <c r="B49" i="15"/>
  <c r="B61" i="15" s="1"/>
  <c r="B65" i="15" s="1"/>
  <c r="B49" i="16"/>
  <c r="B4" i="13"/>
  <c r="B16" i="13" s="1"/>
  <c r="B20" i="13" s="1"/>
  <c r="B23" i="13" s="1"/>
  <c r="B4" i="15"/>
  <c r="B16" i="15" s="1"/>
  <c r="I83" i="15" s="1"/>
  <c r="B4" i="14"/>
  <c r="B16" i="14" s="1"/>
  <c r="B20" i="14" s="1"/>
  <c r="B23" i="14" s="1"/>
  <c r="B4" i="12"/>
  <c r="B4" i="8"/>
  <c r="B4" i="9"/>
  <c r="B17" i="9" s="1"/>
  <c r="B4" i="7"/>
  <c r="B17" i="7" s="1"/>
  <c r="B4" i="2"/>
  <c r="B16" i="2" s="1"/>
  <c r="B20" i="2" s="1"/>
  <c r="B23" i="2" s="1"/>
  <c r="B4" i="4"/>
  <c r="B4" i="11"/>
  <c r="B52" i="11" s="1"/>
  <c r="A4" i="1"/>
  <c r="B86" i="18" l="1"/>
  <c r="B90" i="18" s="1"/>
  <c r="B94" i="18" s="1"/>
  <c r="F100" i="18" s="1"/>
  <c r="B16" i="18"/>
  <c r="B20" i="18" s="1"/>
  <c r="B23" i="18" s="1"/>
  <c r="B51" i="18"/>
  <c r="B55" i="18" s="1"/>
  <c r="B58" i="18" s="1"/>
  <c r="B87" i="18"/>
  <c r="B52" i="18"/>
  <c r="B17" i="19"/>
  <c r="B16" i="19"/>
  <c r="B20" i="19" s="1"/>
  <c r="B24" i="19" s="1"/>
  <c r="B16" i="10"/>
  <c r="B20" i="10" s="1"/>
  <c r="B24" i="10" s="1"/>
  <c r="F19" i="10" s="1"/>
  <c r="B16" i="17"/>
  <c r="B20" i="17" s="1"/>
  <c r="B23" i="17" s="1"/>
  <c r="B17" i="17"/>
  <c r="W39" i="16"/>
  <c r="W40" i="16"/>
  <c r="W41" i="16"/>
  <c r="W38" i="16"/>
  <c r="W42" i="16"/>
  <c r="B16" i="12"/>
  <c r="B20" i="12" s="1"/>
  <c r="B23" i="12" s="1"/>
  <c r="B17" i="12"/>
  <c r="B62" i="15"/>
  <c r="I41" i="15"/>
  <c r="I42" i="15"/>
  <c r="I40" i="15"/>
  <c r="I39" i="15"/>
  <c r="I38" i="15"/>
  <c r="B61" i="16"/>
  <c r="B62" i="16"/>
  <c r="AE62" i="16"/>
  <c r="AE61" i="16"/>
  <c r="AE17" i="16"/>
  <c r="AE16" i="16"/>
  <c r="B17" i="13"/>
  <c r="B17" i="15"/>
  <c r="B17" i="16"/>
  <c r="B16" i="16"/>
  <c r="B17" i="14"/>
  <c r="A60" i="15"/>
  <c r="B24" i="14"/>
  <c r="F20" i="14" s="1"/>
  <c r="B20" i="15"/>
  <c r="I85" i="15"/>
  <c r="I87" i="15"/>
  <c r="I84" i="15"/>
  <c r="I86" i="15"/>
  <c r="A15" i="15"/>
  <c r="B87" i="8"/>
  <c r="B17" i="8"/>
  <c r="B52" i="8"/>
  <c r="B51" i="8"/>
  <c r="B55" i="8" s="1"/>
  <c r="B59" i="8" s="1"/>
  <c r="F66" i="8" s="1"/>
  <c r="B17" i="2"/>
  <c r="B16" i="9"/>
  <c r="B20" i="9" s="1"/>
  <c r="B23" i="9" s="1"/>
  <c r="B24" i="2"/>
  <c r="M36" i="2" s="1"/>
  <c r="B16" i="7"/>
  <c r="B20" i="7" s="1"/>
  <c r="B23" i="7" s="1"/>
  <c r="B16" i="8"/>
  <c r="B20" i="8" s="1"/>
  <c r="B86" i="8"/>
  <c r="B90" i="8" s="1"/>
  <c r="B24" i="13"/>
  <c r="F20" i="13" s="1"/>
  <c r="B16" i="11"/>
  <c r="B20" i="11" s="1"/>
  <c r="B23" i="11" s="1"/>
  <c r="B17" i="4"/>
  <c r="B16" i="4"/>
  <c r="B20" i="4" s="1"/>
  <c r="B51" i="11"/>
  <c r="B55" i="11" s="1"/>
  <c r="B59" i="11" s="1"/>
  <c r="B86" i="11"/>
  <c r="B90" i="11" s="1"/>
  <c r="B94" i="11" s="1"/>
  <c r="B87" i="11"/>
  <c r="B17" i="11"/>
  <c r="B93" i="18" l="1"/>
  <c r="F99" i="18"/>
  <c r="B59" i="18"/>
  <c r="F65" i="18" s="1"/>
  <c r="B24" i="18"/>
  <c r="F29" i="18" s="1"/>
  <c r="F101" i="18"/>
  <c r="B23" i="19"/>
  <c r="M37" i="19"/>
  <c r="M36" i="19"/>
  <c r="M38" i="19"/>
  <c r="B23" i="10"/>
  <c r="F20" i="10"/>
  <c r="F18" i="10"/>
  <c r="B24" i="17"/>
  <c r="F19" i="17" s="1"/>
  <c r="Y31" i="16"/>
  <c r="J38" i="16" s="1"/>
  <c r="Z31" i="16"/>
  <c r="Y35" i="16"/>
  <c r="J42" i="16" s="1"/>
  <c r="Z35" i="16"/>
  <c r="Z34" i="16"/>
  <c r="Y33" i="16"/>
  <c r="J40" i="16" s="1"/>
  <c r="Z32" i="16"/>
  <c r="Z33" i="16"/>
  <c r="Y32" i="16"/>
  <c r="J39" i="16" s="1"/>
  <c r="Y34" i="16"/>
  <c r="J41" i="16" s="1"/>
  <c r="J87" i="16"/>
  <c r="J86" i="16"/>
  <c r="J84" i="16"/>
  <c r="J83" i="16"/>
  <c r="J85" i="16"/>
  <c r="B24" i="12"/>
  <c r="A60" i="16"/>
  <c r="AM38" i="16"/>
  <c r="AM41" i="16"/>
  <c r="AD15" i="16"/>
  <c r="AM39" i="16"/>
  <c r="AM42" i="16"/>
  <c r="AE20" i="16"/>
  <c r="AM40" i="16"/>
  <c r="AD60" i="16"/>
  <c r="AE65" i="16"/>
  <c r="AM86" i="16"/>
  <c r="AM84" i="16"/>
  <c r="AM83" i="16"/>
  <c r="AM87" i="16"/>
  <c r="AM85" i="16"/>
  <c r="F18" i="14"/>
  <c r="B65" i="16"/>
  <c r="B20" i="16"/>
  <c r="A15" i="16"/>
  <c r="F19" i="14"/>
  <c r="F65" i="8"/>
  <c r="F64" i="8"/>
  <c r="B58" i="8"/>
  <c r="B24" i="7"/>
  <c r="M36" i="7" s="1"/>
  <c r="B24" i="9"/>
  <c r="M38" i="9" s="1"/>
  <c r="M37" i="2"/>
  <c r="M38" i="2"/>
  <c r="B94" i="8"/>
  <c r="B93" i="8"/>
  <c r="F18" i="13"/>
  <c r="F19" i="13"/>
  <c r="B23" i="8"/>
  <c r="B24" i="8"/>
  <c r="B58" i="11"/>
  <c r="B24" i="11"/>
  <c r="F28" i="11" s="1"/>
  <c r="F101" i="11"/>
  <c r="F99" i="11"/>
  <c r="F100" i="11"/>
  <c r="F66" i="11"/>
  <c r="F65" i="11"/>
  <c r="F64" i="11"/>
  <c r="B23" i="4"/>
  <c r="B24" i="4"/>
  <c r="B93" i="11"/>
  <c r="A30" i="2" l="1"/>
  <c r="A100" i="18"/>
  <c r="B100" i="18" s="1"/>
  <c r="F64" i="18"/>
  <c r="F66" i="18"/>
  <c r="F30" i="18"/>
  <c r="F28" i="18"/>
  <c r="A30" i="19"/>
  <c r="A30" i="10"/>
  <c r="F18" i="17"/>
  <c r="F20" i="17"/>
  <c r="A65" i="8"/>
  <c r="A67" i="8" s="1"/>
  <c r="F30" i="8"/>
  <c r="F28" i="8"/>
  <c r="F29" i="8"/>
  <c r="F18" i="12"/>
  <c r="F20" i="12"/>
  <c r="F19" i="12"/>
  <c r="D51" i="16"/>
  <c r="D52" i="16"/>
  <c r="D6" i="16"/>
  <c r="D7" i="16"/>
  <c r="A30" i="14"/>
  <c r="B32" i="14" s="1"/>
  <c r="G6" i="14" s="1"/>
  <c r="Q58" i="1" s="1"/>
  <c r="M37" i="7"/>
  <c r="M38" i="7"/>
  <c r="M36" i="9"/>
  <c r="M37" i="9"/>
  <c r="E55" i="1"/>
  <c r="A30" i="13"/>
  <c r="G3" i="13" s="1"/>
  <c r="F29" i="11"/>
  <c r="F30" i="11"/>
  <c r="F101" i="8"/>
  <c r="F100" i="8"/>
  <c r="F99" i="8"/>
  <c r="A100" i="11"/>
  <c r="B102" i="11" s="1"/>
  <c r="A65" i="11"/>
  <c r="M36" i="4"/>
  <c r="M37" i="4"/>
  <c r="M38" i="4"/>
  <c r="A30" i="4" l="1"/>
  <c r="B32" i="10"/>
  <c r="G6" i="10" s="1"/>
  <c r="N42" i="1" s="1"/>
  <c r="A102" i="18"/>
  <c r="B102" i="18"/>
  <c r="A65" i="18"/>
  <c r="A30" i="18"/>
  <c r="B30" i="18" s="1"/>
  <c r="Q63" i="1"/>
  <c r="A32" i="19"/>
  <c r="Q65" i="1" s="1"/>
  <c r="B30" i="19"/>
  <c r="Q64" i="1" s="1"/>
  <c r="B32" i="19"/>
  <c r="Q66" i="1" s="1"/>
  <c r="B30" i="10"/>
  <c r="G4" i="10" s="1"/>
  <c r="N40" i="1" s="1"/>
  <c r="G3" i="10"/>
  <c r="N39" i="1" s="1"/>
  <c r="A32" i="10"/>
  <c r="G5" i="10" s="1"/>
  <c r="N41" i="1" s="1"/>
  <c r="A30" i="17"/>
  <c r="B32" i="17" s="1"/>
  <c r="G6" i="17" s="1"/>
  <c r="Q42" i="1" s="1"/>
  <c r="A30" i="8"/>
  <c r="B32" i="8" s="1"/>
  <c r="A100" i="8"/>
  <c r="A102" i="8" s="1"/>
  <c r="A30" i="12"/>
  <c r="A32" i="12" s="1"/>
  <c r="D56" i="16"/>
  <c r="D11" i="16"/>
  <c r="D14" i="16" s="1"/>
  <c r="A32" i="14"/>
  <c r="G5" i="14" s="1"/>
  <c r="Q57" i="1" s="1"/>
  <c r="B30" i="14"/>
  <c r="G4" i="14" s="1"/>
  <c r="Q56" i="1" s="1"/>
  <c r="G3" i="14"/>
  <c r="Q55" i="1" s="1"/>
  <c r="B30" i="13"/>
  <c r="B67" i="8"/>
  <c r="B65" i="8"/>
  <c r="A30" i="7"/>
  <c r="E47" i="1" s="1"/>
  <c r="A30" i="9"/>
  <c r="B30" i="2"/>
  <c r="E56" i="1" s="1"/>
  <c r="A30" i="11"/>
  <c r="A32" i="2"/>
  <c r="E57" i="1" s="1"/>
  <c r="B32" i="2"/>
  <c r="E58" i="1" s="1"/>
  <c r="A32" i="13"/>
  <c r="G5" i="13" s="1"/>
  <c r="B32" i="13"/>
  <c r="G6" i="13" s="1"/>
  <c r="B100" i="11"/>
  <c r="A102" i="11"/>
  <c r="A32" i="4"/>
  <c r="E65" i="1" s="1"/>
  <c r="B65" i="11"/>
  <c r="A67" i="11"/>
  <c r="B67" i="11"/>
  <c r="A67" i="18" l="1"/>
  <c r="B65" i="18"/>
  <c r="F3" i="18" s="1"/>
  <c r="H40" i="1" s="1"/>
  <c r="B32" i="9"/>
  <c r="H50" i="1" s="1"/>
  <c r="B67" i="18"/>
  <c r="H2" i="18"/>
  <c r="F2" i="18"/>
  <c r="H39" i="1" s="1"/>
  <c r="B32" i="18"/>
  <c r="F5" i="18" s="1"/>
  <c r="H42" i="1" s="1"/>
  <c r="A32" i="18"/>
  <c r="F4" i="18" s="1"/>
  <c r="H41" i="1" s="1"/>
  <c r="F2" i="8"/>
  <c r="E39" i="1" s="1"/>
  <c r="B30" i="17"/>
  <c r="G4" i="17" s="1"/>
  <c r="Q40" i="1" s="1"/>
  <c r="G3" i="17"/>
  <c r="Q39" i="1" s="1"/>
  <c r="A32" i="17"/>
  <c r="G5" i="17" s="1"/>
  <c r="Q41" i="1" s="1"/>
  <c r="B30" i="11"/>
  <c r="F3" i="11" s="1"/>
  <c r="K48" i="1" s="1"/>
  <c r="F2" i="11"/>
  <c r="K47" i="1" s="1"/>
  <c r="B32" i="12"/>
  <c r="B30" i="12"/>
  <c r="G3" i="12"/>
  <c r="H2" i="8"/>
  <c r="D13" i="16"/>
  <c r="B23" i="16" s="1"/>
  <c r="B38" i="14"/>
  <c r="B24" i="16"/>
  <c r="Y38" i="16" s="1"/>
  <c r="K38" i="16" s="1"/>
  <c r="G4" i="13"/>
  <c r="B30" i="8"/>
  <c r="B32" i="7"/>
  <c r="E50" i="1" s="1"/>
  <c r="H47" i="1"/>
  <c r="B30" i="7"/>
  <c r="E48" i="1" s="1"/>
  <c r="A32" i="9"/>
  <c r="H49" i="1" s="1"/>
  <c r="A32" i="7"/>
  <c r="E49" i="1" s="1"/>
  <c r="B30" i="9"/>
  <c r="H48" i="1" s="1"/>
  <c r="A32" i="11"/>
  <c r="B32" i="11"/>
  <c r="Q47" i="1"/>
  <c r="A32" i="8"/>
  <c r="B100" i="8"/>
  <c r="B102" i="8"/>
  <c r="E63" i="1"/>
  <c r="B30" i="4"/>
  <c r="E64" i="1" s="1"/>
  <c r="B32" i="4"/>
  <c r="E66" i="1" s="1"/>
  <c r="Z38" i="16" l="1"/>
  <c r="Y40" i="16"/>
  <c r="K40" i="16" s="1"/>
  <c r="Y39" i="16"/>
  <c r="K39" i="16" s="1"/>
  <c r="Z42" i="16"/>
  <c r="Y41" i="16"/>
  <c r="K41" i="16" s="1"/>
  <c r="Z41" i="16"/>
  <c r="Y42" i="16"/>
  <c r="K42" i="16" s="1"/>
  <c r="Z40" i="16"/>
  <c r="Z39" i="16"/>
  <c r="F5" i="11"/>
  <c r="K50" i="1" s="1"/>
  <c r="F4" i="11"/>
  <c r="K49" i="1" s="1"/>
  <c r="F5" i="8"/>
  <c r="E42" i="1" s="1"/>
  <c r="F4" i="8"/>
  <c r="E41" i="1" s="1"/>
  <c r="F3" i="8"/>
  <c r="E40" i="1" s="1"/>
  <c r="Q49" i="1"/>
  <c r="G5" i="12"/>
  <c r="Q50" i="1"/>
  <c r="G6" i="12"/>
  <c r="Q48" i="1"/>
  <c r="G4" i="12"/>
  <c r="B15" i="16"/>
  <c r="A30" i="16" l="1"/>
  <c r="F85" i="15"/>
  <c r="B32" i="16" l="1"/>
  <c r="Z27" i="16"/>
  <c r="AA27" i="16" s="1"/>
  <c r="D35" i="16" s="1"/>
  <c r="A32" i="16"/>
  <c r="C32" i="16" s="1"/>
  <c r="D32" i="16" s="1"/>
  <c r="C34" i="16" s="1"/>
  <c r="Z19" i="16"/>
  <c r="AA19" i="16" s="1"/>
  <c r="Z7" i="16"/>
  <c r="AA7" i="16" s="1"/>
  <c r="G85" i="15"/>
  <c r="D52" i="15" s="1"/>
  <c r="D51" i="15"/>
  <c r="F40" i="15"/>
  <c r="D6" i="15" s="1"/>
  <c r="AA49" i="15"/>
  <c r="D34" i="16" l="1"/>
  <c r="B30" i="16"/>
  <c r="D56" i="15"/>
  <c r="D59" i="15" s="1"/>
  <c r="B69" i="15" s="1"/>
  <c r="AA61" i="15"/>
  <c r="G40" i="15"/>
  <c r="D7" i="15" s="1"/>
  <c r="D11" i="15" s="1"/>
  <c r="AA4" i="15"/>
  <c r="D14" i="15" l="1"/>
  <c r="D13" i="15"/>
  <c r="D58" i="15"/>
  <c r="B68" i="15" s="1"/>
  <c r="AA16" i="15"/>
  <c r="B60" i="15" l="1"/>
  <c r="B24" i="15"/>
  <c r="J38" i="15" l="1"/>
  <c r="J83" i="15"/>
  <c r="J87" i="15"/>
  <c r="J85" i="15"/>
  <c r="J84" i="15"/>
  <c r="J86" i="15"/>
  <c r="B15" i="15"/>
  <c r="B23" i="15"/>
  <c r="J39" i="15"/>
  <c r="V42" i="15"/>
  <c r="J42" i="15" s="1"/>
  <c r="V41" i="15"/>
  <c r="J41" i="15" s="1"/>
  <c r="V40" i="15" l="1"/>
  <c r="J40" i="15" s="1"/>
  <c r="A30" i="15" s="1"/>
  <c r="K55" i="1" s="1"/>
  <c r="Z52" i="15" l="1"/>
  <c r="Z64" i="15"/>
  <c r="Z19" i="15"/>
  <c r="AA19" i="15" s="1"/>
  <c r="Z7" i="15" l="1"/>
  <c r="B32" i="15"/>
  <c r="A32" i="15"/>
  <c r="K39" i="1"/>
  <c r="A75" i="15"/>
  <c r="K63" i="1" s="1"/>
  <c r="K41" i="1" l="1"/>
  <c r="K57" i="1"/>
  <c r="K42" i="1"/>
  <c r="K58" i="1"/>
  <c r="AA52" i="15"/>
  <c r="AA64" i="15"/>
  <c r="AA7" i="15"/>
  <c r="B30" i="15" s="1"/>
  <c r="K56" i="1" s="1"/>
  <c r="A77" i="15"/>
  <c r="K65" i="1" s="1"/>
  <c r="B77" i="15"/>
  <c r="K66" i="1" s="1"/>
  <c r="B75" i="15" l="1"/>
  <c r="K40" i="1"/>
  <c r="C75" i="15" l="1"/>
  <c r="K64" i="1"/>
  <c r="AG52" i="16"/>
  <c r="AG51" i="16"/>
  <c r="AG56" i="16" l="1"/>
  <c r="AG58" i="16" s="1"/>
  <c r="AG59" i="16" l="1"/>
  <c r="AE69" i="16" s="1"/>
  <c r="AE68" i="16"/>
  <c r="AE60" i="16"/>
  <c r="AN85" i="16" l="1"/>
  <c r="AN84" i="16"/>
  <c r="AN86" i="16"/>
  <c r="AN83" i="16"/>
  <c r="AN87" i="16"/>
  <c r="AD75" i="16" l="1"/>
  <c r="BC64" i="16" l="1"/>
  <c r="BD64" i="16" s="1"/>
  <c r="BC52" i="16"/>
  <c r="BD52" i="16" s="1"/>
  <c r="AE77" i="16"/>
  <c r="AD77" i="16"/>
  <c r="D58" i="16"/>
  <c r="AE75" i="16" l="1"/>
  <c r="AF75" i="16" s="1"/>
  <c r="D59" i="16"/>
  <c r="B69" i="16" s="1"/>
  <c r="K83" i="16" s="1"/>
  <c r="K84" i="16" l="1"/>
  <c r="B60" i="16"/>
  <c r="B68" i="16"/>
  <c r="K85" i="16"/>
  <c r="K86" i="16"/>
  <c r="K87" i="16"/>
  <c r="A75" i="16" l="1"/>
  <c r="Z64" i="16" s="1"/>
  <c r="AA64" i="16" s="1"/>
  <c r="Z52" i="16" l="1"/>
  <c r="B77" i="16"/>
  <c r="B84" i="16" s="1"/>
  <c r="E82" i="1" s="1"/>
  <c r="A77" i="16"/>
  <c r="B83" i="16" s="1"/>
  <c r="E81" i="1" s="1"/>
  <c r="B81" i="16"/>
  <c r="E79" i="1" s="1"/>
  <c r="AA52" i="16" l="1"/>
  <c r="B75" i="16" s="1"/>
  <c r="B82" i="16" s="1"/>
  <c r="E80" i="1" s="1"/>
  <c r="C75" i="16" l="1"/>
  <c r="AG7" i="16"/>
  <c r="AG6" i="16"/>
  <c r="BD14" i="16"/>
  <c r="AG11" i="16" l="1"/>
  <c r="AG13" i="16" s="1"/>
  <c r="BD2" i="16"/>
  <c r="AG14" i="16" l="1"/>
  <c r="AE24" i="16" s="1"/>
  <c r="AN40" i="16" s="1"/>
  <c r="AE15" i="16"/>
  <c r="AE23" i="16"/>
  <c r="AN39" i="16" l="1"/>
  <c r="AN42" i="16"/>
  <c r="AN38" i="16"/>
  <c r="AN41" i="16"/>
  <c r="AD30" i="16" l="1"/>
  <c r="B36" i="16" s="1"/>
  <c r="E71" i="1" s="1"/>
  <c r="E4" i="1" s="1"/>
  <c r="AD32" i="16" l="1"/>
  <c r="B38" i="16" s="1"/>
  <c r="E73" i="1" s="1"/>
  <c r="E6" i="1" s="1"/>
  <c r="BC19" i="16"/>
  <c r="BD19" i="16" s="1"/>
  <c r="AE32" i="16"/>
  <c r="BC7" i="16"/>
  <c r="BD7" i="16" s="1"/>
  <c r="B39" i="16" l="1"/>
  <c r="E74" i="1" s="1"/>
  <c r="E7" i="1" s="1"/>
  <c r="AE30" i="16"/>
  <c r="B37" i="16" s="1"/>
  <c r="E72" i="1" s="1"/>
  <c r="E5" i="1" s="1"/>
  <c r="E3" i="1" l="1"/>
  <c r="E2" i="1" l="1"/>
</calcChain>
</file>

<file path=xl/comments1.xml><?xml version="1.0" encoding="utf-8"?>
<comments xmlns="http://schemas.openxmlformats.org/spreadsheetml/2006/main">
  <authors>
    <author>uk</author>
  </authors>
  <commentList>
    <comment ref="L2" authorId="0">
      <text>
        <r>
          <rPr>
            <sz val="10"/>
            <color indexed="81"/>
            <rFont val="Tahoma"/>
            <family val="2"/>
          </rPr>
          <t>Auto Fit Hit Bar = 1.0
800x600     = 1.25
1280x720  = 1.5
1600x900  = 1.875</t>
        </r>
      </text>
    </comment>
  </commentList>
</comments>
</file>

<file path=xl/sharedStrings.xml><?xml version="1.0" encoding="utf-8"?>
<sst xmlns="http://schemas.openxmlformats.org/spreadsheetml/2006/main" count="8668" uniqueCount="241">
  <si>
    <t>Distancia</t>
  </si>
  <si>
    <t>Altura</t>
  </si>
  <si>
    <t>Vento</t>
  </si>
  <si>
    <t>Ângulo</t>
  </si>
  <si>
    <t>Slope</t>
  </si>
  <si>
    <t>Terreno</t>
  </si>
  <si>
    <t>pin</t>
  </si>
  <si>
    <t>px</t>
  </si>
  <si>
    <t>we front</t>
  </si>
  <si>
    <t>we back</t>
  </si>
  <si>
    <t>H-</t>
  </si>
  <si>
    <t>H-F</t>
  </si>
  <si>
    <t>Pin</t>
  </si>
  <si>
    <t>Px</t>
  </si>
  <si>
    <t>spin+1</t>
  </si>
  <si>
    <t>spin-1</t>
  </si>
  <si>
    <t>Direção do Vento</t>
  </si>
  <si>
    <t>↖</t>
  </si>
  <si>
    <t>↗</t>
  </si>
  <si>
    <t>↙</t>
  </si>
  <si>
    <t>↘</t>
  </si>
  <si>
    <t>Quebra PX</t>
  </si>
  <si>
    <t>PX</t>
  </si>
  <si>
    <t>pixel</t>
  </si>
  <si>
    <t>ângulo</t>
  </si>
  <si>
    <t>cos</t>
  </si>
  <si>
    <t>quebra</t>
  </si>
  <si>
    <t>H+</t>
  </si>
  <si>
    <t>H+F</t>
  </si>
  <si>
    <t>wefront</t>
  </si>
  <si>
    <t>weback</t>
  </si>
  <si>
    <t>px ajuste</t>
  </si>
  <si>
    <t>sinxvento</t>
  </si>
  <si>
    <t>cosxvento</t>
  </si>
  <si>
    <t>Quebra</t>
  </si>
  <si>
    <t>ajuste real</t>
  </si>
  <si>
    <t>ajuste sin</t>
  </si>
  <si>
    <t>ajuste cos</t>
  </si>
  <si>
    <t>int</t>
  </si>
  <si>
    <t>ajuste spin</t>
  </si>
  <si>
    <t>we final</t>
  </si>
  <si>
    <t>% final</t>
  </si>
  <si>
    <t>hwi final</t>
  </si>
  <si>
    <t>spin</t>
  </si>
  <si>
    <t>calibrador</t>
  </si>
  <si>
    <t>%</t>
  </si>
  <si>
    <t>ajuste distancia</t>
  </si>
  <si>
    <t xml:space="preserve">h16 pink </t>
  </si>
  <si>
    <t>px -1</t>
  </si>
  <si>
    <t>ang 76</t>
  </si>
  <si>
    <t>Distância</t>
  </si>
  <si>
    <t>Map</t>
  </si>
  <si>
    <t>Deep Inferno</t>
  </si>
  <si>
    <t>Hole</t>
  </si>
  <si>
    <t>800x600 = *1.25</t>
  </si>
  <si>
    <t>Botão</t>
  </si>
  <si>
    <t>Procv</t>
  </si>
  <si>
    <t>1024x768</t>
  </si>
  <si>
    <t>800x600</t>
  </si>
  <si>
    <t>HWI</t>
  </si>
  <si>
    <t>AIM</t>
  </si>
  <si>
    <t>1024x768 = *1.6</t>
  </si>
  <si>
    <t>1280x720 = *1.5</t>
  </si>
  <si>
    <t>1280x768 = *1.6</t>
  </si>
  <si>
    <t>1280x720</t>
  </si>
  <si>
    <t>1280x800 = *1.66</t>
  </si>
  <si>
    <t>1280x768</t>
  </si>
  <si>
    <t>1366x768 = *1.6</t>
  </si>
  <si>
    <t>1600x900</t>
  </si>
  <si>
    <t>1400x900 = *1.875</t>
  </si>
  <si>
    <t>1440x900 = *1.875</t>
  </si>
  <si>
    <t>1600x900 = *1.875</t>
  </si>
  <si>
    <t>Tacada</t>
  </si>
  <si>
    <t>N° Botão</t>
  </si>
  <si>
    <t>Dunk 1w 11s</t>
  </si>
  <si>
    <t>Dunk 1w 30s</t>
  </si>
  <si>
    <t>Dunk 1w 2PS30</t>
  </si>
  <si>
    <t>Dunk 2w 11s</t>
  </si>
  <si>
    <t>Dunk 2w 30s</t>
  </si>
  <si>
    <t>Dunk 2w 1PS30</t>
  </si>
  <si>
    <t>Dunk 3w 11s</t>
  </si>
  <si>
    <t>Dunk 3w 30s</t>
  </si>
  <si>
    <t>Toma 1w</t>
  </si>
  <si>
    <t>Toma 2w</t>
  </si>
  <si>
    <t>Toma 3w</t>
  </si>
  <si>
    <t>Toma 1w 30s</t>
  </si>
  <si>
    <t>Spike 1w</t>
  </si>
  <si>
    <t>Spike 1w 30s</t>
  </si>
  <si>
    <t>Select</t>
  </si>
  <si>
    <t>RESULT</t>
  </si>
  <si>
    <t>H</t>
  </si>
  <si>
    <t>Re.1</t>
  </si>
  <si>
    <t>-</t>
  </si>
  <si>
    <t>Re.2</t>
  </si>
  <si>
    <t>Blue Lagoon</t>
  </si>
  <si>
    <t>Pink Wind</t>
  </si>
  <si>
    <t>West Wiz</t>
  </si>
  <si>
    <t>Ice Spa</t>
  </si>
  <si>
    <t>Lost Seaway</t>
  </si>
  <si>
    <t>Wiz City</t>
  </si>
  <si>
    <t>Abbot Mine</t>
  </si>
  <si>
    <t>382.65L</t>
  </si>
  <si>
    <t>382.55R</t>
  </si>
  <si>
    <t>Shining Sand</t>
  </si>
  <si>
    <t>Ice Cannon</t>
  </si>
  <si>
    <t>Eastern Valley</t>
  </si>
  <si>
    <t>Sepia Wind</t>
  </si>
  <si>
    <t>Blue Moon</t>
  </si>
  <si>
    <t>Blue Water</t>
  </si>
  <si>
    <t>White Wiz</t>
  </si>
  <si>
    <t>Wind Hill</t>
  </si>
  <si>
    <t>Silvia Cannon</t>
  </si>
  <si>
    <t>Ice Inferno</t>
  </si>
  <si>
    <t>Wiz Wiz</t>
  </si>
  <si>
    <t>F.Real</t>
  </si>
  <si>
    <t>หลุม</t>
  </si>
  <si>
    <t>Pin++ By #Pond</t>
  </si>
  <si>
    <t>376.6L:</t>
  </si>
  <si>
    <t>376.56R</t>
  </si>
  <si>
    <t>372.53L</t>
  </si>
  <si>
    <t>373.43R</t>
  </si>
  <si>
    <t>386.94L</t>
  </si>
  <si>
    <t>386.63R</t>
  </si>
  <si>
    <t>417.6L</t>
  </si>
  <si>
    <t>418.14R</t>
  </si>
  <si>
    <t>AIM/4</t>
  </si>
  <si>
    <t>PB</t>
  </si>
  <si>
    <t>Caliper</t>
  </si>
  <si>
    <t>Spin</t>
  </si>
  <si>
    <t>Spike 2PS30</t>
  </si>
  <si>
    <t>Dunk 1w PS30</t>
  </si>
  <si>
    <t>AIM/4,75</t>
  </si>
  <si>
    <t>Calliper</t>
  </si>
  <si>
    <t>Dunk 1w 1PS 30s</t>
  </si>
  <si>
    <t>Dunk 1w 2PS 30s</t>
  </si>
  <si>
    <t>Dunk 2w 1PS 30s</t>
  </si>
  <si>
    <t>Spike 1w 2PS 30s</t>
  </si>
  <si>
    <t>ajuste</t>
  </si>
  <si>
    <t>Ball eff</t>
  </si>
  <si>
    <t>Main</t>
  </si>
  <si>
    <t>Hwi</t>
  </si>
  <si>
    <t>Result</t>
  </si>
  <si>
    <t>90 - 85 - 80</t>
  </si>
  <si>
    <t>we final 100-95-90</t>
  </si>
  <si>
    <t>we final 90-85-80</t>
  </si>
  <si>
    <t>80 - 75 - 70</t>
  </si>
  <si>
    <t>h16 white</t>
  </si>
  <si>
    <t>px 5</t>
  </si>
  <si>
    <t>ang 0</t>
  </si>
  <si>
    <t>we final 80-75-70</t>
  </si>
  <si>
    <t>~~Wind Hill~~</t>
  </si>
  <si>
    <t>Mira 1</t>
  </si>
  <si>
    <t>Mira 2</t>
  </si>
  <si>
    <t>Mira R</t>
  </si>
  <si>
    <t>Força 1</t>
  </si>
  <si>
    <t>Força 2</t>
  </si>
  <si>
    <t>Força R</t>
  </si>
  <si>
    <t>p1</t>
  </si>
  <si>
    <t>p2</t>
  </si>
  <si>
    <t>sp+1</t>
  </si>
  <si>
    <t>sp-1 (29)</t>
  </si>
  <si>
    <t>Slope Direction</t>
  </si>
  <si>
    <t>dunk 2ps 100,41 full</t>
  </si>
  <si>
    <t>Season</t>
  </si>
  <si>
    <t>A65</t>
  </si>
  <si>
    <t>A100</t>
  </si>
  <si>
    <t>A135</t>
  </si>
  <si>
    <t>A170</t>
  </si>
  <si>
    <t>A205</t>
  </si>
  <si>
    <t>***</t>
  </si>
  <si>
    <t>Pin 90°</t>
  </si>
  <si>
    <t>Pin Front Wind 9  0°</t>
  </si>
  <si>
    <t>Pin Back Wind 9  0°</t>
  </si>
  <si>
    <t xml:space="preserve">y = 1E-09x6 + 3E-07x5 + 2E-05x4 + 0,0005x3 - 0,0093x2 - 2,1048x + 344,96
</t>
  </si>
  <si>
    <t xml:space="preserve">y = -6E-10x6 - 1E-07x5 - 1E-05x4 - 0,0006x3 - 0,0265x2 - 2,2295x + 337,56
</t>
  </si>
  <si>
    <t xml:space="preserve">y = 1E-09x6 + 3E-07x5 + 2E-05x4 + 0,0006x3 - 0,0084x2 - 2,2967x + 325,74
</t>
  </si>
  <si>
    <t>y = -6E-11x6 - 2E-08x5 - 3E-06x4 - 0,0002x3 - 0,0177x2 - 1,3665x + 331,41</t>
  </si>
  <si>
    <t>y = -7E-11x6 - 2E-08x5 - 3E-06x4 - 0,0003x3 - 0,0184x2 - 1,4113x + 320,19</t>
  </si>
  <si>
    <t>y = -8E-11x6 - 2E-08x5 - 3E-06x4 - 0,0003x3 - 0,02x2 - 1,495x + 306,45</t>
  </si>
  <si>
    <t xml:space="preserve">y = -6E-11x6 - 2E-08x5 - 3E-06x4 - 0,0002x3 - 0,0181x2 - 1,4131x + 344,3
</t>
  </si>
  <si>
    <t xml:space="preserve">y = -7E-11x6 - 2E-08x5 - 3E-06x4 - 0,0003x3 - 0,0191x2 - 1,4643x + 333,29
</t>
  </si>
  <si>
    <t>y = -7E-11x6 - 2E-08x5 - 3E-06x4 - 0,0003x3 - 0,0207x2 - 1,5518x + 319,58</t>
  </si>
  <si>
    <t xml:space="preserve">y = -4E-11x6 - 1E-08x5 - 2E-06x4 - 0,0002x3 - 0,0168x2 - 1,3102x + 317,74
</t>
  </si>
  <si>
    <t>y = -7E-11x6 - 2E-08x5 - 3E-06x4 - 0,0003x3 - 0,0179x2 - 1,3553x + 306,45</t>
  </si>
  <si>
    <t>y = -6E-11x6 - 2E-08x5 - 3E-06x4 - 0,0003x3 - 0,019x2 - 1,4301x + 292,69</t>
  </si>
  <si>
    <t>h-</t>
  </si>
  <si>
    <t>Quebra S4</t>
  </si>
  <si>
    <t>spin -1</t>
  </si>
  <si>
    <t>px int &lt;&lt;&lt;</t>
  </si>
  <si>
    <t>media</t>
  </si>
  <si>
    <t>px int &gt;&gt;&gt;</t>
  </si>
  <si>
    <t>CURVA &gt;&gt;&gt;&gt;&gt;&gt;&gt;&gt;</t>
  </si>
  <si>
    <t>CURVA &lt;&lt;&lt;&lt;&lt;&lt;&lt;&lt;</t>
  </si>
  <si>
    <t>MEDIA</t>
  </si>
  <si>
    <t>AJST</t>
  </si>
  <si>
    <t>WEF</t>
  </si>
  <si>
    <t>WEB</t>
  </si>
  <si>
    <t>WEFINAL</t>
  </si>
  <si>
    <t>Px int &lt;&lt;</t>
  </si>
  <si>
    <t>Média</t>
  </si>
  <si>
    <t>Ajuste</t>
  </si>
  <si>
    <t>Px int &gt;&gt;</t>
  </si>
  <si>
    <t>37,5/63,5</t>
  </si>
  <si>
    <t>% Final</t>
  </si>
  <si>
    <t>Hwi Final</t>
  </si>
  <si>
    <t>Calip</t>
  </si>
  <si>
    <t xml:space="preserve">pure curve </t>
  </si>
  <si>
    <t>h -2,5</t>
  </si>
  <si>
    <t>h 0</t>
  </si>
  <si>
    <t>h -5</t>
  </si>
  <si>
    <t>h -7,5</t>
  </si>
  <si>
    <t>h -10</t>
  </si>
  <si>
    <t>h 2,5</t>
  </si>
  <si>
    <t>h 5</t>
  </si>
  <si>
    <t>h 7,5</t>
  </si>
  <si>
    <t>h 10</t>
  </si>
  <si>
    <t>antigo</t>
  </si>
  <si>
    <t>80 - 70 - 60</t>
  </si>
  <si>
    <t>60 - 50 -40</t>
  </si>
  <si>
    <t>pin f</t>
  </si>
  <si>
    <t>pin c</t>
  </si>
  <si>
    <t>Spike 1w 7s</t>
  </si>
  <si>
    <t>1w D.Curve 11c</t>
  </si>
  <si>
    <t>1wD.Curve -11</t>
  </si>
  <si>
    <t>3w D.Curve 7</t>
  </si>
  <si>
    <t>3w D.Curve -7</t>
  </si>
  <si>
    <t>1w D.Curve -11c</t>
  </si>
  <si>
    <t>3w D.Curve 7c</t>
  </si>
  <si>
    <t>3w D.Curve -7c</t>
  </si>
  <si>
    <t>Dunk 2i 180Y 30s</t>
  </si>
  <si>
    <t>we final 80-70-60</t>
  </si>
  <si>
    <t>we final 100-90-80</t>
  </si>
  <si>
    <t>we final 60-50-40</t>
  </si>
  <si>
    <t>quebras paint</t>
  </si>
  <si>
    <t>DIREITA</t>
  </si>
  <si>
    <t>ESQUERDA</t>
  </si>
  <si>
    <t>Quebra S8</t>
  </si>
  <si>
    <t>sepia h7 s4</t>
  </si>
  <si>
    <t>51,83 11px&lt;</t>
  </si>
  <si>
    <t>h12 6px ang 0</t>
  </si>
  <si>
    <t>ajuste 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</si>
</sst>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1" formatCode="_-* #,##0_-;\-* #,##0_-;_-* &quot;-&quot;_-;_-@_-"/>
    <numFmt numFmtId="43" formatCode="_-* #,##0.00_-;\-* #,##0.00_-;_-* &quot;-&quot;??_-;_-@_-"/>
    <numFmt numFmtId="164" formatCode="General&quot;°&quot;"/>
    <numFmt numFmtId="165" formatCode="General&quot;y&quot;"/>
    <numFmt numFmtId="166" formatCode="General&quot;m&quot;"/>
    <numFmt numFmtId="167" formatCode="0.0"/>
    <numFmt numFmtId="168" formatCode="0.000"/>
    <numFmt numFmtId="169" formatCode="0.0000"/>
    <numFmt numFmtId="170" formatCode="_-* #,##0.00_-;_-* #,##0.00\-;_-* &quot;-&quot;??_-;_-@_-"/>
    <numFmt numFmtId="171" formatCode="_-&quot;\&quot;* #,##0.00_-;\-&quot;\&quot;* #,##0.00_-;_-&quot;\&quot;* &quot;-&quot;??_-;_-@_-"/>
    <numFmt numFmtId="172" formatCode="_(* #,##0_);_(* \(#,##0\);_(* &quot;-&quot;_);_(@_)"/>
    <numFmt numFmtId="173" formatCode="#,##0.00\ ;&quot; (&quot;#,##0.00\);&quot; -&quot;#\ ;@\ "/>
    <numFmt numFmtId="174" formatCode="&quot; R$ &quot;#,##0.00\ ;&quot; R$ (&quot;#,##0.00\);&quot; R$ -&quot;#\ ;@\ "/>
    <numFmt numFmtId="175" formatCode="_(&quot;R$ &quot;* #,##0.00_);_(&quot;R$ &quot;* \(#,##0.00\);_(&quot;R$ &quot;* \-??_);_(@_)"/>
    <numFmt numFmtId="176" formatCode="_(&quot;R$ &quot;* #,##0.00_);_(&quot;R$ &quot;* \(#,##0.00\);_(&quot;R$ &quot;* &quot;-&quot;??_);_(@_)"/>
    <numFmt numFmtId="177" formatCode="_(* #,##0.00_);_(* \(#,##0.00\);_(* \-??_);_(@_)"/>
    <numFmt numFmtId="178" formatCode="_(* #,##0.00_);_(* \(#,##0.00\);_(* &quot;-&quot;??_);_(@_)"/>
  </numFmts>
  <fonts count="9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sz val="10"/>
      <color rgb="FF1C1E21"/>
      <name val="Inherit"/>
    </font>
    <font>
      <sz val="10"/>
      <color indexed="81"/>
      <name val="Tahoma"/>
      <family val="2"/>
    </font>
    <font>
      <sz val="11"/>
      <color indexed="8"/>
      <name val="맑은 고딕"/>
      <charset val="129"/>
    </font>
    <font>
      <sz val="11"/>
      <color indexed="9"/>
      <name val="Calibri"/>
      <family val="2"/>
    </font>
    <font>
      <sz val="11"/>
      <color theme="0"/>
      <name val="Calibri"/>
      <family val="2"/>
      <charset val="222"/>
      <scheme val="minor"/>
    </font>
    <font>
      <sz val="11"/>
      <color indexed="9"/>
      <name val="맑은 고딕"/>
      <charset val="129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b/>
      <sz val="11"/>
      <color indexed="53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3"/>
      <name val="Calibri"/>
      <family val="2"/>
    </font>
    <font>
      <sz val="11"/>
      <name val="돋움"/>
      <charset val="129"/>
    </font>
    <font>
      <sz val="11"/>
      <color indexed="62"/>
      <name val="Calibri"/>
      <family val="2"/>
    </font>
    <font>
      <b/>
      <i/>
      <sz val="11"/>
      <name val="Arial"/>
      <family val="2"/>
    </font>
    <font>
      <sz val="11"/>
      <color indexed="20"/>
      <name val="Calibri"/>
      <family val="2"/>
      <charset val="1"/>
    </font>
    <font>
      <sz val="11"/>
      <color indexed="20"/>
      <name val="맑은 고딕"/>
      <family val="3"/>
      <charset val="129"/>
    </font>
    <font>
      <u/>
      <sz val="9"/>
      <color theme="10"/>
      <name val="Arial"/>
      <family val="2"/>
    </font>
    <font>
      <u/>
      <sz val="9.4"/>
      <color theme="10"/>
      <name val="Arial"/>
      <family val="2"/>
    </font>
    <font>
      <sz val="11"/>
      <color indexed="20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charset val="222"/>
      <scheme val="minor"/>
    </font>
    <font>
      <sz val="10"/>
      <name val="ＭＳ Ｐゴシック"/>
      <charset val="134"/>
    </font>
    <font>
      <sz val="10"/>
      <name val="ＭＳ Ｐゴシック"/>
      <family val="3"/>
    </font>
    <font>
      <sz val="11"/>
      <name val="Tahoma"/>
      <family val="2"/>
    </font>
    <font>
      <sz val="11"/>
      <name val="돋움"/>
      <family val="3"/>
      <charset val="129"/>
    </font>
    <font>
      <sz val="11"/>
      <color indexed="8"/>
      <name val="Tahoma"/>
      <family val="2"/>
    </font>
    <font>
      <b/>
      <sz val="11"/>
      <color indexed="63"/>
      <name val="Calibri"/>
      <family val="2"/>
    </font>
    <font>
      <b/>
      <sz val="10"/>
      <color theme="1"/>
      <name val="Lucida Bright"/>
      <family val="1"/>
    </font>
    <font>
      <b/>
      <sz val="10"/>
      <color indexed="8"/>
      <name val="Lucida Bright"/>
      <family val="1"/>
    </font>
    <font>
      <i/>
      <sz val="11"/>
      <color indexed="23"/>
      <name val="Calibri"/>
      <family val="2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1"/>
    </font>
    <font>
      <b/>
      <sz val="18"/>
      <color indexed="57"/>
      <name val="Cambria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11"/>
      <color indexed="10"/>
      <name val="맑은 고딕"/>
      <charset val="129"/>
    </font>
    <font>
      <b/>
      <sz val="11"/>
      <color indexed="52"/>
      <name val="맑은 고딕"/>
      <charset val="129"/>
    </font>
    <font>
      <sz val="11"/>
      <color indexed="20"/>
      <name val="맑은 고딕"/>
      <charset val="129"/>
    </font>
    <font>
      <sz val="11"/>
      <color indexed="60"/>
      <name val="맑은 고딕"/>
      <charset val="129"/>
    </font>
    <font>
      <i/>
      <sz val="11"/>
      <color indexed="23"/>
      <name val="맑은 고딕"/>
      <charset val="129"/>
    </font>
    <font>
      <b/>
      <sz val="11"/>
      <color indexed="9"/>
      <name val="맑은 고딕"/>
      <charset val="129"/>
    </font>
    <font>
      <sz val="11"/>
      <color indexed="52"/>
      <name val="맑은 고딕"/>
      <charset val="129"/>
    </font>
    <font>
      <b/>
      <sz val="11"/>
      <color indexed="8"/>
      <name val="맑은 고딕"/>
      <charset val="129"/>
    </font>
    <font>
      <sz val="11"/>
      <color indexed="62"/>
      <name val="맑은 고딕"/>
      <charset val="129"/>
    </font>
    <font>
      <b/>
      <sz val="18"/>
      <color indexed="56"/>
      <name val="맑은 고딕"/>
      <charset val="129"/>
    </font>
    <font>
      <b/>
      <sz val="15"/>
      <color indexed="56"/>
      <name val="맑은 고딕"/>
      <charset val="129"/>
    </font>
    <font>
      <b/>
      <sz val="13"/>
      <color indexed="56"/>
      <name val="맑은 고딕"/>
      <charset val="129"/>
    </font>
    <font>
      <b/>
      <sz val="11"/>
      <color indexed="56"/>
      <name val="맑은 고딕"/>
      <charset val="129"/>
    </font>
    <font>
      <sz val="11"/>
      <color indexed="17"/>
      <name val="맑은 고딕"/>
      <charset val="129"/>
    </font>
    <font>
      <b/>
      <sz val="11"/>
      <color indexed="63"/>
      <name val="맑은 고딕"/>
      <charset val="129"/>
    </font>
    <font>
      <sz val="11"/>
      <color indexed="8"/>
      <name val="Calibri"/>
      <family val="2"/>
      <charset val="129"/>
    </font>
    <font>
      <sz val="11"/>
      <color indexed="8"/>
      <name val="맑은 고딕"/>
      <family val="3"/>
      <charset val="129"/>
    </font>
    <font>
      <sz val="11"/>
      <color indexed="8"/>
      <name val="Calibri"/>
      <family val="3"/>
      <charset val="129"/>
    </font>
    <font>
      <sz val="11"/>
      <color theme="1"/>
      <name val="Calibri"/>
      <family val="3"/>
      <charset val="129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22"/>
      <color theme="1"/>
      <name val="Calibri"/>
      <family val="2"/>
      <scheme val="minor"/>
    </font>
    <font>
      <sz val="10"/>
      <color rgb="FFFFFF00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2"/>
      <color theme="0"/>
      <name val="Maiandra GD"/>
      <family val="2"/>
    </font>
    <font>
      <b/>
      <sz val="12"/>
      <color theme="0"/>
      <name val="Calibri"/>
      <family val="2"/>
      <charset val="222"/>
      <scheme val="minor"/>
    </font>
    <font>
      <b/>
      <sz val="11"/>
      <color rgb="FF000000"/>
      <name val="Calibri"/>
      <family val="2"/>
    </font>
    <font>
      <b/>
      <sz val="11"/>
      <color rgb="FF000000"/>
      <name val="Berlin Sans FB Demi"/>
      <family val="2"/>
    </font>
    <font>
      <sz val="10"/>
      <color theme="0"/>
      <name val="Calibri"/>
      <family val="2"/>
    </font>
    <font>
      <b/>
      <sz val="10"/>
      <color rgb="FF000000"/>
      <name val="Calibri"/>
      <family val="2"/>
    </font>
    <font>
      <sz val="9"/>
      <name val="Arial"/>
      <family val="2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</fonts>
  <fills count="75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31"/>
      </patternFill>
    </fill>
    <fill>
      <gradientFill degree="90">
        <stop position="0">
          <color theme="4" tint="0.59999389629810485"/>
        </stop>
        <stop position="1">
          <color theme="3" tint="0.59999389629810485"/>
        </stop>
      </gradient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26"/>
      </patternFill>
    </fill>
    <fill>
      <patternFill patternType="solid">
        <fgColor indexed="27"/>
        <bgColor indexed="41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9"/>
        <bgColor indexed="45"/>
      </patternFill>
    </fill>
    <fill>
      <patternFill patternType="solid">
        <fgColor indexed="22"/>
        <bgColor indexed="31"/>
      </patternFill>
    </fill>
    <fill>
      <patternFill patternType="solid">
        <fgColor indexed="44"/>
        <bgColor indexed="31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9"/>
        <bgColor indexed="40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23"/>
      </patternFill>
    </fill>
    <fill>
      <patternFill patternType="solid">
        <fgColor rgb="FFA5A5A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56"/>
      </patternFill>
    </fill>
    <fill>
      <patternFill patternType="solid">
        <fgColor indexed="26"/>
        <bgColor indexed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theme="1" tint="0.1498458815271462"/>
      </left>
      <right/>
      <top style="thick">
        <color theme="1" tint="0.1498764000366222"/>
      </top>
      <bottom style="thick">
        <color theme="1" tint="0.14987640003662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71">
    <xf numFmtId="0" fontId="0" fillId="0" borderId="0"/>
    <xf numFmtId="0" fontId="1" fillId="2" borderId="0" applyNumberFormat="0" applyBorder="0" applyProtection="0">
      <alignment vertical="center"/>
    </xf>
    <xf numFmtId="9" fontId="7" fillId="0" borderId="0" applyFont="0" applyFill="0" applyBorder="0" applyAlignment="0" applyProtection="0"/>
    <xf numFmtId="0" fontId="8" fillId="0" borderId="0">
      <alignment vertical="center"/>
    </xf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" borderId="0" applyNumberFormat="0" applyBorder="0" applyProtection="0">
      <alignment vertical="center"/>
    </xf>
    <xf numFmtId="0" fontId="1" fillId="2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7" fillId="7" borderId="0" applyNumberFormat="0" applyBorder="0" applyAlignment="0" applyProtection="0"/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21" borderId="0" applyNumberFormat="0" applyBorder="0" applyProtection="0">
      <alignment vertical="center"/>
    </xf>
    <xf numFmtId="0" fontId="15" fillId="22" borderId="0" applyNumberFormat="0" applyBorder="0" applyProtection="0">
      <alignment vertical="center"/>
    </xf>
    <xf numFmtId="0" fontId="15" fillId="22" borderId="0" applyNumberFormat="0" applyBorder="0" applyProtection="0">
      <alignment vertical="center"/>
    </xf>
    <xf numFmtId="0" fontId="15" fillId="23" borderId="0" applyNumberFormat="0" applyBorder="0" applyProtection="0">
      <alignment vertical="center"/>
    </xf>
    <xf numFmtId="0" fontId="15" fillId="23" borderId="0" applyNumberFormat="0" applyBorder="0" applyProtection="0">
      <alignment vertical="center"/>
    </xf>
    <xf numFmtId="0" fontId="15" fillId="24" borderId="0" applyNumberFormat="0" applyBorder="0" applyProtection="0">
      <alignment vertical="center"/>
    </xf>
    <xf numFmtId="0" fontId="15" fillId="24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1" borderId="0" applyNumberFormat="0" applyBorder="0" applyProtection="0">
      <alignment vertical="center"/>
    </xf>
    <xf numFmtId="0" fontId="15" fillId="21" borderId="0" applyNumberFormat="0" applyBorder="0" applyProtection="0">
      <alignment vertical="center"/>
    </xf>
    <xf numFmtId="0" fontId="15" fillId="19" borderId="0" applyNumberFormat="0" applyBorder="0" applyProtection="0">
      <alignment vertical="center"/>
    </xf>
    <xf numFmtId="0" fontId="15" fillId="19" borderId="0" applyNumberFormat="0" applyBorder="0" applyProtection="0">
      <alignment vertical="center"/>
    </xf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16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1" borderId="0" applyNumberFormat="0" applyBorder="0" applyProtection="0">
      <alignment vertical="center"/>
    </xf>
    <xf numFmtId="0" fontId="1" fillId="31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20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2" borderId="0" applyNumberFormat="0" applyBorder="0" applyProtection="0">
      <alignment vertical="center"/>
    </xf>
    <xf numFmtId="0" fontId="1" fillId="33" borderId="0" applyNumberFormat="0" applyBorder="0" applyProtection="0">
      <alignment vertical="center"/>
    </xf>
    <xf numFmtId="0" fontId="1" fillId="33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1" fillId="19" borderId="0" applyNumberFormat="0" applyBorder="0" applyProtection="0">
      <alignment vertical="center"/>
    </xf>
    <xf numFmtId="0" fontId="5" fillId="30" borderId="0" applyNumberFormat="0" applyBorder="0" applyAlignment="0" applyProtection="0"/>
    <xf numFmtId="0" fontId="15" fillId="33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1" borderId="0" applyNumberFormat="0" applyBorder="0" applyProtection="0">
      <alignment vertical="center"/>
    </xf>
    <xf numFmtId="0" fontId="15" fillId="31" borderId="0" applyNumberFormat="0" applyBorder="0" applyProtection="0">
      <alignment vertical="center"/>
    </xf>
    <xf numFmtId="0" fontId="15" fillId="34" borderId="0" applyNumberFormat="0" applyBorder="0" applyProtection="0">
      <alignment vertical="center"/>
    </xf>
    <xf numFmtId="0" fontId="15" fillId="34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25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3" borderId="0" applyNumberFormat="0" applyBorder="0" applyProtection="0">
      <alignment vertical="center"/>
    </xf>
    <xf numFmtId="0" fontId="15" fillId="35" borderId="0" applyNumberFormat="0" applyBorder="0" applyProtection="0">
      <alignment vertical="center"/>
    </xf>
    <xf numFmtId="0" fontId="15" fillId="35" borderId="0" applyNumberFormat="0" applyBorder="0" applyProtection="0">
      <alignment vertical="center"/>
    </xf>
    <xf numFmtId="0" fontId="16" fillId="3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31" borderId="0" applyNumberFormat="0" applyBorder="0" applyProtection="0">
      <alignment vertical="center"/>
    </xf>
    <xf numFmtId="0" fontId="16" fillId="31" borderId="0" applyNumberFormat="0" applyBorder="0" applyProtection="0">
      <alignment vertical="center"/>
    </xf>
    <xf numFmtId="0" fontId="16" fillId="20" borderId="0" applyNumberFormat="0" applyBorder="0" applyProtection="0">
      <alignment vertical="center"/>
    </xf>
    <xf numFmtId="0" fontId="16" fillId="20" borderId="0" applyNumberFormat="0" applyBorder="0" applyProtection="0">
      <alignment vertical="center"/>
    </xf>
    <xf numFmtId="0" fontId="16" fillId="32" borderId="0" applyNumberFormat="0" applyBorder="0" applyProtection="0">
      <alignment vertical="center"/>
    </xf>
    <xf numFmtId="0" fontId="16" fillId="32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7" fillId="8" borderId="0" applyNumberFormat="0" applyBorder="0" applyAlignment="0" applyProtection="0"/>
    <xf numFmtId="0" fontId="16" fillId="19" borderId="0" applyNumberFormat="0" applyBorder="0" applyProtection="0">
      <alignment vertical="center"/>
    </xf>
    <xf numFmtId="0" fontId="16" fillId="19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8" fillId="41" borderId="0" applyNumberFormat="0" applyBorder="0" applyProtection="0">
      <alignment vertical="center"/>
    </xf>
    <xf numFmtId="0" fontId="18" fillId="41" borderId="0" applyNumberFormat="0" applyBorder="0" applyProtection="0">
      <alignment vertical="center"/>
    </xf>
    <xf numFmtId="0" fontId="18" fillId="31" borderId="0" applyNumberFormat="0" applyBorder="0" applyProtection="0">
      <alignment vertical="center"/>
    </xf>
    <xf numFmtId="0" fontId="18" fillId="31" borderId="0" applyNumberFormat="0" applyBorder="0" applyProtection="0">
      <alignment vertical="center"/>
    </xf>
    <xf numFmtId="0" fontId="18" fillId="34" borderId="0" applyNumberFormat="0" applyBorder="0" applyProtection="0">
      <alignment vertical="center"/>
    </xf>
    <xf numFmtId="0" fontId="18" fillId="34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3" borderId="0" applyNumberFormat="0" applyBorder="0" applyProtection="0">
      <alignment vertical="center"/>
    </xf>
    <xf numFmtId="0" fontId="18" fillId="43" borderId="0" applyNumberFormat="0" applyBorder="0" applyProtection="0">
      <alignment vertical="center"/>
    </xf>
    <xf numFmtId="0" fontId="19" fillId="0" borderId="0" applyNumberFormat="0" applyFill="0" applyBorder="0" applyAlignment="0" applyProtection="0"/>
    <xf numFmtId="0" fontId="20" fillId="44" borderId="30" applyNumberFormat="0" applyAlignment="0" applyProtection="0"/>
    <xf numFmtId="0" fontId="21" fillId="24" borderId="0" applyNumberFormat="0" applyBorder="0" applyProtection="0">
      <alignment vertical="center"/>
    </xf>
    <xf numFmtId="0" fontId="21" fillId="24" borderId="0" applyNumberFormat="0" applyBorder="0" applyProtection="0">
      <alignment vertical="center"/>
    </xf>
    <xf numFmtId="0" fontId="20" fillId="44" borderId="30" applyNumberFormat="0" applyAlignment="0" applyProtection="0"/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2" fillId="2" borderId="30" applyNumberFormat="0" applyProtection="0">
      <alignment vertical="center"/>
    </xf>
    <xf numFmtId="0" fontId="23" fillId="0" borderId="31" applyNumberFormat="0" applyFill="0" applyAlignment="0" applyProtection="0"/>
    <xf numFmtId="0" fontId="24" fillId="45" borderId="32" applyNumberFormat="0" applyProtection="0">
      <alignment vertical="center"/>
    </xf>
    <xf numFmtId="0" fontId="24" fillId="45" borderId="32" applyNumberFormat="0" applyProtection="0">
      <alignment vertical="center"/>
    </xf>
    <xf numFmtId="0" fontId="25" fillId="0" borderId="33" applyNumberFormat="0" applyFill="0" applyProtection="0">
      <alignment vertical="center"/>
    </xf>
    <xf numFmtId="0" fontId="25" fillId="0" borderId="33" applyNumberFormat="0" applyFill="0" applyProtection="0">
      <alignment vertical="center"/>
    </xf>
    <xf numFmtId="0" fontId="24" fillId="45" borderId="32" applyNumberFormat="0" applyProtection="0">
      <alignment vertical="center"/>
    </xf>
    <xf numFmtId="0" fontId="2" fillId="46" borderId="15" applyNumberFormat="0" applyAlignment="0" applyProtection="0"/>
    <xf numFmtId="168" fontId="8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8" fillId="47" borderId="34" applyNumberFormat="0" applyFont="0" applyAlignment="0" applyProtection="0"/>
    <xf numFmtId="0" fontId="24" fillId="48" borderId="32" applyNumberFormat="0" applyAlignment="0" applyProtection="0"/>
    <xf numFmtId="171" fontId="15" fillId="0" borderId="0" applyFont="0" applyFill="0" applyBorder="0" applyAlignment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9" borderId="0" applyNumberFormat="0" applyBorder="0" applyProtection="0">
      <alignment vertical="center"/>
    </xf>
    <xf numFmtId="0" fontId="16" fillId="49" borderId="0" applyNumberFormat="0" applyBorder="0" applyProtection="0">
      <alignment vertical="center"/>
    </xf>
    <xf numFmtId="0" fontId="16" fillId="50" borderId="0" applyNumberFormat="0" applyBorder="0" applyProtection="0">
      <alignment vertical="center"/>
    </xf>
    <xf numFmtId="0" fontId="16" fillId="50" borderId="0" applyNumberFormat="0" applyBorder="0" applyProtection="0">
      <alignment vertical="center"/>
    </xf>
    <xf numFmtId="0" fontId="16" fillId="51" borderId="0" applyNumberFormat="0" applyBorder="0" applyProtection="0">
      <alignment vertical="center"/>
    </xf>
    <xf numFmtId="0" fontId="16" fillId="51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40" borderId="0" applyNumberFormat="0" applyBorder="0" applyProtection="0">
      <alignment vertical="center"/>
    </xf>
    <xf numFmtId="0" fontId="16" fillId="52" borderId="0" applyNumberFormat="0" applyBorder="0" applyProtection="0">
      <alignment vertical="center"/>
    </xf>
    <xf numFmtId="0" fontId="16" fillId="52" borderId="0" applyNumberFormat="0" applyBorder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9" borderId="30" applyNumberFormat="0" applyProtection="0">
      <alignment vertical="center"/>
    </xf>
    <xf numFmtId="0" fontId="27" fillId="18" borderId="30" applyNumberFormat="0" applyAlignment="0" applyProtection="0"/>
    <xf numFmtId="0" fontId="11" fillId="0" borderId="35" applyFont="0" applyFill="0" applyBorder="0">
      <alignment horizontal="center" vertical="center"/>
    </xf>
    <xf numFmtId="172" fontId="28" fillId="0" borderId="36" applyFont="0" applyBorder="0">
      <alignment horizontal="right"/>
    </xf>
    <xf numFmtId="173" fontId="1" fillId="0" borderId="0"/>
    <xf numFmtId="174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9" fontId="1" fillId="0" borderId="0"/>
    <xf numFmtId="0" fontId="30" fillId="0" borderId="0">
      <alignment vertical="center"/>
    </xf>
    <xf numFmtId="0" fontId="1" fillId="20" borderId="0" applyNumberFormat="0" applyBorder="0" applyProtection="0">
      <alignment vertical="center"/>
    </xf>
    <xf numFmtId="0" fontId="23" fillId="0" borderId="31" applyNumberFormat="0" applyFill="0" applyAlignment="0" applyProtection="0"/>
    <xf numFmtId="0" fontId="21" fillId="15" borderId="0" applyNumberFormat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0" fontId="33" fillId="23" borderId="0" applyNumberFormat="0" applyBorder="0" applyProtection="0">
      <alignment vertical="center"/>
    </xf>
    <xf numFmtId="0" fontId="33" fillId="23" borderId="0" applyNumberFormat="0" applyBorder="0" applyProtection="0">
      <alignment vertical="center"/>
    </xf>
    <xf numFmtId="0" fontId="33" fillId="14" borderId="0" applyNumberFormat="0" applyBorder="0" applyAlignment="0" applyProtection="0"/>
    <xf numFmtId="0" fontId="27" fillId="18" borderId="30" applyNumberFormat="0" applyAlignment="0" applyProtection="0"/>
    <xf numFmtId="0" fontId="34" fillId="0" borderId="37" applyNumberFormat="0" applyFill="0" applyAlignment="0" applyProtection="0"/>
    <xf numFmtId="0" fontId="35" fillId="0" borderId="38" applyNumberFormat="0" applyFill="0" applyAlignment="0" applyProtection="0"/>
    <xf numFmtId="0" fontId="36" fillId="0" borderId="39" applyNumberFormat="0" applyFill="0" applyAlignment="0" applyProtection="0"/>
    <xf numFmtId="0" fontId="36" fillId="0" borderId="0" applyNumberFormat="0" applyFill="0" applyBorder="0" applyAlignment="0" applyProtection="0"/>
    <xf numFmtId="175" fontId="8" fillId="0" borderId="0" applyFill="0" applyBorder="0" applyProtection="0">
      <alignment vertical="center"/>
    </xf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37" fillId="20" borderId="0" applyNumberFormat="0" applyBorder="0" applyProtection="0">
      <alignment vertical="center"/>
    </xf>
    <xf numFmtId="0" fontId="37" fillId="20" borderId="0" applyNumberFormat="0" applyBorder="0" applyProtection="0">
      <alignment vertical="center"/>
    </xf>
    <xf numFmtId="0" fontId="38" fillId="6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26" fillId="0" borderId="0">
      <alignment vertical="center"/>
    </xf>
    <xf numFmtId="0" fontId="8" fillId="0" borderId="0"/>
    <xf numFmtId="0" fontId="8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5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26" fillId="0" borderId="0">
      <alignment vertical="center"/>
    </xf>
    <xf numFmtId="0" fontId="2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40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  <xf numFmtId="0" fontId="1" fillId="0" borderId="0"/>
    <xf numFmtId="0" fontId="5" fillId="0" borderId="0"/>
    <xf numFmtId="0" fontId="8" fillId="0" borderId="0"/>
    <xf numFmtId="0" fontId="5" fillId="0" borderId="0">
      <alignment vertical="center"/>
    </xf>
    <xf numFmtId="0" fontId="5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2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2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8" fillId="20" borderId="34" applyNumberFormat="0" applyProtection="0">
      <alignment vertical="center"/>
    </xf>
    <xf numFmtId="0" fontId="26" fillId="47" borderId="34" applyNumberFormat="0" applyFont="0" applyAlignment="0" applyProtection="0"/>
    <xf numFmtId="0" fontId="33" fillId="14" borderId="0" applyNumberFormat="0" applyBorder="0" applyAlignment="0" applyProtection="0"/>
    <xf numFmtId="9" fontId="8" fillId="0" borderId="0" applyFill="0" applyBorder="0" applyProtection="0">
      <alignment vertical="center"/>
    </xf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" fillId="0" borderId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ill="0" applyBorder="0" applyAlignment="0" applyProtection="0"/>
    <xf numFmtId="9" fontId="8" fillId="0" borderId="0" applyFill="0" applyBorder="0" applyAlignment="0" applyProtection="0"/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44" fillId="2" borderId="40" applyNumberFormat="0" applyProtection="0">
      <alignment vertical="center"/>
    </xf>
    <xf numFmtId="0" fontId="21" fillId="15" borderId="0" applyNumberFormat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8" fontId="8" fillId="0" borderId="0" applyFill="0" applyBorder="0" applyAlignment="0" applyProtection="0"/>
    <xf numFmtId="177" fontId="8" fillId="0" borderId="0" applyFill="0" applyBorder="0" applyProtection="0">
      <alignment vertical="center"/>
    </xf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0" fontId="44" fillId="44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8" fillId="0" borderId="41" applyFill="0" applyProtection="0">
      <alignment vertical="center"/>
    </xf>
    <xf numFmtId="0" fontId="8" fillId="0" borderId="41" applyFill="0" applyProtection="0">
      <alignment vertical="center"/>
    </xf>
    <xf numFmtId="0" fontId="45" fillId="0" borderId="19" applyFont="0" applyFill="0" applyAlignment="0" applyProtection="0">
      <alignment horizontal="center" vertical="center"/>
    </xf>
    <xf numFmtId="0" fontId="46" fillId="0" borderId="19" applyFont="0" applyFill="0" applyAlignment="0" applyProtection="0">
      <alignment horizontal="center" vertical="center"/>
    </xf>
    <xf numFmtId="0" fontId="46" fillId="0" borderId="19" applyFont="0" applyFill="0" applyAlignment="0" applyProtection="0">
      <alignment horizontal="center" vertical="center"/>
    </xf>
    <xf numFmtId="170" fontId="8" fillId="0" borderId="0" applyBorder="0" applyAlignment="0" applyProtection="0"/>
    <xf numFmtId="0" fontId="47" fillId="0" borderId="0" applyNumberFormat="0" applyFill="0" applyBorder="0" applyAlignment="0" applyProtection="0"/>
    <xf numFmtId="0" fontId="19" fillId="0" borderId="0" applyNumberFormat="0" applyFill="0" applyBorder="0" applyProtection="0">
      <alignment vertical="center"/>
    </xf>
    <xf numFmtId="0" fontId="19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7" fillId="0" borderId="0" applyNumberFormat="0" applyFill="0" applyBorder="0" applyProtection="0">
      <alignment vertical="center"/>
    </xf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4" fillId="0" borderId="37" applyNumberFormat="0" applyFill="0" applyAlignment="0" applyProtection="0"/>
    <xf numFmtId="0" fontId="35" fillId="0" borderId="38" applyNumberFormat="0" applyFill="0" applyAlignment="0" applyProtection="0"/>
    <xf numFmtId="0" fontId="36" fillId="0" borderId="39" applyNumberFormat="0" applyFill="0" applyAlignment="0" applyProtection="0"/>
    <xf numFmtId="0" fontId="36" fillId="0" borderId="0" applyNumberForma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49" fillId="0" borderId="0" applyNumberFormat="0" applyFill="0" applyBorder="0" applyProtection="0">
      <alignment vertical="center"/>
    </xf>
    <xf numFmtId="0" fontId="49" fillId="0" borderId="0" applyNumberFormat="0" applyFill="0" applyBorder="0" applyProtection="0">
      <alignment vertical="center"/>
    </xf>
    <xf numFmtId="0" fontId="49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1" fillId="0" borderId="0" applyNumberFormat="0" applyFill="0" applyBorder="0" applyProtection="0">
      <alignment vertical="center"/>
    </xf>
    <xf numFmtId="0" fontId="50" fillId="0" borderId="42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34" fillId="0" borderId="43" applyNumberFormat="0" applyFill="0" applyProtection="0">
      <alignment vertical="center"/>
    </xf>
    <xf numFmtId="0" fontId="34" fillId="0" borderId="43" applyNumberFormat="0" applyFill="0" applyProtection="0">
      <alignment vertical="center"/>
    </xf>
    <xf numFmtId="0" fontId="50" fillId="0" borderId="42" applyNumberFormat="0" applyFill="0" applyProtection="0">
      <alignment vertical="center"/>
    </xf>
    <xf numFmtId="0" fontId="52" fillId="0" borderId="0" applyNumberFormat="0" applyFill="0" applyBorder="0" applyProtection="0">
      <alignment vertical="center"/>
    </xf>
    <xf numFmtId="0" fontId="52" fillId="0" borderId="0" applyNumberFormat="0" applyFill="0" applyBorder="0" applyProtection="0">
      <alignment vertical="center"/>
    </xf>
    <xf numFmtId="0" fontId="53" fillId="0" borderId="38" applyNumberFormat="0" applyFill="0" applyProtection="0">
      <alignment vertical="center"/>
    </xf>
    <xf numFmtId="0" fontId="53" fillId="0" borderId="38" applyNumberFormat="0" applyFill="0" applyProtection="0">
      <alignment vertical="center"/>
    </xf>
    <xf numFmtId="0" fontId="54" fillId="0" borderId="44" applyNumberFormat="0" applyFill="0" applyProtection="0">
      <alignment vertical="center"/>
    </xf>
    <xf numFmtId="0" fontId="54" fillId="0" borderId="44" applyNumberFormat="0" applyFill="0" applyProtection="0">
      <alignment vertical="center"/>
    </xf>
    <xf numFmtId="0" fontId="54" fillId="0" borderId="0" applyNumberFormat="0" applyFill="0" applyBorder="0" applyProtection="0">
      <alignment vertical="center"/>
    </xf>
    <xf numFmtId="0" fontId="54" fillId="0" borderId="0" applyNumberFormat="0" applyFill="0" applyBorder="0" applyProtection="0">
      <alignment vertical="center"/>
    </xf>
    <xf numFmtId="0" fontId="55" fillId="0" borderId="45" applyNumberFormat="0" applyFill="0" applyAlignment="0" applyProtection="0"/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0" fontId="55" fillId="0" borderId="46" applyNumberFormat="0" applyFill="0" applyProtection="0">
      <alignment vertical="center"/>
    </xf>
    <xf numFmtId="43" fontId="8" fillId="0" borderId="0" applyFill="0" applyBorder="0" applyAlignment="0" applyProtection="0"/>
    <xf numFmtId="0" fontId="44" fillId="44" borderId="40" applyNumberFormat="0" applyAlignment="0" applyProtection="0"/>
    <xf numFmtId="0" fontId="24" fillId="48" borderId="32" applyNumberFormat="0" applyAlignment="0" applyProtection="0"/>
    <xf numFmtId="0" fontId="47" fillId="0" borderId="0" applyNumberFormat="0" applyFill="0" applyBorder="0" applyAlignment="0" applyProtection="0"/>
    <xf numFmtId="43" fontId="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43" fontId="8" fillId="0" borderId="0" applyFill="0" applyBorder="0" applyAlignment="0" applyProtection="0"/>
    <xf numFmtId="43" fontId="8" fillId="0" borderId="0" applyFill="0" applyBorder="0" applyAlignment="0" applyProtection="0"/>
    <xf numFmtId="0" fontId="8" fillId="0" borderId="0">
      <alignment vertical="center"/>
    </xf>
    <xf numFmtId="0" fontId="5" fillId="0" borderId="0"/>
    <xf numFmtId="0" fontId="5" fillId="0" borderId="0"/>
    <xf numFmtId="0" fontId="7" fillId="0" borderId="0"/>
    <xf numFmtId="0" fontId="18" fillId="54" borderId="0" applyNumberFormat="0" applyBorder="0" applyProtection="0">
      <alignment vertical="center"/>
    </xf>
    <xf numFmtId="0" fontId="18" fillId="54" borderId="0" applyNumberFormat="0" applyBorder="0" applyProtection="0">
      <alignment vertical="center"/>
    </xf>
    <xf numFmtId="0" fontId="18" fillId="49" borderId="0" applyNumberFormat="0" applyBorder="0" applyProtection="0">
      <alignment vertical="center"/>
    </xf>
    <xf numFmtId="0" fontId="18" fillId="49" borderId="0" applyNumberFormat="0" applyBorder="0" applyProtection="0">
      <alignment vertical="center"/>
    </xf>
    <xf numFmtId="0" fontId="18" fillId="50" borderId="0" applyNumberFormat="0" applyBorder="0" applyProtection="0">
      <alignment vertical="center"/>
    </xf>
    <xf numFmtId="0" fontId="18" fillId="50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2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40" borderId="0" applyNumberFormat="0" applyBorder="0" applyProtection="0">
      <alignment vertical="center"/>
    </xf>
    <xf numFmtId="0" fontId="18" fillId="52" borderId="0" applyNumberFormat="0" applyBorder="0" applyProtection="0">
      <alignment vertical="center"/>
    </xf>
    <xf numFmtId="0" fontId="18" fillId="52" borderId="0" applyNumberFormat="0" applyBorder="0" applyProtection="0">
      <alignment vertical="center"/>
    </xf>
    <xf numFmtId="0" fontId="56" fillId="0" borderId="0" applyNumberFormat="0" applyFill="0" applyBorder="0" applyProtection="0">
      <alignment vertical="center"/>
    </xf>
    <xf numFmtId="0" fontId="56" fillId="0" borderId="0" applyNumberFormat="0" applyFill="0" applyBorder="0" applyProtection="0">
      <alignment vertical="center"/>
    </xf>
    <xf numFmtId="0" fontId="57" fillId="32" borderId="30" applyNumberFormat="0" applyProtection="0">
      <alignment vertical="center"/>
    </xf>
    <xf numFmtId="0" fontId="57" fillId="32" borderId="30" applyNumberFormat="0" applyProtection="0">
      <alignment vertical="center"/>
    </xf>
    <xf numFmtId="0" fontId="58" fillId="23" borderId="0" applyNumberFormat="0" applyBorder="0" applyProtection="0">
      <alignment vertical="center"/>
    </xf>
    <xf numFmtId="0" fontId="58" fillId="23" borderId="0" applyNumberFormat="0" applyBorder="0" applyProtection="0">
      <alignment vertical="center"/>
    </xf>
    <xf numFmtId="0" fontId="26" fillId="55" borderId="34" applyNumberFormat="0" applyProtection="0">
      <alignment vertical="center"/>
    </xf>
    <xf numFmtId="0" fontId="26" fillId="55" borderId="34" applyNumberFormat="0" applyProtection="0">
      <alignment vertical="center"/>
    </xf>
    <xf numFmtId="0" fontId="59" fillId="20" borderId="0" applyNumberFormat="0" applyBorder="0" applyProtection="0">
      <alignment vertical="center"/>
    </xf>
    <xf numFmtId="0" fontId="59" fillId="20" borderId="0" applyNumberFormat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0" fillId="0" borderId="0" applyNumberFormat="0" applyFill="0" applyBorder="0" applyProtection="0">
      <alignment vertical="center"/>
    </xf>
    <xf numFmtId="0" fontId="61" fillId="45" borderId="32" applyNumberFormat="0" applyProtection="0">
      <alignment vertical="center"/>
    </xf>
    <xf numFmtId="0" fontId="61" fillId="45" borderId="32" applyNumberForma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62" fillId="0" borderId="31" applyNumberFormat="0" applyFill="0" applyProtection="0">
      <alignment vertical="center"/>
    </xf>
    <xf numFmtId="0" fontId="62" fillId="0" borderId="31" applyNumberFormat="0" applyFill="0" applyProtection="0">
      <alignment vertical="center"/>
    </xf>
    <xf numFmtId="0" fontId="63" fillId="0" borderId="45" applyNumberFormat="0" applyFill="0" applyProtection="0">
      <alignment vertical="center"/>
    </xf>
    <xf numFmtId="0" fontId="63" fillId="0" borderId="45" applyNumberFormat="0" applyFill="0" applyProtection="0">
      <alignment vertical="center"/>
    </xf>
    <xf numFmtId="0" fontId="64" fillId="19" borderId="30" applyNumberFormat="0" applyProtection="0">
      <alignment vertical="center"/>
    </xf>
    <xf numFmtId="0" fontId="64" fillId="19" borderId="30" applyNumberFormat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6" fillId="0" borderId="37" applyNumberFormat="0" applyFill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6" fillId="0" borderId="37" applyNumberFormat="0" applyFill="0" applyProtection="0">
      <alignment vertical="center"/>
    </xf>
    <xf numFmtId="0" fontId="66" fillId="0" borderId="37" applyNumberFormat="0" applyFill="0" applyProtection="0">
      <alignment vertical="center"/>
    </xf>
    <xf numFmtId="0" fontId="67" fillId="0" borderId="38" applyNumberFormat="0" applyFill="0" applyProtection="0">
      <alignment vertical="center"/>
    </xf>
    <xf numFmtId="0" fontId="67" fillId="0" borderId="38" applyNumberFormat="0" applyFill="0" applyProtection="0">
      <alignment vertical="center"/>
    </xf>
    <xf numFmtId="0" fontId="68" fillId="0" borderId="39" applyNumberFormat="0" applyFill="0" applyProtection="0">
      <alignment vertical="center"/>
    </xf>
    <xf numFmtId="0" fontId="68" fillId="0" borderId="39" applyNumberFormat="0" applyFill="0" applyProtection="0">
      <alignment vertical="center"/>
    </xf>
    <xf numFmtId="0" fontId="68" fillId="0" borderId="0" applyNumberFormat="0" applyFill="0" applyBorder="0" applyProtection="0">
      <alignment vertical="center"/>
    </xf>
    <xf numFmtId="0" fontId="68" fillId="0" borderId="0" applyNumberFormat="0" applyFill="0" applyBorder="0" applyProtection="0">
      <alignment vertical="center"/>
    </xf>
    <xf numFmtId="0" fontId="65" fillId="0" borderId="0" applyNumberFormat="0" applyFill="0" applyBorder="0" applyProtection="0">
      <alignment vertical="center"/>
    </xf>
    <xf numFmtId="0" fontId="69" fillId="24" borderId="0" applyNumberFormat="0" applyBorder="0" applyProtection="0">
      <alignment vertical="center"/>
    </xf>
    <xf numFmtId="0" fontId="69" fillId="24" borderId="0" applyNumberFormat="0" applyBorder="0" applyProtection="0">
      <alignment vertical="center"/>
    </xf>
    <xf numFmtId="0" fontId="70" fillId="32" borderId="40" applyNumberFormat="0" applyProtection="0">
      <alignment vertical="center"/>
    </xf>
    <xf numFmtId="0" fontId="70" fillId="32" borderId="40" applyNumberFormat="0" applyProtection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2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2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4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2" fillId="0" borderId="0">
      <alignment vertical="center"/>
    </xf>
  </cellStyleXfs>
  <cellXfs count="2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3" fillId="3" borderId="8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1" xfId="0" applyBorder="1"/>
    <xf numFmtId="169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6" xfId="0" applyNumberFormat="1" applyFont="1" applyFill="1" applyBorder="1" applyAlignment="1">
      <alignment horizontal="center" vertical="center"/>
    </xf>
    <xf numFmtId="165" fontId="4" fillId="0" borderId="7" xfId="0" applyNumberFormat="1" applyFont="1" applyFill="1" applyBorder="1" applyAlignment="1">
      <alignment horizontal="center" vertical="center"/>
    </xf>
    <xf numFmtId="0" fontId="4" fillId="0" borderId="16" xfId="0" applyNumberFormat="1" applyFont="1" applyFill="1" applyBorder="1" applyAlignment="1">
      <alignment horizontal="center" vertical="center"/>
    </xf>
    <xf numFmtId="166" fontId="4" fillId="0" borderId="2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left" vertical="center"/>
    </xf>
    <xf numFmtId="164" fontId="4" fillId="0" borderId="2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17" xfId="0" applyNumberFormat="1" applyFont="1" applyFill="1" applyBorder="1" applyAlignment="1">
      <alignment horizontal="center" vertical="center"/>
    </xf>
    <xf numFmtId="9" fontId="4" fillId="0" borderId="10" xfId="2" applyFont="1" applyFill="1" applyBorder="1" applyAlignment="1">
      <alignment horizontal="center" vertical="center"/>
    </xf>
    <xf numFmtId="0" fontId="4" fillId="0" borderId="18" xfId="0" applyFont="1" applyFill="1" applyBorder="1" applyAlignment="1"/>
    <xf numFmtId="0" fontId="4" fillId="0" borderId="0" xfId="0" applyFont="1" applyFill="1" applyBorder="1" applyAlignment="1">
      <alignment horizontal="center"/>
    </xf>
    <xf numFmtId="0" fontId="11" fillId="10" borderId="1" xfId="3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0" xfId="0" applyFont="1"/>
    <xf numFmtId="0" fontId="4" fillId="0" borderId="17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13" fillId="0" borderId="22" xfId="0" applyFont="1" applyBorder="1"/>
    <xf numFmtId="0" fontId="4" fillId="0" borderId="26" xfId="0" applyFont="1" applyFill="1" applyBorder="1" applyAlignment="1">
      <alignment horizontal="center"/>
    </xf>
    <xf numFmtId="0" fontId="4" fillId="12" borderId="27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3" xfId="0" applyFill="1" applyBorder="1" applyAlignment="1">
      <alignment horizontal="left"/>
    </xf>
    <xf numFmtId="0" fontId="0" fillId="12" borderId="25" xfId="0" applyFill="1" applyBorder="1" applyAlignment="1">
      <alignment horizontal="center"/>
    </xf>
    <xf numFmtId="0" fontId="0" fillId="12" borderId="24" xfId="0" applyFill="1" applyBorder="1" applyAlignment="1"/>
    <xf numFmtId="0" fontId="8" fillId="56" borderId="1" xfId="3" applyFill="1" applyBorder="1" applyAlignment="1">
      <alignment horizontal="center" vertical="center"/>
    </xf>
    <xf numFmtId="0" fontId="8" fillId="0" borderId="0" xfId="3" applyAlignment="1">
      <alignment horizontal="center" vertical="center"/>
    </xf>
    <xf numFmtId="0" fontId="8" fillId="57" borderId="1" xfId="3" applyFill="1" applyBorder="1" applyAlignment="1">
      <alignment horizontal="center" vertical="center"/>
    </xf>
    <xf numFmtId="0" fontId="8" fillId="58" borderId="1" xfId="3" applyFill="1" applyBorder="1" applyAlignment="1">
      <alignment horizontal="center" vertical="center"/>
    </xf>
    <xf numFmtId="0" fontId="8" fillId="11" borderId="1" xfId="3" applyFill="1" applyBorder="1" applyAlignment="1">
      <alignment horizontal="center" vertical="center"/>
    </xf>
    <xf numFmtId="0" fontId="8" fillId="59" borderId="1" xfId="3" applyFill="1" applyBorder="1" applyAlignment="1">
      <alignment horizontal="center" vertical="center"/>
    </xf>
    <xf numFmtId="0" fontId="8" fillId="0" borderId="1" xfId="3" applyBorder="1" applyAlignment="1">
      <alignment horizontal="center" vertical="center"/>
    </xf>
    <xf numFmtId="0" fontId="8" fillId="60" borderId="1" xfId="3" applyFill="1" applyBorder="1" applyAlignment="1">
      <alignment horizontal="center" vertical="center"/>
    </xf>
    <xf numFmtId="0" fontId="9" fillId="56" borderId="48" xfId="3" applyFont="1" applyFill="1" applyBorder="1" applyAlignment="1">
      <alignment horizontal="center" vertical="center"/>
    </xf>
    <xf numFmtId="0" fontId="75" fillId="57" borderId="48" xfId="3" applyFont="1" applyFill="1" applyBorder="1" applyAlignment="1">
      <alignment horizontal="center" vertical="center"/>
    </xf>
    <xf numFmtId="0" fontId="76" fillId="57" borderId="48" xfId="3" applyFont="1" applyFill="1" applyBorder="1" applyAlignment="1">
      <alignment horizontal="center" vertical="center"/>
    </xf>
    <xf numFmtId="2" fontId="9" fillId="61" borderId="48" xfId="3" applyNumberFormat="1" applyFont="1" applyFill="1" applyBorder="1" applyAlignment="1">
      <alignment horizontal="center" vertical="center"/>
    </xf>
    <xf numFmtId="0" fontId="8" fillId="62" borderId="1" xfId="3" applyFill="1" applyBorder="1" applyAlignment="1">
      <alignment horizontal="center" vertical="center"/>
    </xf>
    <xf numFmtId="0" fontId="8" fillId="63" borderId="1" xfId="3" applyFill="1" applyBorder="1" applyAlignment="1">
      <alignment horizontal="center" vertical="center"/>
    </xf>
    <xf numFmtId="0" fontId="8" fillId="64" borderId="1" xfId="3" applyFill="1" applyBorder="1" applyAlignment="1">
      <alignment horizontal="center" vertical="center"/>
    </xf>
    <xf numFmtId="0" fontId="78" fillId="64" borderId="1" xfId="3" applyFont="1" applyFill="1" applyBorder="1" applyAlignment="1">
      <alignment horizontal="center" vertical="center"/>
    </xf>
    <xf numFmtId="0" fontId="8" fillId="65" borderId="1" xfId="3" applyFill="1" applyBorder="1" applyAlignment="1">
      <alignment horizontal="center" vertical="center"/>
    </xf>
    <xf numFmtId="0" fontId="8" fillId="66" borderId="1" xfId="3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49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2" fontId="4" fillId="0" borderId="23" xfId="0" applyNumberFormat="1" applyFont="1" applyFill="1" applyBorder="1" applyAlignment="1">
      <alignment horizontal="center"/>
    </xf>
    <xf numFmtId="167" fontId="4" fillId="0" borderId="23" xfId="0" applyNumberFormat="1" applyFont="1" applyFill="1" applyBorder="1" applyAlignment="1">
      <alignment horizontal="center"/>
    </xf>
    <xf numFmtId="2" fontId="4" fillId="0" borderId="28" xfId="0" applyNumberFormat="1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2" fontId="4" fillId="0" borderId="2" xfId="0" applyNumberFormat="1" applyFont="1" applyFill="1" applyBorder="1" applyAlignment="1">
      <alignment horizontal="center"/>
    </xf>
    <xf numFmtId="167" fontId="4" fillId="0" borderId="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8" fontId="4" fillId="0" borderId="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9" fillId="58" borderId="36" xfId="0" applyNumberFormat="1" applyFont="1" applyFill="1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58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84" fillId="68" borderId="1" xfId="0" applyFont="1" applyFill="1" applyBorder="1" applyAlignment="1">
      <alignment horizontal="center" vertical="center"/>
    </xf>
    <xf numFmtId="0" fontId="84" fillId="67" borderId="1" xfId="0" applyFont="1" applyFill="1" applyBorder="1" applyAlignment="1">
      <alignment horizontal="center" vertical="center"/>
    </xf>
    <xf numFmtId="0" fontId="84" fillId="6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1" xfId="0" applyBorder="1" applyAlignment="1">
      <alignment horizontal="center"/>
    </xf>
    <xf numFmtId="0" fontId="0" fillId="70" borderId="0" xfId="0" applyFill="1"/>
    <xf numFmtId="0" fontId="0" fillId="70" borderId="36" xfId="0" applyFill="1" applyBorder="1"/>
    <xf numFmtId="0" fontId="81" fillId="70" borderId="36" xfId="0" applyFont="1" applyFill="1" applyBorder="1" applyAlignment="1">
      <alignment horizontal="center"/>
    </xf>
    <xf numFmtId="0" fontId="81" fillId="71" borderId="36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/>
    </xf>
    <xf numFmtId="0" fontId="3" fillId="3" borderId="9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2" fontId="3" fillId="3" borderId="9" xfId="0" applyNumberFormat="1" applyFont="1" applyFill="1" applyBorder="1" applyAlignment="1">
      <alignment horizontal="left"/>
    </xf>
    <xf numFmtId="2" fontId="3" fillId="3" borderId="9" xfId="0" applyNumberFormat="1" applyFont="1" applyFill="1" applyBorder="1" applyAlignment="1">
      <alignment horizontal="right"/>
    </xf>
    <xf numFmtId="2" fontId="3" fillId="3" borderId="10" xfId="0" applyNumberFormat="1" applyFont="1" applyFill="1" applyBorder="1" applyAlignment="1">
      <alignment horizontal="right"/>
    </xf>
    <xf numFmtId="0" fontId="10" fillId="10" borderId="1" xfId="3" applyFont="1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Fill="1" applyBorder="1" applyAlignment="1">
      <alignment horizontal="right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7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1" fillId="70" borderId="1" xfId="0" applyFont="1" applyFill="1" applyBorder="1" applyAlignment="1">
      <alignment horizontal="center"/>
    </xf>
    <xf numFmtId="2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79" fillId="57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0" fontId="87" fillId="9" borderId="1" xfId="3" applyFont="1" applyFill="1" applyBorder="1" applyAlignment="1">
      <alignment horizontal="center" vertical="center"/>
    </xf>
    <xf numFmtId="0" fontId="11" fillId="9" borderId="1" xfId="3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/>
    <xf numFmtId="0" fontId="0" fillId="73" borderId="1" xfId="0" applyFill="1" applyBorder="1" applyAlignment="1">
      <alignment horizontal="center"/>
    </xf>
    <xf numFmtId="0" fontId="0" fillId="0" borderId="1" xfId="0" applyFill="1" applyBorder="1"/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4" borderId="0" xfId="0" applyFill="1"/>
    <xf numFmtId="16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73" borderId="36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9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36" xfId="0" applyNumberFormat="1" applyBorder="1"/>
    <xf numFmtId="168" fontId="0" fillId="0" borderId="36" xfId="0" applyNumberFormat="1" applyBorder="1" applyAlignment="1">
      <alignment horizontal="center"/>
    </xf>
    <xf numFmtId="167" fontId="0" fillId="0" borderId="36" xfId="0" applyNumberFormat="1" applyBorder="1" applyAlignment="1">
      <alignment horizontal="center"/>
    </xf>
    <xf numFmtId="0" fontId="89" fillId="0" borderId="1" xfId="0" applyFont="1" applyFill="1" applyBorder="1" applyAlignment="1">
      <alignment horizontal="center" vertical="center"/>
    </xf>
    <xf numFmtId="0" fontId="90" fillId="12" borderId="58" xfId="0" applyFont="1" applyFill="1" applyBorder="1" applyAlignment="1">
      <alignment horizontal="center" vertical="center"/>
    </xf>
    <xf numFmtId="0" fontId="91" fillId="0" borderId="1" xfId="0" applyFont="1" applyFill="1" applyBorder="1" applyAlignment="1">
      <alignment horizontal="center" vertical="center"/>
    </xf>
    <xf numFmtId="0" fontId="89" fillId="6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25" xfId="0" applyFont="1" applyFill="1" applyBorder="1" applyAlignment="1">
      <alignment horizontal="center"/>
    </xf>
    <xf numFmtId="0" fontId="2" fillId="9" borderId="50" xfId="0" applyFont="1" applyFill="1" applyBorder="1" applyAlignment="1">
      <alignment horizontal="center"/>
    </xf>
    <xf numFmtId="0" fontId="2" fillId="9" borderId="51" xfId="0" applyFont="1" applyFill="1" applyBorder="1" applyAlignment="1">
      <alignment horizontal="center"/>
    </xf>
    <xf numFmtId="0" fontId="83" fillId="4" borderId="1" xfId="0" applyFont="1" applyFill="1" applyBorder="1" applyAlignment="1">
      <alignment horizontal="center" vertical="center"/>
    </xf>
    <xf numFmtId="0" fontId="2" fillId="9" borderId="19" xfId="0" applyFont="1" applyFill="1" applyBorder="1" applyAlignment="1">
      <alignment horizontal="center"/>
    </xf>
    <xf numFmtId="0" fontId="2" fillId="9" borderId="21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4" fontId="3" fillId="3" borderId="6" xfId="0" applyNumberFormat="1" applyFont="1" applyFill="1" applyBorder="1" applyAlignment="1">
      <alignment horizontal="center"/>
    </xf>
    <xf numFmtId="4" fontId="3" fillId="3" borderId="7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2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/>
    <xf numFmtId="0" fontId="0" fillId="0" borderId="0" xfId="0" applyBorder="1"/>
    <xf numFmtId="0" fontId="0" fillId="12" borderId="24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4" borderId="3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53" xfId="0" applyFont="1" applyFill="1" applyBorder="1" applyAlignment="1">
      <alignment horizontal="center"/>
    </xf>
    <xf numFmtId="0" fontId="3" fillId="3" borderId="54" xfId="0" applyFont="1" applyFill="1" applyBorder="1" applyAlignment="1">
      <alignment horizontal="center"/>
    </xf>
    <xf numFmtId="0" fontId="8" fillId="57" borderId="4" xfId="3" applyFill="1" applyBorder="1" applyAlignment="1">
      <alignment horizontal="center" vertical="center"/>
    </xf>
    <xf numFmtId="0" fontId="8" fillId="57" borderId="47" xfId="3" applyFill="1" applyBorder="1" applyAlignment="1">
      <alignment horizontal="center" vertical="center"/>
    </xf>
    <xf numFmtId="0" fontId="8" fillId="57" borderId="5" xfId="3" applyFill="1" applyBorder="1" applyAlignment="1">
      <alignment horizontal="center" vertical="center"/>
    </xf>
    <xf numFmtId="0" fontId="8" fillId="57" borderId="1" xfId="3" applyFill="1" applyBorder="1" applyAlignment="1">
      <alignment horizontal="center" vertical="center"/>
    </xf>
    <xf numFmtId="0" fontId="77" fillId="57" borderId="48" xfId="195" applyFont="1" applyFill="1" applyBorder="1" applyAlignment="1">
      <alignment horizontal="center" vertical="center"/>
    </xf>
    <xf numFmtId="0" fontId="79" fillId="0" borderId="0" xfId="0" applyNumberFormat="1" applyFont="1" applyFill="1" applyBorder="1" applyAlignment="1">
      <alignment horizontal="center"/>
    </xf>
    <xf numFmtId="0" fontId="79" fillId="0" borderId="17" xfId="0" applyNumberFormat="1" applyFont="1" applyFill="1" applyBorder="1" applyAlignment="1">
      <alignment horizontal="center"/>
    </xf>
    <xf numFmtId="0" fontId="79" fillId="0" borderId="52" xfId="0" applyNumberFormat="1" applyFont="1" applyFill="1" applyBorder="1" applyAlignment="1">
      <alignment horizontal="center"/>
    </xf>
    <xf numFmtId="0" fontId="80" fillId="3" borderId="36" xfId="0" applyFont="1" applyFill="1" applyBorder="1" applyAlignment="1">
      <alignment horizontal="center"/>
    </xf>
    <xf numFmtId="0" fontId="0" fillId="73" borderId="55" xfId="0" applyFill="1" applyBorder="1" applyAlignment="1">
      <alignment horizontal="center"/>
    </xf>
    <xf numFmtId="0" fontId="0" fillId="73" borderId="56" xfId="0" applyFill="1" applyBorder="1" applyAlignment="1">
      <alignment horizontal="center"/>
    </xf>
    <xf numFmtId="0" fontId="0" fillId="73" borderId="36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</cellXfs>
  <cellStyles count="671">
    <cellStyle name="20 % - Accent1" xfId="4"/>
    <cellStyle name="20 % - Accent2" xfId="5"/>
    <cellStyle name="20 % - Accent3" xfId="6"/>
    <cellStyle name="20 % - Accent4" xfId="7"/>
    <cellStyle name="20 % - Accent5" xfId="8"/>
    <cellStyle name="20 % - Accent6" xfId="9"/>
    <cellStyle name="20% - Ênfase1 2" xfId="10"/>
    <cellStyle name="20% - Ênfase1 3" xfId="11"/>
    <cellStyle name="20% - Ênfase2 2" xfId="12"/>
    <cellStyle name="20% - Ênfase2 3" xfId="13"/>
    <cellStyle name="20% - Ênfase3 2" xfId="14"/>
    <cellStyle name="20% - Ênfase3 3" xfId="15"/>
    <cellStyle name="20% - Ênfase4 2" xfId="16"/>
    <cellStyle name="20% - Ênfase4 3" xfId="1"/>
    <cellStyle name="20% - Ênfase5 2" xfId="17"/>
    <cellStyle name="20% - Ênfase5 3" xfId="18"/>
    <cellStyle name="20% - Ênfase5 4" xfId="19"/>
    <cellStyle name="20% - Ênfase6 2" xfId="20"/>
    <cellStyle name="20% - Ênfase6 3" xfId="21"/>
    <cellStyle name="20% - ส่วนที่ถูกเน้น5 2" xfId="22"/>
    <cellStyle name="20% - 강조색1" xfId="23"/>
    <cellStyle name="20% - 강조색1 2" xfId="24"/>
    <cellStyle name="20% - 강조색2" xfId="25"/>
    <cellStyle name="20% - 강조색2 2" xfId="26"/>
    <cellStyle name="20% - 강조색3" xfId="27"/>
    <cellStyle name="20% - 강조색3 2" xfId="28"/>
    <cellStyle name="20% - 강조색4" xfId="29"/>
    <cellStyle name="20% - 강조색4 2" xfId="30"/>
    <cellStyle name="20% - 강조색5" xfId="31"/>
    <cellStyle name="20% - 강조색5 2" xfId="32"/>
    <cellStyle name="20% - 강조색6" xfId="33"/>
    <cellStyle name="20% - 강조색6 2" xfId="34"/>
    <cellStyle name="40 % - Accent1" xfId="35"/>
    <cellStyle name="40 % - Accent2" xfId="36"/>
    <cellStyle name="40 % - Accent3" xfId="37"/>
    <cellStyle name="40 % - Accent4" xfId="38"/>
    <cellStyle name="40 % - Accent5" xfId="39"/>
    <cellStyle name="40 % - Accent6" xfId="40"/>
    <cellStyle name="40% - Accent2 2" xfId="41"/>
    <cellStyle name="40% - Dekorfärg2 2" xfId="42"/>
    <cellStyle name="40% - Dekorfärg3 2" xfId="43"/>
    <cellStyle name="40% - Ênfase1 2" xfId="44"/>
    <cellStyle name="40% - Ênfase1 3" xfId="45"/>
    <cellStyle name="40% - Ênfase2 2" xfId="46"/>
    <cellStyle name="40% - Ênfase2 3" xfId="47"/>
    <cellStyle name="40% - Ênfase3 2" xfId="48"/>
    <cellStyle name="40% - Ênfase3 3" xfId="49"/>
    <cellStyle name="40% - Ênfase4 2" xfId="50"/>
    <cellStyle name="40% - Ênfase4 3" xfId="51"/>
    <cellStyle name="40% - Ênfase5 2" xfId="52"/>
    <cellStyle name="40% - Ênfase5 3" xfId="53"/>
    <cellStyle name="40% - Ênfase6 2" xfId="54"/>
    <cellStyle name="40% - Ênfase6 3" xfId="55"/>
    <cellStyle name="40% - ส่วนที่ถูกเน้น2 2" xfId="56"/>
    <cellStyle name="40% - 강조색1" xfId="57"/>
    <cellStyle name="40% - 강조색1 2" xfId="58"/>
    <cellStyle name="40% - 강조색2" xfId="59"/>
    <cellStyle name="40% - 강조색2 2" xfId="60"/>
    <cellStyle name="40% - 강조색3" xfId="61"/>
    <cellStyle name="40% - 강조색3 2" xfId="62"/>
    <cellStyle name="40% - 강조색4" xfId="63"/>
    <cellStyle name="40% - 강조색4 2" xfId="64"/>
    <cellStyle name="40% - 강조색5" xfId="65"/>
    <cellStyle name="40% - 강조색5 2" xfId="66"/>
    <cellStyle name="40% - 강조색6" xfId="67"/>
    <cellStyle name="40% - 강조색6 2" xfId="68"/>
    <cellStyle name="60 % - Accent1" xfId="69"/>
    <cellStyle name="60 % - Accent2" xfId="70"/>
    <cellStyle name="60 % - Accent3" xfId="71"/>
    <cellStyle name="60 % - Accent4" xfId="72"/>
    <cellStyle name="60 % - Accent5" xfId="73"/>
    <cellStyle name="60 % - Accent6" xfId="74"/>
    <cellStyle name="60% - Ênfase1 2" xfId="75"/>
    <cellStyle name="60% - Ênfase1 3" xfId="76"/>
    <cellStyle name="60% - Ênfase2 2" xfId="77"/>
    <cellStyle name="60% - Ênfase2 3" xfId="78"/>
    <cellStyle name="60% - Ênfase3 2" xfId="79"/>
    <cellStyle name="60% - Ênfase3 3" xfId="80"/>
    <cellStyle name="60% - Ênfase4 2" xfId="81"/>
    <cellStyle name="60% - Ênfase4 3" xfId="82"/>
    <cellStyle name="60% - Ênfase5 2" xfId="83"/>
    <cellStyle name="60% - Ênfase5 3" xfId="84"/>
    <cellStyle name="60% - Ênfase5 4" xfId="85"/>
    <cellStyle name="60% - Ênfase6 2" xfId="86"/>
    <cellStyle name="60% - Ênfase6 3" xfId="87"/>
    <cellStyle name="60% - ส่วนที่ถูกเน้น5 2" xfId="88"/>
    <cellStyle name="60% - 강조색1" xfId="89"/>
    <cellStyle name="60% - 강조색1 2" xfId="90"/>
    <cellStyle name="60% - 강조색2" xfId="91"/>
    <cellStyle name="60% - 강조색2 2" xfId="92"/>
    <cellStyle name="60% - 강조색3" xfId="93"/>
    <cellStyle name="60% - 강조색3 2" xfId="94"/>
    <cellStyle name="60% - 강조색4" xfId="95"/>
    <cellStyle name="60% - 강조색4 2" xfId="96"/>
    <cellStyle name="60% - 강조색5" xfId="97"/>
    <cellStyle name="60% - 강조색5 2" xfId="98"/>
    <cellStyle name="60% - 강조색6" xfId="99"/>
    <cellStyle name="60% - 강조색6 2" xfId="100"/>
    <cellStyle name="Avertissement" xfId="101"/>
    <cellStyle name="Berekening" xfId="102"/>
    <cellStyle name="Bom 2" xfId="103"/>
    <cellStyle name="Bom 3" xfId="104"/>
    <cellStyle name="Calcul" xfId="105"/>
    <cellStyle name="Cálculo 2" xfId="106"/>
    <cellStyle name="Cálculo 2 2" xfId="107"/>
    <cellStyle name="Cálculo 3" xfId="108"/>
    <cellStyle name="Cálculo 3 2" xfId="109"/>
    <cellStyle name="Cellule liée" xfId="110"/>
    <cellStyle name="Célula de Verificação 2" xfId="111"/>
    <cellStyle name="Célula de Verificação 3" xfId="112"/>
    <cellStyle name="Célula Vinculada 2" xfId="113"/>
    <cellStyle name="Célula Vinculada 3" xfId="114"/>
    <cellStyle name="Check Cell 2" xfId="115"/>
    <cellStyle name="Check Cell 3" xfId="116"/>
    <cellStyle name="Comma 2" xfId="117"/>
    <cellStyle name="Comma 3" xfId="118"/>
    <cellStyle name="Comma 3 2" xfId="119"/>
    <cellStyle name="Comma 3 3" xfId="120"/>
    <cellStyle name="Comma 4" xfId="121"/>
    <cellStyle name="Commentaire" xfId="122"/>
    <cellStyle name="Controlecel" xfId="123"/>
    <cellStyle name="Currency 2" xfId="124"/>
    <cellStyle name="Ênfase1 2" xfId="125"/>
    <cellStyle name="Ênfase1 3" xfId="126"/>
    <cellStyle name="Ênfase2 2" xfId="127"/>
    <cellStyle name="Ênfase2 3" xfId="128"/>
    <cellStyle name="Ênfase3 2" xfId="129"/>
    <cellStyle name="Ênfase3 3" xfId="130"/>
    <cellStyle name="Ênfase4 2" xfId="131"/>
    <cellStyle name="Ênfase4 3" xfId="132"/>
    <cellStyle name="Ênfase5 2" xfId="133"/>
    <cellStyle name="Ênfase5 3" xfId="134"/>
    <cellStyle name="Ênfase6 2" xfId="135"/>
    <cellStyle name="Ênfase6 3" xfId="136"/>
    <cellStyle name="Entrada 2" xfId="137"/>
    <cellStyle name="Entrada 2 2" xfId="138"/>
    <cellStyle name="Entrada 3" xfId="139"/>
    <cellStyle name="Entrada 3 2" xfId="140"/>
    <cellStyle name="Entrée" xfId="141"/>
    <cellStyle name="Estilo 1" xfId="142"/>
    <cellStyle name="Estilo 8" xfId="143"/>
    <cellStyle name="Excel Built-in Comma" xfId="144"/>
    <cellStyle name="Excel Built-in Currency" xfId="145"/>
    <cellStyle name="Excel Built-in Excel Built-in Normal" xfId="146"/>
    <cellStyle name="Excel Built-in Normal" xfId="147"/>
    <cellStyle name="Excel Built-in Normal 1" xfId="148"/>
    <cellStyle name="Excel Built-in Normal 1 2" xfId="149"/>
    <cellStyle name="Excel Built-in Normal 1 2 2" xfId="150"/>
    <cellStyle name="Excel Built-in Normal 1 2 3" xfId="151"/>
    <cellStyle name="Excel Built-in Normal 1 3" xfId="152"/>
    <cellStyle name="Excel Built-in Normal 2" xfId="153"/>
    <cellStyle name="Excel Built-in Normal 3" xfId="154"/>
    <cellStyle name="Excel Built-in Normal 4" xfId="155"/>
    <cellStyle name="Excel Built-in Normal 5" xfId="156"/>
    <cellStyle name="Excel Built-in Normal 6" xfId="157"/>
    <cellStyle name="Excel Built-in Normal 7" xfId="158"/>
    <cellStyle name="Excel Built-in Normal 8" xfId="159"/>
    <cellStyle name="Excel Built-in Normal_274y+66" xfId="160"/>
    <cellStyle name="Excel Built-in Percent" xfId="161"/>
    <cellStyle name="Excel Built-in 표준_아이스스파" xfId="162"/>
    <cellStyle name="Excel_BuiltIn_20% - Ênfase3 1" xfId="163"/>
    <cellStyle name="Gekoppelde cel" xfId="164"/>
    <cellStyle name="Goed" xfId="165"/>
    <cellStyle name="Hyperlink 2" xfId="166"/>
    <cellStyle name="Hyperlink 3" xfId="167"/>
    <cellStyle name="Incorreto 2" xfId="168"/>
    <cellStyle name="Incorreto 3" xfId="169"/>
    <cellStyle name="Insatisfaisant" xfId="170"/>
    <cellStyle name="Invoer" xfId="171"/>
    <cellStyle name="Kop 1" xfId="172"/>
    <cellStyle name="Kop 2" xfId="173"/>
    <cellStyle name="Kop 3" xfId="174"/>
    <cellStyle name="Kop 4" xfId="175"/>
    <cellStyle name="Moeda 2" xfId="176"/>
    <cellStyle name="Moeda 2 2" xfId="177"/>
    <cellStyle name="Moeda 2 3" xfId="178"/>
    <cellStyle name="Moeda 2 4" xfId="179"/>
    <cellStyle name="Moeda 2 5" xfId="180"/>
    <cellStyle name="Moeda 2 6" xfId="181"/>
    <cellStyle name="Moeda 2 7" xfId="182"/>
    <cellStyle name="Moeda 2 8" xfId="183"/>
    <cellStyle name="Neutra 2" xfId="184"/>
    <cellStyle name="Neutra 3" xfId="185"/>
    <cellStyle name="Neutra 4" xfId="186"/>
    <cellStyle name="Neutraal" xfId="187"/>
    <cellStyle name="Neutre" xfId="188"/>
    <cellStyle name="Normal" xfId="0" builtinId="0"/>
    <cellStyle name="Normal 10" xfId="189"/>
    <cellStyle name="Normal 10 2" xfId="190"/>
    <cellStyle name="Normal 11" xfId="191"/>
    <cellStyle name="Normal 11 2" xfId="192"/>
    <cellStyle name="Normal 12" xfId="193"/>
    <cellStyle name="Normal 12 2" xfId="194"/>
    <cellStyle name="Normal 13" xfId="195"/>
    <cellStyle name="Normal 13 3" xfId="196"/>
    <cellStyle name="Normal 14" xfId="197"/>
    <cellStyle name="Normal 15" xfId="198"/>
    <cellStyle name="Normal 16" xfId="199"/>
    <cellStyle name="Normal 17" xfId="200"/>
    <cellStyle name="Normal 18" xfId="201"/>
    <cellStyle name="Normal 2" xfId="202"/>
    <cellStyle name="Normal 2 10" xfId="203"/>
    <cellStyle name="Normal 2 11" xfId="204"/>
    <cellStyle name="Normal 2 12" xfId="205"/>
    <cellStyle name="Normal 2 13" xfId="206"/>
    <cellStyle name="Normal 2 14" xfId="207"/>
    <cellStyle name="Normal 2 15" xfId="208"/>
    <cellStyle name="Normal 2 16" xfId="209"/>
    <cellStyle name="Normal 2 17" xfId="210"/>
    <cellStyle name="Normal 2 2" xfId="211"/>
    <cellStyle name="Normal 2 2 2" xfId="212"/>
    <cellStyle name="Normal 2 2 2 2" xfId="213"/>
    <cellStyle name="Normal 2 2 2 2 2" xfId="214"/>
    <cellStyle name="Normal 2 2 2 3" xfId="215"/>
    <cellStyle name="Normal 2 2 3" xfId="216"/>
    <cellStyle name="Normal 2 2 4" xfId="217"/>
    <cellStyle name="Normal 2 2 5" xfId="218"/>
    <cellStyle name="Normal 2 2 6" xfId="219"/>
    <cellStyle name="Normal 2 2 7" xfId="220"/>
    <cellStyle name="Normal 2 2 8" xfId="221"/>
    <cellStyle name="Normal 2 3" xfId="222"/>
    <cellStyle name="Normal 2 3 2" xfId="223"/>
    <cellStyle name="Normal 2 3 2 2" xfId="224"/>
    <cellStyle name="Normal 2 3 2 3" xfId="225"/>
    <cellStyle name="Normal 2 3 3" xfId="226"/>
    <cellStyle name="Normal 2 3 4" xfId="227"/>
    <cellStyle name="Normal 2 3 5" xfId="228"/>
    <cellStyle name="Normal 2 3 6" xfId="229"/>
    <cellStyle name="Normal 2 4" xfId="230"/>
    <cellStyle name="Normal 2 4 2" xfId="231"/>
    <cellStyle name="Normal 2 4 2 2" xfId="232"/>
    <cellStyle name="Normal 2 4 2 3" xfId="233"/>
    <cellStyle name="Normal 2 4 3" xfId="234"/>
    <cellStyle name="Normal 2 4 4" xfId="235"/>
    <cellStyle name="Normal 2 4 5" xfId="236"/>
    <cellStyle name="Normal 2 4 6" xfId="237"/>
    <cellStyle name="Normal 2 4_lol" xfId="238"/>
    <cellStyle name="Normal 2 5" xfId="239"/>
    <cellStyle name="Normal 2 5 2" xfId="240"/>
    <cellStyle name="Normal 2 5 3" xfId="241"/>
    <cellStyle name="Normal 2 5 4" xfId="242"/>
    <cellStyle name="Normal 2 5 5" xfId="243"/>
    <cellStyle name="Normal 2 5 6" xfId="244"/>
    <cellStyle name="Normal 2 6" xfId="245"/>
    <cellStyle name="Normal 2 6 2" xfId="246"/>
    <cellStyle name="Normal 2 7" xfId="247"/>
    <cellStyle name="Normal 2 8" xfId="248"/>
    <cellStyle name="Normal 2 8 2" xfId="249"/>
    <cellStyle name="Normal 2 8 3" xfId="250"/>
    <cellStyle name="Normal 2 8 4" xfId="251"/>
    <cellStyle name="Normal 2 8 5" xfId="252"/>
    <cellStyle name="Normal 2 9" xfId="253"/>
    <cellStyle name="Normal 2 9 2" xfId="254"/>
    <cellStyle name="Normal 2 9 3" xfId="255"/>
    <cellStyle name="Normal 2_264yByMorpheous" xfId="256"/>
    <cellStyle name="Normal 20 3" xfId="257"/>
    <cellStyle name="Normal 3" xfId="258"/>
    <cellStyle name="Normal 3 10" xfId="259"/>
    <cellStyle name="Normal 3 11" xfId="260"/>
    <cellStyle name="Normal 3 2" xfId="261"/>
    <cellStyle name="Normal 3 2 2" xfId="262"/>
    <cellStyle name="Normal 3 2 2 2" xfId="263"/>
    <cellStyle name="Normal 3 2 3" xfId="264"/>
    <cellStyle name="Normal 3 3" xfId="265"/>
    <cellStyle name="Normal 3 3 2" xfId="266"/>
    <cellStyle name="Normal 3 3 3" xfId="267"/>
    <cellStyle name="Normal 3 3 4" xfId="268"/>
    <cellStyle name="Normal 3 3 5" xfId="269"/>
    <cellStyle name="Normal 3 4" xfId="270"/>
    <cellStyle name="Normal 3 5" xfId="271"/>
    <cellStyle name="Normal 3 6" xfId="272"/>
    <cellStyle name="Normal 3 7" xfId="273"/>
    <cellStyle name="Normal 3 8" xfId="274"/>
    <cellStyle name="Normal 3 9" xfId="275"/>
    <cellStyle name="Normal 4" xfId="276"/>
    <cellStyle name="Normal 4 10" xfId="277"/>
    <cellStyle name="Normal 4 2" xfId="278"/>
    <cellStyle name="Normal 4 2 2" xfId="279"/>
    <cellStyle name="Normal 4 2 3" xfId="280"/>
    <cellStyle name="Normal 4 2 4" xfId="281"/>
    <cellStyle name="Normal 4 2 5" xfId="282"/>
    <cellStyle name="Normal 4 2 6" xfId="283"/>
    <cellStyle name="Normal 4 2 7" xfId="284"/>
    <cellStyle name="Normal 4 3" xfId="285"/>
    <cellStyle name="Normal 4 4" xfId="286"/>
    <cellStyle name="Normal 4 5" xfId="287"/>
    <cellStyle name="Normal 4 6" xfId="288"/>
    <cellStyle name="Normal 4 7" xfId="289"/>
    <cellStyle name="Normal 4 8" xfId="290"/>
    <cellStyle name="Normal 4 9" xfId="291"/>
    <cellStyle name="Normal 5" xfId="292"/>
    <cellStyle name="Normal 5 2" xfId="293"/>
    <cellStyle name="Normal 5 3" xfId="294"/>
    <cellStyle name="Normal 5 4" xfId="295"/>
    <cellStyle name="Normal 5 5" xfId="296"/>
    <cellStyle name="Normal 5 6" xfId="297"/>
    <cellStyle name="Normal 5 7" xfId="298"/>
    <cellStyle name="Normal 6" xfId="299"/>
    <cellStyle name="Normal 6 2" xfId="300"/>
    <cellStyle name="Normal 6 3" xfId="301"/>
    <cellStyle name="Normal 6 4" xfId="302"/>
    <cellStyle name="Normal 6 5" xfId="303"/>
    <cellStyle name="Normal 6 6" xfId="304"/>
    <cellStyle name="Normal 6 7" xfId="305"/>
    <cellStyle name="Normal 7" xfId="306"/>
    <cellStyle name="Normal 7 2" xfId="307"/>
    <cellStyle name="Normal 7 3" xfId="308"/>
    <cellStyle name="Normal 7 3 2" xfId="309"/>
    <cellStyle name="Normal 7 3 3" xfId="310"/>
    <cellStyle name="Normal 8" xfId="311"/>
    <cellStyle name="Normal 8 2" xfId="312"/>
    <cellStyle name="Normal 8 2 2" xfId="313"/>
    <cellStyle name="Normal 8 3" xfId="314"/>
    <cellStyle name="Normal 8 4" xfId="315"/>
    <cellStyle name="Normal 8 5" xfId="316"/>
    <cellStyle name="Normal 9" xfId="317"/>
    <cellStyle name="Nota 2" xfId="318"/>
    <cellStyle name="Nota 2 2" xfId="319"/>
    <cellStyle name="Nota 3" xfId="320"/>
    <cellStyle name="Nota 3 2" xfId="321"/>
    <cellStyle name="Notitie" xfId="322"/>
    <cellStyle name="Ongeldig" xfId="323"/>
    <cellStyle name="Percent 2" xfId="324"/>
    <cellStyle name="Percent 3" xfId="325"/>
    <cellStyle name="Percent 3 2" xfId="326"/>
    <cellStyle name="Percent 4" xfId="327"/>
    <cellStyle name="Porcentagem 2" xfId="328"/>
    <cellStyle name="Porcentagem 2 2" xfId="329"/>
    <cellStyle name="Porcentagem 2 3" xfId="330"/>
    <cellStyle name="Porcentagem 3" xfId="331"/>
    <cellStyle name="Porcentagem 3 2" xfId="332"/>
    <cellStyle name="Porcentagem 4" xfId="2"/>
    <cellStyle name="Saída 2" xfId="333"/>
    <cellStyle name="Saída 2 2" xfId="334"/>
    <cellStyle name="Saída 3" xfId="335"/>
    <cellStyle name="Saída 3 2" xfId="336"/>
    <cellStyle name="Satisfaisant" xfId="337"/>
    <cellStyle name="Separador de milhares 2" xfId="338"/>
    <cellStyle name="Separador de milhares 2 2" xfId="339"/>
    <cellStyle name="Separador de milhares 2 2 2" xfId="340"/>
    <cellStyle name="Separador de milhares 2 2 3" xfId="341"/>
    <cellStyle name="Separador de milhares 2 3" xfId="342"/>
    <cellStyle name="Separador de milhares 2 4" xfId="343"/>
    <cellStyle name="Separador de milhares 2 5" xfId="344"/>
    <cellStyle name="Separador de milhares 2 6" xfId="345"/>
    <cellStyle name="Separador de milhares 2 7" xfId="346"/>
    <cellStyle name="Separador de milhares 2 8" xfId="347"/>
    <cellStyle name="Separador de milhares 3" xfId="348"/>
    <cellStyle name="Separador de milhares 3 2" xfId="349"/>
    <cellStyle name="Separador de milhares 3 3" xfId="350"/>
    <cellStyle name="Separador de milhares 3 4" xfId="351"/>
    <cellStyle name="Separador de milhares 3 5" xfId="352"/>
    <cellStyle name="Separador de milhares 3 6" xfId="353"/>
    <cellStyle name="Separador de milhares 3 7" xfId="354"/>
    <cellStyle name="Separador de milhares 3 8" xfId="355"/>
    <cellStyle name="Separador de milhares 4" xfId="356"/>
    <cellStyle name="Separador de milhares 4 2" xfId="357"/>
    <cellStyle name="Separador de milhares 4 3" xfId="358"/>
    <cellStyle name="Separador de milhares 4 4" xfId="359"/>
    <cellStyle name="Separador de milhares 4 5" xfId="360"/>
    <cellStyle name="Separador de milhares 4 6" xfId="361"/>
    <cellStyle name="Separador de milhares 4 7" xfId="362"/>
    <cellStyle name="Separador de milhares 4 8" xfId="363"/>
    <cellStyle name="Sortie" xfId="364"/>
    <cellStyle name="Standaard 2" xfId="365"/>
    <cellStyle name="Standaard 2 2" xfId="366"/>
    <cellStyle name="Standaard 2_lol" xfId="367"/>
    <cellStyle name="Standaard_6i" xfId="368"/>
    <cellStyle name="Style 1" xfId="369"/>
    <cellStyle name="Style 1 2" xfId="370"/>
    <cellStyle name="Style 1 3" xfId="371"/>
    <cellStyle name="Style 1 4" xfId="372"/>
    <cellStyle name="Style 1 5" xfId="373"/>
    <cellStyle name="TableStyleLight1" xfId="374"/>
    <cellStyle name="Texte explicatif" xfId="375"/>
    <cellStyle name="Texto de Aviso 2" xfId="376"/>
    <cellStyle name="Texto de Aviso 3" xfId="377"/>
    <cellStyle name="Texto Explicativo 2" xfId="378"/>
    <cellStyle name="Texto Explicativo 3" xfId="379"/>
    <cellStyle name="Titel" xfId="380"/>
    <cellStyle name="Titre" xfId="381"/>
    <cellStyle name="Titre 1" xfId="382"/>
    <cellStyle name="Titre 2" xfId="383"/>
    <cellStyle name="Titre 3" xfId="384"/>
    <cellStyle name="Titre 4" xfId="385"/>
    <cellStyle name="Titre_6i" xfId="386"/>
    <cellStyle name="Título 1 1" xfId="387"/>
    <cellStyle name="Título 1 1 1" xfId="388"/>
    <cellStyle name="Título 1 1 1 1" xfId="389"/>
    <cellStyle name="Título 1 1 1 1 1" xfId="390"/>
    <cellStyle name="Título 1 1 1 1 1 1" xfId="391"/>
    <cellStyle name="Título 1 1 1 1 1 1 1" xfId="392"/>
    <cellStyle name="Título 1 1 1 1 1 1 2" xfId="393"/>
    <cellStyle name="Título 1 1 1 1 1 1 3" xfId="394"/>
    <cellStyle name="Título 1 1 1 1 1 1 4" xfId="395"/>
    <cellStyle name="Título 1 1 1 1 1 1 5" xfId="396"/>
    <cellStyle name="Título 1 1 1 2" xfId="397"/>
    <cellStyle name="Título 1 1 1 3" xfId="398"/>
    <cellStyle name="Título 1 1 1 4" xfId="399"/>
    <cellStyle name="Título 1 1 1 5" xfId="400"/>
    <cellStyle name="Título 1 1 2" xfId="401"/>
    <cellStyle name="Título 1 1 3" xfId="402"/>
    <cellStyle name="Título 1 1 4" xfId="403"/>
    <cellStyle name="Título 1 1 5" xfId="404"/>
    <cellStyle name="Título 1 1_276+4(DaN(e64)NaNy" xfId="405"/>
    <cellStyle name="Título 1 2" xfId="406"/>
    <cellStyle name="Título 1 3" xfId="407"/>
    <cellStyle name="Título 2 2" xfId="408"/>
    <cellStyle name="Título 2 3" xfId="409"/>
    <cellStyle name="Título 3 2" xfId="410"/>
    <cellStyle name="Título 3 3" xfId="411"/>
    <cellStyle name="Título 4 2" xfId="412"/>
    <cellStyle name="Título 4 3" xfId="413"/>
    <cellStyle name="Totaal" xfId="414"/>
    <cellStyle name="Total 2" xfId="415"/>
    <cellStyle name="Total 2 2" xfId="416"/>
    <cellStyle name="Total 3" xfId="417"/>
    <cellStyle name="Total 3 2" xfId="418"/>
    <cellStyle name="Tusental 2" xfId="419"/>
    <cellStyle name="Uitvoer" xfId="420"/>
    <cellStyle name="Vérification" xfId="421"/>
    <cellStyle name="Verklarende tekst" xfId="422"/>
    <cellStyle name="Vírgula 2" xfId="423"/>
    <cellStyle name="Waarschuwingstekst" xfId="424"/>
    <cellStyle name="เครื่องหมายจุลภาค 2" xfId="425"/>
    <cellStyle name="เครื่องหมายจุลภาค 2 2" xfId="426"/>
    <cellStyle name="ปกติ 2" xfId="3"/>
    <cellStyle name="ปกติ 2 2" xfId="427"/>
    <cellStyle name="ปกติ 3" xfId="428"/>
    <cellStyle name="ปกติ 3 2" xfId="429"/>
    <cellStyle name="ปกติ 3 4" xfId="430"/>
    <cellStyle name="강조색1" xfId="431"/>
    <cellStyle name="강조색1 2" xfId="432"/>
    <cellStyle name="강조색2" xfId="433"/>
    <cellStyle name="강조색2 2" xfId="434"/>
    <cellStyle name="강조색3" xfId="435"/>
    <cellStyle name="강조색3 2" xfId="436"/>
    <cellStyle name="강조색4" xfId="437"/>
    <cellStyle name="강조색4 2" xfId="438"/>
    <cellStyle name="강조색5" xfId="439"/>
    <cellStyle name="강조색5 2" xfId="440"/>
    <cellStyle name="강조색6" xfId="441"/>
    <cellStyle name="강조색6 2" xfId="442"/>
    <cellStyle name="경고문" xfId="443"/>
    <cellStyle name="경고문 2" xfId="444"/>
    <cellStyle name="계산" xfId="445"/>
    <cellStyle name="계산 2" xfId="446"/>
    <cellStyle name="나쁨" xfId="447"/>
    <cellStyle name="나쁨 2" xfId="448"/>
    <cellStyle name="메모" xfId="449"/>
    <cellStyle name="메모 2" xfId="450"/>
    <cellStyle name="보통" xfId="451"/>
    <cellStyle name="보통 2" xfId="452"/>
    <cellStyle name="설명 텍스트" xfId="453"/>
    <cellStyle name="설명 텍스트 2" xfId="454"/>
    <cellStyle name="셀 확인" xfId="455"/>
    <cellStyle name="셀 확인 2" xfId="456"/>
    <cellStyle name="쉼표 [0] 2" xfId="457"/>
    <cellStyle name="연결된 셀" xfId="458"/>
    <cellStyle name="연결된 셀 2" xfId="459"/>
    <cellStyle name="요약" xfId="460"/>
    <cellStyle name="요약 2" xfId="461"/>
    <cellStyle name="입력" xfId="462"/>
    <cellStyle name="입력 2" xfId="463"/>
    <cellStyle name="제목" xfId="464"/>
    <cellStyle name="제목 1" xfId="465"/>
    <cellStyle name="제목 1 1" xfId="466"/>
    <cellStyle name="제목 1 1 1" xfId="467"/>
    <cellStyle name="제목 1 2" xfId="468"/>
    <cellStyle name="제목 2" xfId="469"/>
    <cellStyle name="제목 2 2" xfId="470"/>
    <cellStyle name="제목 3" xfId="471"/>
    <cellStyle name="제목 3 2" xfId="472"/>
    <cellStyle name="제목 4" xfId="473"/>
    <cellStyle name="제목 4 2" xfId="474"/>
    <cellStyle name="제목 5" xfId="475"/>
    <cellStyle name="좋음" xfId="476"/>
    <cellStyle name="좋음 2" xfId="477"/>
    <cellStyle name="출력" xfId="478"/>
    <cellStyle name="출력 2" xfId="479"/>
    <cellStyle name="표준 10" xfId="480"/>
    <cellStyle name="표준 10 2" xfId="481"/>
    <cellStyle name="표준 10 3" xfId="482"/>
    <cellStyle name="표준 10 4" xfId="483"/>
    <cellStyle name="표준 10 5" xfId="484"/>
    <cellStyle name="표준 10 6" xfId="485"/>
    <cellStyle name="표준 11" xfId="486"/>
    <cellStyle name="표준 11 2" xfId="487"/>
    <cellStyle name="표준 11 3" xfId="488"/>
    <cellStyle name="표준 11 4" xfId="489"/>
    <cellStyle name="표준 11 5" xfId="490"/>
    <cellStyle name="표준 11 6" xfId="491"/>
    <cellStyle name="표준 12" xfId="492"/>
    <cellStyle name="표준 12 2" xfId="493"/>
    <cellStyle name="표준 12 3" xfId="494"/>
    <cellStyle name="표준 12 4" xfId="495"/>
    <cellStyle name="표준 12 5" xfId="496"/>
    <cellStyle name="표준 12 6" xfId="497"/>
    <cellStyle name="표준 13" xfId="498"/>
    <cellStyle name="표준 13 2" xfId="499"/>
    <cellStyle name="표준 13 3" xfId="500"/>
    <cellStyle name="표준 13 4" xfId="501"/>
    <cellStyle name="표준 13 5" xfId="502"/>
    <cellStyle name="표준 13 6" xfId="503"/>
    <cellStyle name="표준 14" xfId="504"/>
    <cellStyle name="표준 14 2" xfId="505"/>
    <cellStyle name="표준 14 3" xfId="506"/>
    <cellStyle name="표준 14 4" xfId="507"/>
    <cellStyle name="표준 14 5" xfId="508"/>
    <cellStyle name="표준 14 6" xfId="509"/>
    <cellStyle name="표준 15" xfId="510"/>
    <cellStyle name="표준 15 2" xfId="511"/>
    <cellStyle name="표준 15 3" xfId="512"/>
    <cellStyle name="표준 15 4" xfId="513"/>
    <cellStyle name="표준 15 5" xfId="514"/>
    <cellStyle name="표준 15 6" xfId="515"/>
    <cellStyle name="표준 16" xfId="516"/>
    <cellStyle name="표준 16 2" xfId="517"/>
    <cellStyle name="표준 16 3" xfId="518"/>
    <cellStyle name="표준 16 4" xfId="519"/>
    <cellStyle name="표준 16 5" xfId="520"/>
    <cellStyle name="표준 16 6" xfId="521"/>
    <cellStyle name="표준 17" xfId="522"/>
    <cellStyle name="표준 17 2" xfId="523"/>
    <cellStyle name="표준 17 2 2" xfId="524"/>
    <cellStyle name="표준 17 2 3" xfId="525"/>
    <cellStyle name="표준 17 2 4" xfId="526"/>
    <cellStyle name="표준 17 2 5" xfId="527"/>
    <cellStyle name="표준 17 2 6" xfId="528"/>
    <cellStyle name="표준 2" xfId="529"/>
    <cellStyle name="표준 2 10" xfId="530"/>
    <cellStyle name="표준 2 11" xfId="531"/>
    <cellStyle name="표준 2 12" xfId="532"/>
    <cellStyle name="표준 2 2" xfId="533"/>
    <cellStyle name="표준 2 2 2" xfId="534"/>
    <cellStyle name="표준 2 2 2 2" xfId="535"/>
    <cellStyle name="표준 2 2 2 3" xfId="536"/>
    <cellStyle name="표준 2 2 2 4" xfId="537"/>
    <cellStyle name="표준 2 2 2 5" xfId="538"/>
    <cellStyle name="표준 2 2 2 6" xfId="539"/>
    <cellStyle name="표준 2 2 2 7" xfId="540"/>
    <cellStyle name="표준 2 3" xfId="541"/>
    <cellStyle name="표준 2 3 2" xfId="542"/>
    <cellStyle name="표준 2 3 3" xfId="543"/>
    <cellStyle name="표준 2 3 4" xfId="544"/>
    <cellStyle name="표준 2 3 5" xfId="545"/>
    <cellStyle name="표준 2 3 6" xfId="546"/>
    <cellStyle name="표준 2 4" xfId="547"/>
    <cellStyle name="표준 2 4 2" xfId="548"/>
    <cellStyle name="표준 2 4 3" xfId="549"/>
    <cellStyle name="표준 2 4 4" xfId="550"/>
    <cellStyle name="표준 2 4 5" xfId="551"/>
    <cellStyle name="표준 2 4 6" xfId="552"/>
    <cellStyle name="표준 2 5" xfId="553"/>
    <cellStyle name="표준 2 5 2" xfId="554"/>
    <cellStyle name="표준 2 5 3" xfId="555"/>
    <cellStyle name="표준 2 5 4" xfId="556"/>
    <cellStyle name="표준 2 5 5" xfId="557"/>
    <cellStyle name="표준 2 5 6" xfId="558"/>
    <cellStyle name="표준 2 6" xfId="559"/>
    <cellStyle name="표준 2 6 2" xfId="560"/>
    <cellStyle name="표준 2 6 3" xfId="561"/>
    <cellStyle name="표준 2 6 4" xfId="562"/>
    <cellStyle name="표준 2 6 5" xfId="563"/>
    <cellStyle name="표준 2 6 6" xfId="564"/>
    <cellStyle name="표준 2 6 7" xfId="565"/>
    <cellStyle name="표준 2 7" xfId="566"/>
    <cellStyle name="표준 2 7 2" xfId="567"/>
    <cellStyle name="표준 2 7 3" xfId="568"/>
    <cellStyle name="표준 2 7 4" xfId="569"/>
    <cellStyle name="표준 2 7 5" xfId="570"/>
    <cellStyle name="표준 2 7 6" xfId="571"/>
    <cellStyle name="표준 2 8" xfId="572"/>
    <cellStyle name="표준 2 8 2" xfId="573"/>
    <cellStyle name="표준 2 8 3" xfId="574"/>
    <cellStyle name="표준 2 8 4" xfId="575"/>
    <cellStyle name="표준 2 8 5" xfId="576"/>
    <cellStyle name="표준 2 8 6" xfId="577"/>
    <cellStyle name="표준 2 9" xfId="578"/>
    <cellStyle name="표준 2 9 2" xfId="579"/>
    <cellStyle name="표준 2 9 3" xfId="580"/>
    <cellStyle name="표준 2 9 4" xfId="581"/>
    <cellStyle name="표준 2 9 5" xfId="582"/>
    <cellStyle name="표준 2 9 6" xfId="583"/>
    <cellStyle name="표준 2_lol" xfId="584"/>
    <cellStyle name="표준 3" xfId="585"/>
    <cellStyle name="표준 3 10" xfId="586"/>
    <cellStyle name="표준 3 11" xfId="587"/>
    <cellStyle name="표준 3 12" xfId="588"/>
    <cellStyle name="표준 3 13" xfId="589"/>
    <cellStyle name="표준 3 2" xfId="590"/>
    <cellStyle name="표준 3 2 2" xfId="591"/>
    <cellStyle name="표준 3 2 3" xfId="592"/>
    <cellStyle name="표준 3 2 4" xfId="593"/>
    <cellStyle name="표준 3 2 5" xfId="594"/>
    <cellStyle name="표준 3 2 6" xfId="595"/>
    <cellStyle name="표준 3 3" xfId="596"/>
    <cellStyle name="표준 3 3 2" xfId="597"/>
    <cellStyle name="표준 3 3 3" xfId="598"/>
    <cellStyle name="표준 3 3 4" xfId="599"/>
    <cellStyle name="표준 3 3 5" xfId="600"/>
    <cellStyle name="표준 3 3 6" xfId="601"/>
    <cellStyle name="표준 3 4" xfId="602"/>
    <cellStyle name="표준 3 4 2" xfId="603"/>
    <cellStyle name="표준 3 4 3" xfId="604"/>
    <cellStyle name="표준 3 4 4" xfId="605"/>
    <cellStyle name="표준 3 4 5" xfId="606"/>
    <cellStyle name="표준 3 4 6" xfId="607"/>
    <cellStyle name="표준 3 5" xfId="608"/>
    <cellStyle name="표준 3 5 2" xfId="609"/>
    <cellStyle name="표준 3 5 3" xfId="610"/>
    <cellStyle name="표준 3 5 4" xfId="611"/>
    <cellStyle name="표준 3 5 5" xfId="612"/>
    <cellStyle name="표준 3 5 6" xfId="613"/>
    <cellStyle name="표준 3 6" xfId="614"/>
    <cellStyle name="표준 3 6 2" xfId="615"/>
    <cellStyle name="표준 3 6 3" xfId="616"/>
    <cellStyle name="표준 3 6 4" xfId="617"/>
    <cellStyle name="표준 3 6 5" xfId="618"/>
    <cellStyle name="표준 3 6 6" xfId="619"/>
    <cellStyle name="표준 3 7" xfId="620"/>
    <cellStyle name="표준 3 7 2" xfId="621"/>
    <cellStyle name="표준 3 7 3" xfId="622"/>
    <cellStyle name="표준 3 7 4" xfId="623"/>
    <cellStyle name="표준 3 7 5" xfId="624"/>
    <cellStyle name="표준 3 7 6" xfId="625"/>
    <cellStyle name="표준 3 8" xfId="626"/>
    <cellStyle name="표준 3 8 2" xfId="627"/>
    <cellStyle name="표준 3 8 3" xfId="628"/>
    <cellStyle name="표준 3 8 4" xfId="629"/>
    <cellStyle name="표준 3 8 5" xfId="630"/>
    <cellStyle name="표준 3 8 6" xfId="631"/>
    <cellStyle name="표준 3 9" xfId="632"/>
    <cellStyle name="표준 3_264yByMorpheous" xfId="633"/>
    <cellStyle name="표준 4" xfId="634"/>
    <cellStyle name="표준 4 2" xfId="635"/>
    <cellStyle name="표준 4 3" xfId="636"/>
    <cellStyle name="표준 4 4" xfId="637"/>
    <cellStyle name="표준 4 5" xfId="638"/>
    <cellStyle name="표준 4 6" xfId="639"/>
    <cellStyle name="표준 5" xfId="640"/>
    <cellStyle name="표준 5 2" xfId="641"/>
    <cellStyle name="표준 5 3" xfId="642"/>
    <cellStyle name="표준 5 4" xfId="643"/>
    <cellStyle name="표준 5 5" xfId="644"/>
    <cellStyle name="표준 5 6" xfId="645"/>
    <cellStyle name="표준 6" xfId="646"/>
    <cellStyle name="표준 6 2" xfId="647"/>
    <cellStyle name="표준 6 3" xfId="648"/>
    <cellStyle name="표준 6 4" xfId="649"/>
    <cellStyle name="표준 6 5" xfId="650"/>
    <cellStyle name="표준 6 6" xfId="651"/>
    <cellStyle name="표준 7" xfId="652"/>
    <cellStyle name="표준 7 2" xfId="653"/>
    <cellStyle name="표준 7 3" xfId="654"/>
    <cellStyle name="표준 7 4" xfId="655"/>
    <cellStyle name="표준 7 5" xfId="656"/>
    <cellStyle name="표준 7 6" xfId="657"/>
    <cellStyle name="표준 8" xfId="658"/>
    <cellStyle name="표준 8 2" xfId="659"/>
    <cellStyle name="표준 8 3" xfId="660"/>
    <cellStyle name="표준 8 4" xfId="661"/>
    <cellStyle name="표준 8 5" xfId="662"/>
    <cellStyle name="표준 8 6" xfId="663"/>
    <cellStyle name="표준 9" xfId="664"/>
    <cellStyle name="표준 9 2" xfId="665"/>
    <cellStyle name="표준 9 3" xfId="666"/>
    <cellStyle name="표준 9 4" xfId="667"/>
    <cellStyle name="표준 9 5" xfId="668"/>
    <cellStyle name="표준 9 6" xfId="669"/>
    <cellStyle name="표준_아이스스파" xfId="670"/>
  </cellStyles>
  <dxfs count="14">
    <dxf>
      <numFmt numFmtId="179" formatCode="\U\K"/>
    </dxf>
    <dxf>
      <font>
        <color rgb="FF00823B"/>
      </font>
    </dxf>
    <dxf>
      <font>
        <color rgb="FFC00000"/>
      </font>
    </dxf>
    <dxf>
      <font>
        <color rgb="FF0070C0"/>
      </font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E3DE00"/>
        </patternFill>
      </fill>
    </dxf>
    <dxf>
      <fill>
        <patternFill>
          <bgColor rgb="FFD09E00"/>
        </patternFill>
      </fill>
    </dxf>
    <dxf>
      <fill>
        <patternFill>
          <bgColor rgb="FFFD904D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Dados!$G$8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firstButton="1" fmlaLink="Dados!$I$35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fmlaLink="Dados!$B$30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114300</xdr:rowOff>
        </xdr:from>
        <xdr:to>
          <xdr:col>4</xdr:col>
          <xdr:colOff>619125</xdr:colOff>
          <xdr:row>13</xdr:row>
          <xdr:rowOff>66675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Resolução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4</xdr:col>
          <xdr:colOff>552450</xdr:colOff>
          <xdr:row>10</xdr:row>
          <xdr:rowOff>19050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800x600 Big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4</xdr:col>
          <xdr:colOff>552450</xdr:colOff>
          <xdr:row>11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1024x768 Big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9525</xdr:rowOff>
        </xdr:from>
        <xdr:to>
          <xdr:col>4</xdr:col>
          <xdr:colOff>552450</xdr:colOff>
          <xdr:row>12</xdr:row>
          <xdr:rowOff>19050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800x600 Small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0</xdr:rowOff>
        </xdr:from>
        <xdr:to>
          <xdr:col>4</xdr:col>
          <xdr:colOff>552450</xdr:colOff>
          <xdr:row>13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1280x720 Small PB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133350</xdr:rowOff>
        </xdr:from>
        <xdr:to>
          <xdr:col>7</xdr:col>
          <xdr:colOff>333375</xdr:colOff>
          <xdr:row>1</xdr:row>
          <xdr:rowOff>133350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7</xdr:col>
          <xdr:colOff>409575</xdr:colOff>
          <xdr:row>2</xdr:row>
          <xdr:rowOff>133350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114300</xdr:rowOff>
        </xdr:from>
        <xdr:to>
          <xdr:col>7</xdr:col>
          <xdr:colOff>419100</xdr:colOff>
          <xdr:row>3</xdr:row>
          <xdr:rowOff>123825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1PS30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</xdr:row>
          <xdr:rowOff>104775</xdr:rowOff>
        </xdr:from>
        <xdr:to>
          <xdr:col>7</xdr:col>
          <xdr:colOff>419100</xdr:colOff>
          <xdr:row>4</xdr:row>
          <xdr:rowOff>114300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1w 2PS30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</xdr:row>
          <xdr:rowOff>95250</xdr:rowOff>
        </xdr:from>
        <xdr:to>
          <xdr:col>7</xdr:col>
          <xdr:colOff>419100</xdr:colOff>
          <xdr:row>5</xdr:row>
          <xdr:rowOff>104775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5</xdr:row>
          <xdr:rowOff>85725</xdr:rowOff>
        </xdr:from>
        <xdr:to>
          <xdr:col>7</xdr:col>
          <xdr:colOff>419100</xdr:colOff>
          <xdr:row>6</xdr:row>
          <xdr:rowOff>85725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6</xdr:row>
          <xdr:rowOff>76200</xdr:rowOff>
        </xdr:from>
        <xdr:to>
          <xdr:col>7</xdr:col>
          <xdr:colOff>419100</xdr:colOff>
          <xdr:row>7</xdr:row>
          <xdr:rowOff>95250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2w 1PS30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</xdr:row>
          <xdr:rowOff>66675</xdr:rowOff>
        </xdr:from>
        <xdr:to>
          <xdr:col>7</xdr:col>
          <xdr:colOff>419100</xdr:colOff>
          <xdr:row>8</xdr:row>
          <xdr:rowOff>76200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3w 11s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8</xdr:row>
          <xdr:rowOff>57150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3w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9</xdr:row>
          <xdr:rowOff>38100</xdr:rowOff>
        </xdr:from>
        <xdr:to>
          <xdr:col>7</xdr:col>
          <xdr:colOff>419100</xdr:colOff>
          <xdr:row>10</xdr:row>
          <xdr:rowOff>57150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1w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10</xdr:row>
          <xdr:rowOff>28575</xdr:rowOff>
        </xdr:from>
        <xdr:to>
          <xdr:col>7</xdr:col>
          <xdr:colOff>419100</xdr:colOff>
          <xdr:row>11</xdr:row>
          <xdr:rowOff>38100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2w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11</xdr:row>
          <xdr:rowOff>9525</xdr:rowOff>
        </xdr:from>
        <xdr:to>
          <xdr:col>7</xdr:col>
          <xdr:colOff>419100</xdr:colOff>
          <xdr:row>12</xdr:row>
          <xdr:rowOff>19050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3w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11</xdr:row>
          <xdr:rowOff>190500</xdr:rowOff>
        </xdr:from>
        <xdr:to>
          <xdr:col>7</xdr:col>
          <xdr:colOff>419100</xdr:colOff>
          <xdr:row>13</xdr:row>
          <xdr:rowOff>9525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Toma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180975</xdr:rowOff>
        </xdr:from>
        <xdr:to>
          <xdr:col>7</xdr:col>
          <xdr:colOff>419100</xdr:colOff>
          <xdr:row>13</xdr:row>
          <xdr:rowOff>190500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7s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13</xdr:row>
          <xdr:rowOff>161925</xdr:rowOff>
        </xdr:from>
        <xdr:to>
          <xdr:col>7</xdr:col>
          <xdr:colOff>419100</xdr:colOff>
          <xdr:row>14</xdr:row>
          <xdr:rowOff>171450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30s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14</xdr:row>
          <xdr:rowOff>142875</xdr:rowOff>
        </xdr:from>
        <xdr:to>
          <xdr:col>7</xdr:col>
          <xdr:colOff>419100</xdr:colOff>
          <xdr:row>15</xdr:row>
          <xdr:rowOff>152400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Spike 1w 2PS30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38100</xdr:rowOff>
        </xdr:from>
        <xdr:to>
          <xdr:col>7</xdr:col>
          <xdr:colOff>495300</xdr:colOff>
          <xdr:row>21</xdr:row>
          <xdr:rowOff>28575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jogada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23</xdr:row>
          <xdr:rowOff>0</xdr:rowOff>
        </xdr:from>
        <xdr:to>
          <xdr:col>2</xdr:col>
          <xdr:colOff>228600</xdr:colOff>
          <xdr:row>23</xdr:row>
          <xdr:rowOff>180975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24</xdr:row>
          <xdr:rowOff>0</xdr:rowOff>
        </xdr:from>
        <xdr:to>
          <xdr:col>2</xdr:col>
          <xdr:colOff>228600</xdr:colOff>
          <xdr:row>24</xdr:row>
          <xdr:rowOff>180975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25</xdr:row>
          <xdr:rowOff>9525</xdr:rowOff>
        </xdr:from>
        <xdr:to>
          <xdr:col>2</xdr:col>
          <xdr:colOff>228600</xdr:colOff>
          <xdr:row>26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20</xdr:row>
          <xdr:rowOff>19050</xdr:rowOff>
        </xdr:from>
        <xdr:to>
          <xdr:col>0</xdr:col>
          <xdr:colOff>523875</xdr:colOff>
          <xdr:row>20</xdr:row>
          <xdr:rowOff>180975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20</xdr:row>
          <xdr:rowOff>19050</xdr:rowOff>
        </xdr:from>
        <xdr:to>
          <xdr:col>1</xdr:col>
          <xdr:colOff>533400</xdr:colOff>
          <xdr:row>20</xdr:row>
          <xdr:rowOff>180975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&lt;&lt;&lt;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10</xdr:row>
          <xdr:rowOff>180975</xdr:rowOff>
        </xdr:from>
        <xdr:to>
          <xdr:col>1</xdr:col>
          <xdr:colOff>57150</xdr:colOff>
          <xdr:row>12</xdr:row>
          <xdr:rowOff>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180975</xdr:rowOff>
        </xdr:from>
        <xdr:to>
          <xdr:col>1</xdr:col>
          <xdr:colOff>314325</xdr:colOff>
          <xdr:row>12</xdr:row>
          <xdr:rowOff>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12</xdr:row>
          <xdr:rowOff>9525</xdr:rowOff>
        </xdr:from>
        <xdr:to>
          <xdr:col>1</xdr:col>
          <xdr:colOff>57150</xdr:colOff>
          <xdr:row>13</xdr:row>
          <xdr:rowOff>28575</xdr:rowOff>
        </xdr:to>
        <xdr:sp macro="" textlink="">
          <xdr:nvSpPr>
            <xdr:cNvPr id="1115" name="Option 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9525</xdr:rowOff>
        </xdr:from>
        <xdr:to>
          <xdr:col>1</xdr:col>
          <xdr:colOff>323850</xdr:colOff>
          <xdr:row>13</xdr:row>
          <xdr:rowOff>28575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14</xdr:row>
          <xdr:rowOff>28575</xdr:rowOff>
        </xdr:from>
        <xdr:to>
          <xdr:col>1</xdr:col>
          <xdr:colOff>333375</xdr:colOff>
          <xdr:row>14</xdr:row>
          <xdr:rowOff>180975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15</xdr:row>
          <xdr:rowOff>133350</xdr:rowOff>
        </xdr:from>
        <xdr:to>
          <xdr:col>7</xdr:col>
          <xdr:colOff>476250</xdr:colOff>
          <xdr:row>16</xdr:row>
          <xdr:rowOff>161925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1w D.Curve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16</xdr:row>
          <xdr:rowOff>133350</xdr:rowOff>
        </xdr:from>
        <xdr:to>
          <xdr:col>7</xdr:col>
          <xdr:colOff>485775</xdr:colOff>
          <xdr:row>17</xdr:row>
          <xdr:rowOff>161925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1w D.Curve -11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17</xdr:row>
          <xdr:rowOff>142875</xdr:rowOff>
        </xdr:from>
        <xdr:to>
          <xdr:col>7</xdr:col>
          <xdr:colOff>485775</xdr:colOff>
          <xdr:row>18</xdr:row>
          <xdr:rowOff>171450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3w D.Curve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18</xdr:row>
          <xdr:rowOff>152400</xdr:rowOff>
        </xdr:from>
        <xdr:to>
          <xdr:col>7</xdr:col>
          <xdr:colOff>476250</xdr:colOff>
          <xdr:row>19</xdr:row>
          <xdr:rowOff>180975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3w D.Curve -7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19</xdr:row>
          <xdr:rowOff>171450</xdr:rowOff>
        </xdr:from>
        <xdr:to>
          <xdr:col>7</xdr:col>
          <xdr:colOff>476250</xdr:colOff>
          <xdr:row>21</xdr:row>
          <xdr:rowOff>9525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Dunk 2i 180Y 30s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9</xdr:row>
          <xdr:rowOff>133350</xdr:rowOff>
        </xdr:from>
        <xdr:to>
          <xdr:col>16</xdr:col>
          <xdr:colOff>219075</xdr:colOff>
          <xdr:row>16</xdr:row>
          <xdr:rowOff>95250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15</xdr:row>
          <xdr:rowOff>19050</xdr:rowOff>
        </xdr:from>
        <xdr:to>
          <xdr:col>1</xdr:col>
          <xdr:colOff>523875</xdr:colOff>
          <xdr:row>15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&gt;&gt;&gt;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15</xdr:row>
          <xdr:rowOff>19050</xdr:rowOff>
        </xdr:from>
        <xdr:to>
          <xdr:col>2</xdr:col>
          <xdr:colOff>533400</xdr:colOff>
          <xdr:row>15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rlin Sans FB Demi"/>
                </a:rPr>
                <a:t>&lt;&lt;&lt;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82"/>
  <sheetViews>
    <sheetView showGridLines="0" tabSelected="1" topLeftCell="A6" zoomScaleNormal="100" workbookViewId="0">
      <selection activeCell="G28" sqref="G28"/>
    </sheetView>
  </sheetViews>
  <sheetFormatPr defaultRowHeight="15"/>
  <cols>
    <col min="1" max="2" width="10" customWidth="1"/>
    <col min="3" max="3" width="3.7109375" customWidth="1"/>
    <col min="5" max="5" width="9.5703125" bestFit="1" customWidth="1"/>
    <col min="6" max="6" width="2.85546875" customWidth="1"/>
    <col min="9" max="9" width="2.85546875" customWidth="1"/>
    <col min="15" max="15" width="2.85546875" customWidth="1"/>
    <col min="20" max="20" width="14.7109375" bestFit="1" customWidth="1"/>
  </cols>
  <sheetData>
    <row r="1" spans="1:19" ht="15.75">
      <c r="A1" s="31" t="s">
        <v>50</v>
      </c>
      <c r="B1" s="32">
        <v>246.59</v>
      </c>
      <c r="D1" s="222" t="str">
        <f>Dados!H36</f>
        <v>Dunk 1w 1PS 30s</v>
      </c>
      <c r="E1" s="223"/>
      <c r="F1" s="41"/>
      <c r="G1" s="41"/>
      <c r="H1" s="41"/>
      <c r="I1" s="41"/>
      <c r="J1" s="41"/>
      <c r="L1" s="224" t="s">
        <v>150</v>
      </c>
      <c r="M1" s="224"/>
      <c r="N1" s="224"/>
    </row>
    <row r="2" spans="1:19" ht="15.75">
      <c r="A2" s="33" t="s">
        <v>1</v>
      </c>
      <c r="B2" s="34">
        <v>6.0220000000000002</v>
      </c>
      <c r="D2" s="90" t="s">
        <v>131</v>
      </c>
      <c r="E2" s="94">
        <f>E5*0.20995155</f>
        <v>-0.87864569264891568</v>
      </c>
      <c r="F2" s="41"/>
      <c r="G2" s="41"/>
      <c r="H2" s="41"/>
      <c r="I2" s="41"/>
      <c r="J2" s="41"/>
      <c r="L2" s="111" t="s">
        <v>151</v>
      </c>
      <c r="M2" s="111">
        <v>-3.8119999999999998</v>
      </c>
      <c r="N2" s="111"/>
    </row>
    <row r="3" spans="1:19" ht="15.75">
      <c r="A3" s="33" t="s">
        <v>2</v>
      </c>
      <c r="B3" s="34">
        <v>1</v>
      </c>
      <c r="D3" s="90" t="s">
        <v>125</v>
      </c>
      <c r="E3" s="94">
        <f>E5/4</f>
        <v>-1.046248161360223</v>
      </c>
      <c r="F3" s="41"/>
      <c r="G3" s="41"/>
      <c r="H3" s="41"/>
      <c r="I3" s="41"/>
      <c r="L3" s="111" t="s">
        <v>152</v>
      </c>
      <c r="M3" s="111">
        <v>10.584</v>
      </c>
      <c r="N3" s="111"/>
      <c r="Q3" s="1"/>
    </row>
    <row r="4" spans="1:19" ht="15.75">
      <c r="A4" s="35" t="str">
        <f>IF(B4=90,"Ângulo ↔°",IF(B4&gt;90,IF(B4&lt;270,"Ângulo ↓°","Ângulo ↑°"),"Ângulo ↑°"))</f>
        <v>Ângulo ↓°</v>
      </c>
      <c r="B4" s="36">
        <f>Ângulo</f>
        <v>106.667</v>
      </c>
      <c r="D4" s="90" t="s">
        <v>45</v>
      </c>
      <c r="E4" s="91">
        <f>IF(Dados!$I$35=1,E39,IF(Dados!$I$35=2,E47,IF(Dados!$I$35=3,E55,IF(Dados!$I$35=4,E63,IF(Dados!$I$35=5,H39,IF(Dados!$I$35=6,H47,IF(Dados!$I$35=7,H55,IF(Dados!$I$35=8,K39,IF(Dados!$I$35=9,K47,IF(Dados!$I$35=10,N39,IF(Dados!$I$35=11,N47,IF(Dados!$I$35=12,N55,IF(Dados!$I$35=13,N63,IF(Dados!$I$35=14,Q39,IF(Dados!$I$35=15,Q47,IF(Dados!$I$35=16,Q55,IF(Dados!$I$35=17,E71,IF(Dados!$I$35=18,E79,IF(Dados!$I$35=19,K55,IF(Dados!$I$35=20,K63,IF(Dados!$I$35=21,Q63)))))))))))))))))))))</f>
        <v>96.953245207037696</v>
      </c>
      <c r="F4" s="41"/>
      <c r="G4" s="41"/>
      <c r="H4" s="41"/>
      <c r="I4" s="41"/>
      <c r="L4" s="111" t="s">
        <v>153</v>
      </c>
      <c r="M4" s="111">
        <f>(M2*N8)+(M3*N9)</f>
        <v>5.6893599999999998</v>
      </c>
      <c r="N4" s="111"/>
      <c r="S4" s="117"/>
    </row>
    <row r="5" spans="1:19" ht="15.75">
      <c r="A5" s="33" t="s">
        <v>4</v>
      </c>
      <c r="B5" s="37">
        <f>Dados!B18</f>
        <v>-1.8784359062401523</v>
      </c>
      <c r="D5" s="90" t="s">
        <v>126</v>
      </c>
      <c r="E5" s="94">
        <f>IF(Dados!$I$35=1,E40,IF(Dados!$I$35=2,E48,IF(Dados!$I$35=3,E56,IF(Dados!$I$35=4,E64,IF(Dados!$I$35=5,H40,IF(Dados!$I$35=6,H48,IF(Dados!$I$35=7,H56,IF(Dados!$I$35=8,K40,IF(Dados!$I$35=9,K48,IF(Dados!$I$35=10,N40,IF(Dados!$I$35=11,N48,IF(Dados!$I$35=12,N56,IF(Dados!$I$35=13,N64,IF(Dados!$I$35=14,Q40,IF(Dados!$I$35=15,Q48,IF(Dados!$I$35=16,Q56,IF(Dados!$I$35=17,E72,IF(Dados!$I$35=18,E80,IF(Dados!$I$35=19,K56,IF(Dados!$I$35=20,K64,IF(Dados!$I$35=21,Q64)))))))))))))))))))))</f>
        <v>-4.1849926454408921</v>
      </c>
      <c r="F5" s="41"/>
      <c r="G5" s="41"/>
      <c r="H5" s="41"/>
      <c r="I5" s="41"/>
      <c r="J5" s="41"/>
      <c r="L5" s="112" t="s">
        <v>154</v>
      </c>
      <c r="M5" s="112">
        <v>91.1</v>
      </c>
      <c r="N5" s="112"/>
      <c r="S5" s="1"/>
    </row>
    <row r="6" spans="1:19" ht="15.75">
      <c r="A6" s="38" t="s">
        <v>5</v>
      </c>
      <c r="B6" s="39">
        <v>0.85</v>
      </c>
      <c r="D6" s="90" t="s">
        <v>132</v>
      </c>
      <c r="E6" s="92">
        <f>IF(Dados!$I$35=1,E41,IF(Dados!$I$35=2,E49,IF(Dados!$I$35=3,E57,IF(Dados!$I$35=4,E65,IF(Dados!$I$35=5,H41,IF(Dados!$I$35=6,H49,IF(Dados!$I$35=7,H57,IF(Dados!$I$35=8,K41,IF(Dados!$I$35=9,K49,IF(Dados!$I$35=10,N41,IF(Dados!$I$35=11,N49,IF(Dados!$I$35=12,N57,IF(Dados!$I$35=13,N65,IF(Dados!$I$35=14,Q41,IF(Dados!$I$35=15,Q49,IF(Dados!$I$35=16,Q57,IF(Dados!$I$35=17,E73,IF(Dados!$I$35=18,E81,IF(Dados!$I$35=19,K57,IF(Dados!$I$35=20,K65,IF(Dados!$I$35=21,Q65)))))))))))))))))))))</f>
        <v>283.88888888888891</v>
      </c>
      <c r="F6" s="41"/>
      <c r="G6" s="41"/>
      <c r="H6" s="41"/>
      <c r="I6" s="41"/>
      <c r="J6" s="41"/>
      <c r="L6" s="112" t="s">
        <v>155</v>
      </c>
      <c r="M6" s="112">
        <v>91.41</v>
      </c>
      <c r="N6" s="112"/>
      <c r="S6" s="1"/>
    </row>
    <row r="7" spans="1:19" ht="15.75">
      <c r="A7" s="40"/>
      <c r="B7" s="40"/>
      <c r="D7" s="53" t="s">
        <v>128</v>
      </c>
      <c r="E7" s="119">
        <f>IF(Dados!$I$35=1,E42,IF(Dados!$I$35=2,E50,IF(Dados!$I$35=3,E58,IF(Dados!$I$35=4,E66,IF(Dados!$I$35=5,H42,IF(Dados!$I$35=6,H50,IF(Dados!$I$35=7,H58,IF(Dados!$I$35=8,K42,IF(Dados!$I$35=9,K50,IF(Dados!$I$35=10,N42,IF(Dados!$I$35=11,N50,IF(Dados!$I$35=12,N58,IF(Dados!$I$35=13,N66,IF(Dados!$I$35=14,Q42,IF(Dados!$I$35=15,Q50,IF(Dados!$I$35=16,Q58,IF(Dados!$I$35=17,E74,IF(Dados!$I$35=18,E82,IF(Dados!$I$35=19,K58,IF(Dados!$I$35=20,K66,IF(Dados!$I$35=21,Q66)))))))))))))))))))))</f>
        <v>28.613043481916979</v>
      </c>
      <c r="F7" s="41"/>
      <c r="G7" s="41"/>
      <c r="H7" s="41"/>
      <c r="I7" s="41"/>
      <c r="J7" s="41"/>
      <c r="L7" s="112" t="s">
        <v>156</v>
      </c>
      <c r="M7" s="112">
        <f>(M5*N8)+(M6*N9)</f>
        <v>91.304600000000008</v>
      </c>
      <c r="N7" s="112"/>
    </row>
    <row r="8" spans="1:19" ht="15.75">
      <c r="A8" s="227" t="s">
        <v>3</v>
      </c>
      <c r="B8" s="228"/>
      <c r="F8" s="41"/>
      <c r="G8" s="41"/>
      <c r="H8" s="41"/>
      <c r="I8" s="41"/>
      <c r="J8" s="41"/>
      <c r="L8" s="113" t="s">
        <v>157</v>
      </c>
      <c r="M8" s="113">
        <v>34</v>
      </c>
      <c r="N8" s="113">
        <f>M8/100</f>
        <v>0.34</v>
      </c>
      <c r="P8">
        <v>320</v>
      </c>
      <c r="Q8" t="s">
        <v>202</v>
      </c>
    </row>
    <row r="9" spans="1:19" ht="15.75">
      <c r="A9" s="229">
        <v>73.332999999999998</v>
      </c>
      <c r="B9" s="230"/>
      <c r="D9" s="41"/>
      <c r="E9" s="41"/>
      <c r="F9" s="41"/>
      <c r="G9" s="41"/>
      <c r="H9" s="41"/>
      <c r="I9" s="41"/>
      <c r="J9" s="41"/>
      <c r="L9" s="113" t="s">
        <v>158</v>
      </c>
      <c r="M9" s="113">
        <v>66</v>
      </c>
      <c r="N9" s="113">
        <f>M9/100</f>
        <v>0.66</v>
      </c>
    </row>
    <row r="10" spans="1:19">
      <c r="A10" s="231" t="s">
        <v>16</v>
      </c>
      <c r="B10" s="232"/>
      <c r="D10" s="41"/>
      <c r="E10" s="41"/>
      <c r="F10" s="41"/>
      <c r="G10" s="41"/>
      <c r="H10" s="41"/>
      <c r="I10" s="41"/>
      <c r="J10" s="41"/>
    </row>
    <row r="11" spans="1:19" ht="15.75">
      <c r="A11" s="18" t="s">
        <v>17</v>
      </c>
      <c r="B11" s="18" t="s">
        <v>18</v>
      </c>
      <c r="D11" s="41"/>
      <c r="E11" s="41"/>
      <c r="F11" s="41"/>
      <c r="G11" s="41"/>
      <c r="H11" s="41"/>
      <c r="I11" s="41"/>
      <c r="J11" s="41"/>
    </row>
    <row r="12" spans="1:19" ht="15.75">
      <c r="A12" s="131">
        <f>A9</f>
        <v>73.332999999999998</v>
      </c>
      <c r="B12" s="132">
        <f>360-A9</f>
        <v>286.66700000000003</v>
      </c>
      <c r="D12" s="41"/>
      <c r="E12" s="41"/>
      <c r="F12" s="41"/>
      <c r="G12" s="41"/>
      <c r="H12" s="41"/>
      <c r="I12" s="41"/>
      <c r="J12" s="41"/>
      <c r="P12" t="s">
        <v>162</v>
      </c>
    </row>
    <row r="13" spans="1:19" ht="15.75">
      <c r="A13" s="18" t="s">
        <v>19</v>
      </c>
      <c r="B13" s="19" t="s">
        <v>20</v>
      </c>
      <c r="D13" s="41"/>
      <c r="E13" s="41"/>
      <c r="F13" s="41"/>
      <c r="G13" s="41"/>
      <c r="H13" s="41"/>
      <c r="I13" s="41"/>
      <c r="J13" s="41"/>
    </row>
    <row r="14" spans="1:19" ht="15.75">
      <c r="A14" s="131">
        <f>ABS(A9-90)+90</f>
        <v>106.667</v>
      </c>
      <c r="B14" s="133">
        <f>A9-90+270</f>
        <v>253.333</v>
      </c>
      <c r="F14" s="41"/>
      <c r="G14" s="41"/>
      <c r="H14" s="41"/>
      <c r="I14" s="41"/>
      <c r="J14" s="218"/>
      <c r="K14" s="217" t="s">
        <v>235</v>
      </c>
      <c r="L14" s="217" t="s">
        <v>234</v>
      </c>
    </row>
    <row r="15" spans="1:19" ht="15.75" thickBot="1">
      <c r="A15" s="123"/>
      <c r="B15" s="122"/>
      <c r="F15" s="41"/>
      <c r="G15" s="41"/>
      <c r="H15" s="41"/>
      <c r="I15" s="41"/>
      <c r="J15" s="215" t="s">
        <v>233</v>
      </c>
      <c r="K15" s="217">
        <f>SUM(K16:K27)</f>
        <v>214</v>
      </c>
      <c r="L15" s="217">
        <f>SUM(L16:L27)</f>
        <v>86</v>
      </c>
    </row>
    <row r="16" spans="1:19" ht="15" customHeight="1">
      <c r="A16" s="233" t="s">
        <v>21</v>
      </c>
      <c r="B16" s="234"/>
      <c r="D16" s="156" t="s">
        <v>163</v>
      </c>
      <c r="E16" s="42">
        <v>4</v>
      </c>
      <c r="F16" s="41"/>
      <c r="G16" s="41"/>
      <c r="H16" s="41"/>
      <c r="I16" s="41"/>
      <c r="J16" s="216">
        <v>82</v>
      </c>
      <c r="K16" s="215">
        <f t="shared" ref="K16:K27" si="0">IF(J16&gt;0,ABS(J16-28),0)</f>
        <v>54</v>
      </c>
      <c r="L16" s="215">
        <f t="shared" ref="L16:L27" si="1">IF(J16&gt;0,ABS(J16-88),0)</f>
        <v>6</v>
      </c>
    </row>
    <row r="17" spans="1:18">
      <c r="A17" s="20" t="s">
        <v>22</v>
      </c>
      <c r="B17" s="21">
        <v>86</v>
      </c>
      <c r="D17" s="154" t="s">
        <v>186</v>
      </c>
      <c r="E17" s="43">
        <f>(B17/30)*COS(RADIANS(B18))</f>
        <v>1.8784359062401523</v>
      </c>
      <c r="F17" s="41"/>
      <c r="G17" s="41"/>
      <c r="H17" s="41"/>
      <c r="I17" s="41"/>
      <c r="J17" s="216">
        <v>76</v>
      </c>
      <c r="K17" s="215">
        <f t="shared" si="0"/>
        <v>48</v>
      </c>
      <c r="L17" s="215">
        <f t="shared" si="1"/>
        <v>12</v>
      </c>
    </row>
    <row r="18" spans="1:18">
      <c r="A18" s="20" t="s">
        <v>3</v>
      </c>
      <c r="B18" s="21">
        <v>49.06</v>
      </c>
      <c r="D18" s="154" t="s">
        <v>236</v>
      </c>
      <c r="E18" s="43">
        <f>(B17/31)*COS(RADIANS(B18))</f>
        <v>1.8178411995872443</v>
      </c>
      <c r="F18" s="41"/>
      <c r="G18" s="41"/>
      <c r="H18" s="41"/>
      <c r="I18" s="41"/>
      <c r="J18" s="216">
        <v>71</v>
      </c>
      <c r="K18" s="215">
        <f t="shared" si="0"/>
        <v>43</v>
      </c>
      <c r="L18" s="215">
        <f t="shared" si="1"/>
        <v>17</v>
      </c>
    </row>
    <row r="19" spans="1:18">
      <c r="A19" s="20" t="s">
        <v>34</v>
      </c>
      <c r="B19" s="21">
        <f>IF(E16=4,E17,IF(E16=8,E18))</f>
        <v>1.8784359062401523</v>
      </c>
      <c r="J19" s="216">
        <v>65</v>
      </c>
      <c r="K19" s="215">
        <f t="shared" si="0"/>
        <v>37</v>
      </c>
      <c r="L19" s="215">
        <f t="shared" si="1"/>
        <v>23</v>
      </c>
    </row>
    <row r="20" spans="1:18">
      <c r="A20" s="227" t="s">
        <v>161</v>
      </c>
      <c r="B20" s="228"/>
      <c r="C20" s="120"/>
      <c r="H20" s="153"/>
      <c r="J20" s="216">
        <v>60</v>
      </c>
      <c r="K20" s="215">
        <f t="shared" si="0"/>
        <v>32</v>
      </c>
      <c r="L20" s="215">
        <f t="shared" si="1"/>
        <v>28</v>
      </c>
    </row>
    <row r="21" spans="1:18">
      <c r="A21" s="123"/>
      <c r="B21" s="122"/>
      <c r="C21" s="120"/>
      <c r="J21" s="216"/>
      <c r="K21" s="215">
        <f t="shared" si="0"/>
        <v>0</v>
      </c>
      <c r="L21" s="215">
        <f t="shared" si="1"/>
        <v>0</v>
      </c>
    </row>
    <row r="22" spans="1:18" ht="15" customHeight="1">
      <c r="A22" s="155" t="s">
        <v>51</v>
      </c>
      <c r="B22" s="134" t="s">
        <v>98</v>
      </c>
      <c r="C22" s="120"/>
      <c r="J22" s="216"/>
      <c r="K22" s="215">
        <f t="shared" si="0"/>
        <v>0</v>
      </c>
      <c r="L22" s="215">
        <f t="shared" si="1"/>
        <v>0</v>
      </c>
    </row>
    <row r="23" spans="1:18">
      <c r="A23" s="155" t="s">
        <v>53</v>
      </c>
      <c r="B23" s="42">
        <v>10</v>
      </c>
      <c r="J23" s="216"/>
      <c r="K23" s="215">
        <f t="shared" si="0"/>
        <v>0</v>
      </c>
      <c r="L23" s="215">
        <f t="shared" si="1"/>
        <v>0</v>
      </c>
    </row>
    <row r="24" spans="1:18">
      <c r="A24" s="43">
        <f>'Pin++'!J23</f>
        <v>229.94</v>
      </c>
      <c r="B24" s="43">
        <f>'Pin++'!K23</f>
        <v>-11.9</v>
      </c>
      <c r="C24" s="122"/>
      <c r="I24" s="41"/>
      <c r="J24" s="216"/>
      <c r="K24" s="215">
        <f t="shared" si="0"/>
        <v>0</v>
      </c>
      <c r="L24" s="215">
        <f t="shared" si="1"/>
        <v>0</v>
      </c>
      <c r="O24" s="41"/>
    </row>
    <row r="25" spans="1:18">
      <c r="A25" s="43">
        <f>'Pin++'!L23</f>
        <v>239.4</v>
      </c>
      <c r="B25" s="43">
        <f>'Pin++'!M23</f>
        <v>-11.8</v>
      </c>
      <c r="C25" s="122"/>
      <c r="F25" s="41"/>
      <c r="I25" s="41"/>
      <c r="J25" s="216"/>
      <c r="K25" s="215">
        <f t="shared" si="0"/>
        <v>0</v>
      </c>
      <c r="L25" s="215">
        <f t="shared" si="1"/>
        <v>0</v>
      </c>
      <c r="O25" s="41"/>
    </row>
    <row r="26" spans="1:18">
      <c r="A26" s="43">
        <f>'Pin++'!N23</f>
        <v>247.29</v>
      </c>
      <c r="B26" s="43">
        <f>'Pin++'!O23</f>
        <v>-11.5</v>
      </c>
      <c r="C26" s="122"/>
      <c r="F26" s="41"/>
      <c r="I26" s="41"/>
      <c r="J26" s="216"/>
      <c r="K26" s="215">
        <f t="shared" si="0"/>
        <v>0</v>
      </c>
      <c r="L26" s="215">
        <f t="shared" si="1"/>
        <v>0</v>
      </c>
      <c r="O26" s="41"/>
    </row>
    <row r="27" spans="1:18">
      <c r="F27" s="41"/>
      <c r="I27" s="41"/>
      <c r="J27" s="216"/>
      <c r="K27" s="215">
        <f t="shared" si="0"/>
        <v>0</v>
      </c>
      <c r="L27" s="215">
        <f t="shared" si="1"/>
        <v>0</v>
      </c>
      <c r="O27" s="41"/>
    </row>
    <row r="28" spans="1:18">
      <c r="A28" t="s">
        <v>237</v>
      </c>
      <c r="B28" t="s">
        <v>238</v>
      </c>
      <c r="F28" s="41"/>
      <c r="I28" s="41"/>
      <c r="J28" s="216"/>
      <c r="K28" s="215">
        <f t="shared" ref="K28:K34" si="2">IF(J28&gt;0,ABS(J28-28),0)</f>
        <v>0</v>
      </c>
      <c r="L28" s="215">
        <f t="shared" ref="L28:L34" si="3">IF(J28&gt;0,ABS(J28-88),0)</f>
        <v>0</v>
      </c>
      <c r="O28" s="41"/>
      <c r="R28" s="41"/>
    </row>
    <row r="29" spans="1:18">
      <c r="A29" t="s">
        <v>239</v>
      </c>
      <c r="F29" s="41"/>
      <c r="I29" s="41"/>
      <c r="J29" s="216"/>
      <c r="K29" s="215">
        <f t="shared" si="2"/>
        <v>0</v>
      </c>
      <c r="L29" s="215">
        <f t="shared" si="3"/>
        <v>0</v>
      </c>
      <c r="O29" s="41"/>
      <c r="R29" s="41"/>
    </row>
    <row r="30" spans="1:18">
      <c r="F30" s="41"/>
      <c r="I30" s="41"/>
      <c r="J30" s="216"/>
      <c r="K30" s="215">
        <f t="shared" si="2"/>
        <v>0</v>
      </c>
      <c r="L30" s="215">
        <f t="shared" si="3"/>
        <v>0</v>
      </c>
      <c r="O30" s="41"/>
      <c r="R30" s="41"/>
    </row>
    <row r="31" spans="1:18">
      <c r="A31" t="s">
        <v>47</v>
      </c>
      <c r="B31" t="s">
        <v>48</v>
      </c>
      <c r="F31" s="41"/>
      <c r="I31" s="41"/>
      <c r="J31" s="216"/>
      <c r="K31" s="215">
        <f t="shared" si="2"/>
        <v>0</v>
      </c>
      <c r="L31" s="215">
        <f t="shared" si="3"/>
        <v>0</v>
      </c>
      <c r="O31" s="41"/>
      <c r="R31" s="41"/>
    </row>
    <row r="32" spans="1:18">
      <c r="B32" t="s">
        <v>49</v>
      </c>
      <c r="F32" s="41"/>
      <c r="I32" s="41"/>
      <c r="J32" s="216"/>
      <c r="K32" s="215">
        <f t="shared" si="2"/>
        <v>0</v>
      </c>
      <c r="L32" s="215">
        <f t="shared" si="3"/>
        <v>0</v>
      </c>
      <c r="O32" s="41"/>
      <c r="R32" s="41"/>
    </row>
    <row r="33" spans="1:18">
      <c r="A33" t="s">
        <v>146</v>
      </c>
      <c r="B33" t="s">
        <v>147</v>
      </c>
      <c r="F33" s="41"/>
      <c r="I33" s="41"/>
      <c r="J33" s="216"/>
      <c r="K33" s="215">
        <f t="shared" si="2"/>
        <v>0</v>
      </c>
      <c r="L33" s="215">
        <f t="shared" si="3"/>
        <v>0</v>
      </c>
      <c r="O33" s="41"/>
      <c r="R33" s="41"/>
    </row>
    <row r="34" spans="1:18">
      <c r="B34" t="s">
        <v>148</v>
      </c>
      <c r="F34" s="41"/>
      <c r="I34" s="41"/>
      <c r="J34" s="216"/>
      <c r="K34" s="215">
        <f t="shared" si="2"/>
        <v>0</v>
      </c>
      <c r="L34" s="215">
        <f t="shared" si="3"/>
        <v>0</v>
      </c>
      <c r="O34" s="41"/>
      <c r="R34" s="41"/>
    </row>
    <row r="35" spans="1:18" ht="15.75" thickBot="1"/>
    <row r="36" spans="1:18" ht="15.75" thickBot="1">
      <c r="D36" s="225" t="s">
        <v>74</v>
      </c>
      <c r="E36" s="226"/>
      <c r="F36" s="41"/>
      <c r="G36" s="225" t="s">
        <v>77</v>
      </c>
      <c r="H36" s="226"/>
      <c r="I36" s="41"/>
      <c r="J36" s="220" t="s">
        <v>80</v>
      </c>
      <c r="K36" s="221"/>
      <c r="L36" s="41"/>
      <c r="M36" s="220" t="s">
        <v>82</v>
      </c>
      <c r="N36" s="221"/>
      <c r="O36" s="41"/>
      <c r="P36" s="220" t="s">
        <v>86</v>
      </c>
      <c r="Q36" s="221"/>
      <c r="R36" s="41"/>
    </row>
    <row r="37" spans="1:18">
      <c r="D37" s="83" t="s">
        <v>131</v>
      </c>
      <c r="E37" s="84"/>
      <c r="F37" s="41"/>
      <c r="G37" s="83" t="s">
        <v>131</v>
      </c>
      <c r="H37" s="84"/>
      <c r="I37" s="41"/>
      <c r="J37" s="83" t="s">
        <v>131</v>
      </c>
      <c r="K37" s="84"/>
      <c r="L37" s="41"/>
      <c r="M37" s="83" t="s">
        <v>131</v>
      </c>
      <c r="N37" s="84"/>
      <c r="O37" s="41"/>
      <c r="P37" s="83" t="s">
        <v>131</v>
      </c>
      <c r="Q37" s="84"/>
      <c r="R37" s="41"/>
    </row>
    <row r="38" spans="1:18">
      <c r="D38" s="86" t="s">
        <v>125</v>
      </c>
      <c r="E38" s="87"/>
      <c r="F38" s="41"/>
      <c r="G38" s="86" t="s">
        <v>60</v>
      </c>
      <c r="H38" s="87"/>
      <c r="I38" s="41"/>
      <c r="J38" s="86" t="s">
        <v>60</v>
      </c>
      <c r="K38" s="87"/>
      <c r="L38" s="41"/>
      <c r="M38" s="86" t="s">
        <v>60</v>
      </c>
      <c r="N38" s="87"/>
      <c r="O38" s="41"/>
      <c r="P38" s="86" t="s">
        <v>60</v>
      </c>
      <c r="Q38" s="87"/>
      <c r="R38" s="41"/>
    </row>
    <row r="39" spans="1:18">
      <c r="D39" s="86" t="s">
        <v>45</v>
      </c>
      <c r="E39" s="87">
        <f>'1w Dunk 11s'!F2</f>
        <v>104.39682025975253</v>
      </c>
      <c r="F39" s="41"/>
      <c r="G39" s="86" t="s">
        <v>45</v>
      </c>
      <c r="H39" s="87">
        <f>'2w Dunk 11s'!F2</f>
        <v>109.72082281488316</v>
      </c>
      <c r="I39" s="41"/>
      <c r="J39" s="86" t="s">
        <v>45</v>
      </c>
      <c r="K39" s="87">
        <f>'3w 18s 7c'!A30</f>
        <v>206.3050992888393</v>
      </c>
      <c r="L39" s="41"/>
      <c r="M39" s="86" t="s">
        <v>45</v>
      </c>
      <c r="N39" s="87">
        <f>'1w Toma'!G3</f>
        <v>90.306066082735583</v>
      </c>
      <c r="O39" s="41"/>
      <c r="P39" s="86" t="s">
        <v>45</v>
      </c>
      <c r="Q39" s="87">
        <f>Spike7s!G3</f>
        <v>87.886826258365218</v>
      </c>
      <c r="R39" s="41"/>
    </row>
    <row r="40" spans="1:18">
      <c r="D40" s="86" t="s">
        <v>126</v>
      </c>
      <c r="E40" s="87">
        <f>'1w Dunk 11s'!F3/Dados!H8</f>
        <v>-5.326820111809341</v>
      </c>
      <c r="F40" s="41"/>
      <c r="G40" s="86" t="s">
        <v>126</v>
      </c>
      <c r="H40" s="87">
        <f>'2w Dunk 11s'!F3/Dados!H8</f>
        <v>-5.7730232224831806</v>
      </c>
      <c r="I40" s="41"/>
      <c r="J40" s="86" t="s">
        <v>126</v>
      </c>
      <c r="K40" s="87">
        <f>'3w 18s 7c'!B30/Dados!H8</f>
        <v>5940734.7621583631</v>
      </c>
      <c r="L40" s="41"/>
      <c r="M40" s="86" t="s">
        <v>126</v>
      </c>
      <c r="N40" s="87">
        <f>'1w Toma'!G4/Dados!H8</f>
        <v>-2.3337616510052452</v>
      </c>
      <c r="O40" s="41"/>
      <c r="P40" s="86" t="s">
        <v>126</v>
      </c>
      <c r="Q40" s="87">
        <f>Spike7s!G4/Dados!H8</f>
        <v>-3.9040801582239313</v>
      </c>
      <c r="R40" s="41"/>
    </row>
    <row r="41" spans="1:18">
      <c r="D41" s="86" t="s">
        <v>127</v>
      </c>
      <c r="E41" s="88">
        <f>'1w Dunk 11s'!F4</f>
        <v>287.5</v>
      </c>
      <c r="F41" s="41"/>
      <c r="G41" s="86" t="s">
        <v>127</v>
      </c>
      <c r="H41" s="88">
        <f>'2w Dunk 11s'!F4</f>
        <v>280.17777777777781</v>
      </c>
      <c r="I41" s="41"/>
      <c r="J41" s="86" t="s">
        <v>127</v>
      </c>
      <c r="K41" s="88">
        <f>'3w 18s 7c'!A32</f>
        <v>486.42222222222222</v>
      </c>
      <c r="L41" s="41"/>
      <c r="M41" s="86" t="s">
        <v>127</v>
      </c>
      <c r="N41" s="88">
        <f>'1w Toma'!G5</f>
        <v>264.42222222222222</v>
      </c>
      <c r="O41" s="41"/>
      <c r="P41" s="86" t="s">
        <v>127</v>
      </c>
      <c r="Q41" s="88">
        <f>Spike7s!G5</f>
        <v>257.12222222222221</v>
      </c>
      <c r="R41" s="41"/>
    </row>
    <row r="42" spans="1:18" ht="15.75" thickBot="1">
      <c r="D42" s="56" t="s">
        <v>128</v>
      </c>
      <c r="E42" s="89">
        <f>'1w Dunk 11s'!F5</f>
        <v>10.742381450105473</v>
      </c>
      <c r="F42" s="41"/>
      <c r="G42" s="56" t="s">
        <v>128</v>
      </c>
      <c r="H42" s="89">
        <f>'2w Dunk 11s'!F5</f>
        <v>10.992695647558234</v>
      </c>
      <c r="I42" s="41"/>
      <c r="J42" s="56" t="s">
        <v>128</v>
      </c>
      <c r="K42" s="89">
        <f>'3w 18s 7c'!B32</f>
        <v>17.69890992599084</v>
      </c>
      <c r="L42" s="41"/>
      <c r="M42" s="56" t="s">
        <v>128</v>
      </c>
      <c r="N42" s="89">
        <f>'1w Toma'!G6</f>
        <v>5.3886433078216367</v>
      </c>
      <c r="O42" s="41"/>
      <c r="P42" s="56" t="s">
        <v>128</v>
      </c>
      <c r="Q42" s="89">
        <f>Spike7s!G6</f>
        <v>6.3859944024494615</v>
      </c>
      <c r="R42" s="41"/>
    </row>
    <row r="43" spans="1:18" ht="15.75" thickBot="1"/>
    <row r="44" spans="1:18" ht="15.75" thickBot="1">
      <c r="D44" s="225" t="s">
        <v>75</v>
      </c>
      <c r="E44" s="226"/>
      <c r="F44" s="41"/>
      <c r="G44" s="225" t="s">
        <v>78</v>
      </c>
      <c r="H44" s="226"/>
      <c r="I44" s="41"/>
      <c r="J44" s="225" t="s">
        <v>81</v>
      </c>
      <c r="K44" s="226"/>
      <c r="L44" s="41"/>
      <c r="M44" s="225" t="s">
        <v>83</v>
      </c>
      <c r="N44" s="226"/>
      <c r="P44" s="225" t="s">
        <v>87</v>
      </c>
      <c r="Q44" s="226"/>
    </row>
    <row r="45" spans="1:18">
      <c r="D45" s="83" t="s">
        <v>131</v>
      </c>
      <c r="E45" s="84"/>
      <c r="F45" s="41"/>
      <c r="G45" s="83" t="s">
        <v>131</v>
      </c>
      <c r="H45" s="85"/>
      <c r="I45" s="41"/>
      <c r="J45" s="83" t="s">
        <v>131</v>
      </c>
      <c r="K45" s="85"/>
      <c r="L45" s="41"/>
      <c r="M45" s="83" t="s">
        <v>131</v>
      </c>
      <c r="N45" s="84"/>
      <c r="P45" s="83" t="s">
        <v>131</v>
      </c>
      <c r="Q45" s="85"/>
    </row>
    <row r="46" spans="1:18">
      <c r="D46" s="86" t="s">
        <v>60</v>
      </c>
      <c r="E46" s="87"/>
      <c r="F46" s="41"/>
      <c r="G46" s="86" t="s">
        <v>60</v>
      </c>
      <c r="H46" s="87"/>
      <c r="I46" s="41"/>
      <c r="J46" s="86" t="s">
        <v>60</v>
      </c>
      <c r="K46" s="87"/>
      <c r="L46" s="41"/>
      <c r="M46" s="86" t="s">
        <v>60</v>
      </c>
      <c r="N46" s="87"/>
      <c r="P46" s="86" t="s">
        <v>60</v>
      </c>
      <c r="Q46" s="87"/>
    </row>
    <row r="47" spans="1:18">
      <c r="D47" s="86" t="s">
        <v>45</v>
      </c>
      <c r="E47" s="87">
        <f>'1w Dunk 30s'!A30</f>
        <v>100.8112757191973</v>
      </c>
      <c r="F47" s="41"/>
      <c r="G47" s="86" t="s">
        <v>45</v>
      </c>
      <c r="H47" s="87">
        <f>'2w Dunk 30s'!A30</f>
        <v>105.95093986360448</v>
      </c>
      <c r="I47" s="41"/>
      <c r="J47" s="86" t="s">
        <v>45</v>
      </c>
      <c r="K47" s="87">
        <f>'3w Dunk 30s'!F2</f>
        <v>111.8999338750653</v>
      </c>
      <c r="L47" s="41"/>
      <c r="M47" s="86" t="s">
        <v>45</v>
      </c>
      <c r="N47" s="87"/>
      <c r="P47" s="86" t="s">
        <v>45</v>
      </c>
      <c r="Q47" s="87">
        <f>Spike30!A30</f>
        <v>105.99725400211932</v>
      </c>
    </row>
    <row r="48" spans="1:18">
      <c r="D48" s="86" t="s">
        <v>126</v>
      </c>
      <c r="E48" s="87">
        <f>'1w Dunk 30s'!B30/Dados!H8</f>
        <v>-5.222005640977609</v>
      </c>
      <c r="F48" s="41"/>
      <c r="G48" s="86" t="s">
        <v>126</v>
      </c>
      <c r="H48" s="87">
        <f>'2w Dunk 30s'!B30/Dados!H8</f>
        <v>-5.6892018350525104</v>
      </c>
      <c r="I48" s="41"/>
      <c r="J48" s="86" t="s">
        <v>126</v>
      </c>
      <c r="K48" s="87">
        <f>'3w Dunk 30s'!F3/Dados!H8</f>
        <v>-5.7721392304046475</v>
      </c>
      <c r="L48" s="41"/>
      <c r="M48" s="86" t="s">
        <v>126</v>
      </c>
      <c r="N48" s="87"/>
      <c r="P48" s="86" t="s">
        <v>126</v>
      </c>
      <c r="Q48" s="87">
        <f>Spike30!B30/Dados!H8</f>
        <v>-7.2529599280332189</v>
      </c>
    </row>
    <row r="49" spans="4:20">
      <c r="D49" s="86" t="s">
        <v>127</v>
      </c>
      <c r="E49" s="88">
        <f>'1w Dunk 30s'!A32</f>
        <v>277.53333333333336</v>
      </c>
      <c r="F49" s="41"/>
      <c r="G49" s="86" t="s">
        <v>127</v>
      </c>
      <c r="H49" s="88">
        <f>'2w Dunk 30s'!A32</f>
        <v>270.93333333333334</v>
      </c>
      <c r="I49" s="41"/>
      <c r="J49" s="86" t="s">
        <v>127</v>
      </c>
      <c r="K49" s="88">
        <f>'3w Dunk 30s'!F4</f>
        <v>263.53333333333336</v>
      </c>
      <c r="L49" s="41"/>
      <c r="M49" s="86" t="s">
        <v>127</v>
      </c>
      <c r="N49" s="88"/>
      <c r="P49" s="86" t="s">
        <v>127</v>
      </c>
      <c r="Q49" s="88">
        <f>Spike30!A32</f>
        <v>309.03333333333336</v>
      </c>
    </row>
    <row r="50" spans="4:20" ht="15.75" thickBot="1">
      <c r="D50" s="56" t="s">
        <v>128</v>
      </c>
      <c r="E50" s="89">
        <f>'1w Dunk 30s'!B32</f>
        <v>29.889281369986456</v>
      </c>
      <c r="F50" s="41"/>
      <c r="G50" s="56" t="s">
        <v>128</v>
      </c>
      <c r="H50" s="89">
        <f>'2w Dunk 30s'!B32</f>
        <v>29.248769867776751</v>
      </c>
      <c r="I50" s="41"/>
      <c r="J50" s="56" t="s">
        <v>128</v>
      </c>
      <c r="K50" s="89">
        <f>'3w Dunk 30s'!F5</f>
        <v>29.798357268883333</v>
      </c>
      <c r="L50" s="41"/>
      <c r="M50" s="56" t="s">
        <v>128</v>
      </c>
      <c r="N50" s="89"/>
      <c r="P50" s="56" t="s">
        <v>128</v>
      </c>
      <c r="Q50" s="89">
        <f>Spike30!B32</f>
        <v>29.629390368462474</v>
      </c>
    </row>
    <row r="51" spans="4:20" ht="15.75" thickBot="1">
      <c r="F51" s="41"/>
      <c r="I51" s="41"/>
      <c r="J51" s="41"/>
      <c r="K51" s="41"/>
      <c r="L51" s="41"/>
      <c r="O51" s="41"/>
      <c r="R51" s="41"/>
      <c r="S51" s="41"/>
      <c r="T51" s="41"/>
    </row>
    <row r="52" spans="4:20" ht="15.75" thickBot="1">
      <c r="D52" s="225" t="s">
        <v>130</v>
      </c>
      <c r="E52" s="226"/>
      <c r="F52" s="41"/>
      <c r="G52" s="225" t="s">
        <v>79</v>
      </c>
      <c r="H52" s="226"/>
      <c r="I52" s="41"/>
      <c r="J52" s="220" t="s">
        <v>227</v>
      </c>
      <c r="K52" s="221"/>
      <c r="L52" s="41"/>
      <c r="M52" s="225" t="s">
        <v>84</v>
      </c>
      <c r="N52" s="226"/>
      <c r="O52" s="41"/>
      <c r="P52" s="225" t="s">
        <v>129</v>
      </c>
      <c r="Q52" s="226"/>
      <c r="R52" s="41"/>
      <c r="S52" s="41"/>
      <c r="T52" s="41"/>
    </row>
    <row r="53" spans="4:20">
      <c r="D53" s="83" t="s">
        <v>131</v>
      </c>
      <c r="E53" s="84"/>
      <c r="F53" s="41"/>
      <c r="G53" s="83" t="s">
        <v>131</v>
      </c>
      <c r="H53" s="85"/>
      <c r="I53" s="41"/>
      <c r="J53" s="83" t="s">
        <v>131</v>
      </c>
      <c r="K53" s="84"/>
      <c r="L53" s="41"/>
      <c r="M53" s="83" t="s">
        <v>131</v>
      </c>
      <c r="N53" s="84"/>
      <c r="O53" s="41"/>
      <c r="P53" s="83" t="s">
        <v>131</v>
      </c>
      <c r="Q53" s="84"/>
      <c r="R53" s="41"/>
      <c r="S53" s="41"/>
      <c r="T53" s="41"/>
    </row>
    <row r="54" spans="4:20">
      <c r="D54" s="86" t="s">
        <v>125</v>
      </c>
      <c r="E54" s="87"/>
      <c r="F54" s="41"/>
      <c r="G54" s="86" t="s">
        <v>60</v>
      </c>
      <c r="H54" s="87"/>
      <c r="I54" s="41"/>
      <c r="J54" s="86" t="s">
        <v>60</v>
      </c>
      <c r="K54" s="87"/>
      <c r="L54" s="41"/>
      <c r="M54" s="86" t="s">
        <v>60</v>
      </c>
      <c r="N54" s="87"/>
      <c r="O54" s="41"/>
      <c r="P54" s="86" t="s">
        <v>60</v>
      </c>
      <c r="Q54" s="87"/>
      <c r="R54" s="41"/>
      <c r="S54" s="41"/>
      <c r="T54" s="41"/>
    </row>
    <row r="55" spans="4:20">
      <c r="D55" s="86" t="s">
        <v>45</v>
      </c>
      <c r="E55" s="87">
        <f>'1w Dunk 1PS 30s'!A30</f>
        <v>96.953245207037696</v>
      </c>
      <c r="F55" s="41"/>
      <c r="G55" s="86" t="s">
        <v>45</v>
      </c>
      <c r="H55" s="87"/>
      <c r="I55" s="41"/>
      <c r="J55" s="86" t="s">
        <v>45</v>
      </c>
      <c r="K55" s="87">
        <f>'3w 18s 7c'!A30</f>
        <v>206.3050992888393</v>
      </c>
      <c r="L55" s="41"/>
      <c r="M55" s="86" t="s">
        <v>45</v>
      </c>
      <c r="N55" s="87"/>
      <c r="O55" s="41"/>
      <c r="P55" s="86" t="s">
        <v>45</v>
      </c>
      <c r="Q55" s="87">
        <f>'Spike 2ps 30s'!G3</f>
        <v>50511.005721607711</v>
      </c>
      <c r="R55" s="41"/>
      <c r="S55" s="41"/>
      <c r="T55" s="41"/>
    </row>
    <row r="56" spans="4:20">
      <c r="D56" s="86" t="s">
        <v>126</v>
      </c>
      <c r="E56" s="87">
        <f>'1w Dunk 1PS 30s'!B30/Dados!H8</f>
        <v>-4.1849926454408921</v>
      </c>
      <c r="F56" s="41"/>
      <c r="G56" s="86" t="s">
        <v>126</v>
      </c>
      <c r="H56" s="87"/>
      <c r="I56" s="41"/>
      <c r="J56" s="86" t="s">
        <v>126</v>
      </c>
      <c r="K56" s="87">
        <f>'3w 18s 7c'!B30</f>
        <v>267333064.29712635</v>
      </c>
      <c r="L56" s="41"/>
      <c r="M56" s="86" t="s">
        <v>126</v>
      </c>
      <c r="N56" s="87"/>
      <c r="O56" s="41"/>
      <c r="P56" s="86" t="s">
        <v>126</v>
      </c>
      <c r="Q56" s="87">
        <f>'Spike 2ps 30s'!G4/Dados!H8</f>
        <v>-25673961.28296797</v>
      </c>
      <c r="R56" s="41"/>
      <c r="S56" s="41"/>
      <c r="T56" s="41"/>
    </row>
    <row r="57" spans="4:20">
      <c r="D57" s="86" t="s">
        <v>127</v>
      </c>
      <c r="E57" s="88">
        <f>'1w Dunk 1PS 30s'!A32</f>
        <v>283.88888888888891</v>
      </c>
      <c r="F57" s="41"/>
      <c r="G57" s="86" t="s">
        <v>127</v>
      </c>
      <c r="H57" s="88"/>
      <c r="I57" s="41"/>
      <c r="J57" s="86" t="s">
        <v>127</v>
      </c>
      <c r="K57" s="88">
        <f>'3w 18s 7c'!A32</f>
        <v>486.42222222222222</v>
      </c>
      <c r="L57" s="41"/>
      <c r="M57" s="86" t="s">
        <v>127</v>
      </c>
      <c r="N57" s="88"/>
      <c r="O57" s="41"/>
      <c r="P57" s="86" t="s">
        <v>127</v>
      </c>
      <c r="Q57" s="88">
        <f>'Spike 2ps 30s'!G5</f>
        <v>152542.71666666667</v>
      </c>
      <c r="R57" s="41"/>
      <c r="S57" s="41"/>
      <c r="T57" s="41"/>
    </row>
    <row r="58" spans="4:20" ht="15.75" thickBot="1">
      <c r="D58" s="56" t="s">
        <v>128</v>
      </c>
      <c r="E58" s="89">
        <f>'1w Dunk 1PS 30s'!B32</f>
        <v>28.613043481916979</v>
      </c>
      <c r="F58" s="41"/>
      <c r="G58" s="56" t="s">
        <v>128</v>
      </c>
      <c r="H58" s="89"/>
      <c r="I58" s="41"/>
      <c r="J58" s="56" t="s">
        <v>128</v>
      </c>
      <c r="K58" s="89">
        <f>'3w 18s 7c'!B32</f>
        <v>17.69890992599084</v>
      </c>
      <c r="L58" s="41"/>
      <c r="M58" s="56" t="s">
        <v>128</v>
      </c>
      <c r="N58" s="89"/>
      <c r="O58" s="41"/>
      <c r="P58" s="56" t="s">
        <v>128</v>
      </c>
      <c r="Q58" s="89">
        <f>'Spike 2ps 30s'!G6</f>
        <v>29.641993678903606</v>
      </c>
      <c r="R58" s="41"/>
      <c r="S58" s="41"/>
      <c r="T58" s="41"/>
    </row>
    <row r="59" spans="4:20" ht="15.75" thickBot="1">
      <c r="D59" s="41"/>
      <c r="E59" s="41"/>
      <c r="M59" s="41"/>
      <c r="N59" s="41"/>
      <c r="O59" s="41"/>
      <c r="P59" s="41"/>
      <c r="Q59" s="41"/>
      <c r="R59" s="41"/>
      <c r="S59" s="41"/>
      <c r="T59" s="41"/>
    </row>
    <row r="60" spans="4:20" ht="15.75" thickBot="1">
      <c r="D60" s="225" t="s">
        <v>76</v>
      </c>
      <c r="E60" s="226"/>
      <c r="J60" s="220" t="s">
        <v>228</v>
      </c>
      <c r="K60" s="221"/>
      <c r="M60" s="225" t="s">
        <v>85</v>
      </c>
      <c r="N60" s="226"/>
      <c r="O60" s="41"/>
      <c r="P60" s="220" t="s">
        <v>229</v>
      </c>
      <c r="Q60" s="221"/>
      <c r="R60" s="41"/>
      <c r="S60" s="41"/>
      <c r="T60" s="41"/>
    </row>
    <row r="61" spans="4:20">
      <c r="D61" s="83" t="s">
        <v>131</v>
      </c>
      <c r="E61" s="85"/>
      <c r="J61" s="83" t="s">
        <v>131</v>
      </c>
      <c r="K61" s="84"/>
      <c r="M61" s="83" t="s">
        <v>131</v>
      </c>
      <c r="N61" s="84"/>
      <c r="O61" s="41"/>
      <c r="P61" s="83" t="s">
        <v>131</v>
      </c>
      <c r="Q61" s="84"/>
      <c r="R61" s="41"/>
      <c r="S61" s="41"/>
      <c r="T61" s="41"/>
    </row>
    <row r="62" spans="4:20">
      <c r="D62" s="86" t="s">
        <v>60</v>
      </c>
      <c r="E62" s="87"/>
      <c r="J62" s="86" t="s">
        <v>60</v>
      </c>
      <c r="K62" s="87"/>
      <c r="M62" s="86" t="s">
        <v>60</v>
      </c>
      <c r="N62" s="87"/>
      <c r="O62" s="41"/>
      <c r="P62" s="86" t="s">
        <v>60</v>
      </c>
      <c r="Q62" s="87"/>
      <c r="R62" s="41"/>
      <c r="S62" s="41"/>
      <c r="T62" s="41"/>
    </row>
    <row r="63" spans="4:20">
      <c r="D63" s="86" t="s">
        <v>45</v>
      </c>
      <c r="E63" s="87">
        <f>'1w Dunk 2PS 30s'!A30</f>
        <v>95.157818319024116</v>
      </c>
      <c r="F63" s="41"/>
      <c r="I63" s="41"/>
      <c r="J63" s="86" t="s">
        <v>45</v>
      </c>
      <c r="K63" s="87">
        <f>'3w 18s 7c'!A75</f>
        <v>257.35122358648505</v>
      </c>
      <c r="L63" s="41"/>
      <c r="M63" s="86" t="s">
        <v>45</v>
      </c>
      <c r="N63" s="87"/>
      <c r="O63" s="41"/>
      <c r="P63" s="86" t="s">
        <v>45</v>
      </c>
      <c r="Q63" s="87">
        <f>'2i 180Y 30s'!A30</f>
        <v>126.8387491075506</v>
      </c>
      <c r="R63" s="41"/>
      <c r="S63" s="41"/>
      <c r="T63" s="41"/>
    </row>
    <row r="64" spans="4:20">
      <c r="D64" s="86" t="s">
        <v>126</v>
      </c>
      <c r="E64" s="87">
        <f>'1w Dunk 2PS 30s'!B30/Dados!H8</f>
        <v>-3.7362934398275041</v>
      </c>
      <c r="J64" s="86" t="s">
        <v>126</v>
      </c>
      <c r="K64" s="87">
        <f>'3w 18s 7c'!B75</f>
        <v>412682449.96793056</v>
      </c>
      <c r="M64" s="86" t="s">
        <v>126</v>
      </c>
      <c r="N64" s="87"/>
      <c r="O64" s="41"/>
      <c r="P64" s="86" t="s">
        <v>126</v>
      </c>
      <c r="Q64" s="87">
        <f>'2i 180Y 30s'!B30/Dados!H8</f>
        <v>-10.003693454722258</v>
      </c>
      <c r="R64" s="41"/>
      <c r="S64" s="41"/>
      <c r="T64" s="41"/>
    </row>
    <row r="65" spans="4:20">
      <c r="D65" s="86" t="s">
        <v>127</v>
      </c>
      <c r="E65" s="88">
        <f>'1w Dunk 2PS 30s'!A32</f>
        <v>287.73888888888888</v>
      </c>
      <c r="J65" s="86" t="s">
        <v>127</v>
      </c>
      <c r="K65" s="87">
        <f>'3w 18s 7c'!A77</f>
        <v>607.04444444444448</v>
      </c>
      <c r="M65" s="86" t="s">
        <v>127</v>
      </c>
      <c r="N65" s="88"/>
      <c r="O65" s="41"/>
      <c r="P65" s="86" t="s">
        <v>127</v>
      </c>
      <c r="Q65" s="87">
        <f>'2i 180Y 30s'!A32</f>
        <v>228</v>
      </c>
      <c r="R65" s="41"/>
      <c r="S65" s="41"/>
      <c r="T65" s="41"/>
    </row>
    <row r="66" spans="4:20" ht="15.75" thickBot="1">
      <c r="D66" s="56" t="s">
        <v>128</v>
      </c>
      <c r="E66" s="89">
        <f>'1w Dunk 2PS 30s'!B32</f>
        <v>29.394945957526545</v>
      </c>
      <c r="J66" s="56" t="s">
        <v>128</v>
      </c>
      <c r="K66" s="89">
        <f>'3w 18s 7c'!B77</f>
        <v>17.465385648630903</v>
      </c>
      <c r="M66" s="56" t="s">
        <v>128</v>
      </c>
      <c r="N66" s="89"/>
      <c r="O66" s="41"/>
      <c r="P66" s="56" t="s">
        <v>128</v>
      </c>
      <c r="Q66" s="89">
        <f>'2i 180Y 30s'!B32</f>
        <v>29.613222949019068</v>
      </c>
      <c r="R66" s="41"/>
      <c r="S66" s="41"/>
      <c r="T66" s="41"/>
    </row>
    <row r="67" spans="4:20" ht="15.75" thickBot="1">
      <c r="O67" s="41"/>
      <c r="P67" s="41"/>
      <c r="Q67" s="41"/>
      <c r="R67" s="41"/>
      <c r="S67" s="41"/>
      <c r="T67" s="41"/>
    </row>
    <row r="68" spans="4:20" ht="15.75" thickBot="1">
      <c r="D68" s="220" t="s">
        <v>222</v>
      </c>
      <c r="E68" s="221"/>
      <c r="O68" s="41"/>
      <c r="P68" s="41"/>
      <c r="Q68" s="41"/>
      <c r="R68" s="41"/>
      <c r="S68" s="41"/>
      <c r="T68" s="41"/>
    </row>
    <row r="69" spans="4:20">
      <c r="D69" s="83" t="s">
        <v>131</v>
      </c>
      <c r="E69" s="84"/>
      <c r="O69" s="41"/>
      <c r="P69" s="41"/>
      <c r="Q69" s="41"/>
      <c r="R69" s="41"/>
      <c r="S69" s="41"/>
      <c r="T69" s="41"/>
    </row>
    <row r="70" spans="4:20">
      <c r="D70" s="86" t="s">
        <v>60</v>
      </c>
      <c r="E70" s="87"/>
      <c r="O70" s="41"/>
      <c r="P70" s="41"/>
      <c r="Q70" s="41"/>
      <c r="R70" s="41"/>
      <c r="S70" s="41"/>
      <c r="T70" s="41"/>
    </row>
    <row r="71" spans="4:20">
      <c r="D71" s="86" t="s">
        <v>45</v>
      </c>
      <c r="E71" s="87">
        <f>'1w 15s 11c'!B36</f>
        <v>99.734764836887479</v>
      </c>
      <c r="O71" s="41"/>
      <c r="P71" s="41"/>
      <c r="Q71" s="41"/>
      <c r="R71" s="41"/>
      <c r="S71" s="41"/>
      <c r="T71" s="41"/>
    </row>
    <row r="72" spans="4:20">
      <c r="D72" s="86" t="s">
        <v>126</v>
      </c>
      <c r="E72" s="87">
        <f>'1w 15s 11c'!B37/Dados!H8</f>
        <v>-3.2689531730041681E-2</v>
      </c>
      <c r="O72" s="41"/>
      <c r="P72" s="41"/>
      <c r="Q72" s="41"/>
      <c r="R72" s="41"/>
      <c r="S72" s="41"/>
      <c r="T72" s="41"/>
    </row>
    <row r="73" spans="4:20">
      <c r="D73" s="86" t="s">
        <v>127</v>
      </c>
      <c r="E73" s="88">
        <f>'1w 15s 11c'!B38</f>
        <v>276</v>
      </c>
      <c r="O73" s="41"/>
      <c r="P73" s="41"/>
      <c r="Q73" s="41"/>
      <c r="R73" s="41"/>
      <c r="S73" s="41"/>
      <c r="T73" s="41"/>
    </row>
    <row r="74" spans="4:20" ht="15.75" thickBot="1">
      <c r="D74" s="56" t="s">
        <v>128</v>
      </c>
      <c r="E74" s="89">
        <f>'1w 15s 11c'!B39</f>
        <v>14.029933273672775</v>
      </c>
      <c r="O74" s="41"/>
      <c r="P74" s="41"/>
      <c r="Q74" s="41"/>
      <c r="R74" s="41"/>
      <c r="S74" s="41"/>
      <c r="T74" s="41"/>
    </row>
    <row r="75" spans="4:20" ht="15.75" thickBot="1"/>
    <row r="76" spans="4:20" ht="15.75" thickBot="1">
      <c r="D76" s="220" t="s">
        <v>226</v>
      </c>
      <c r="E76" s="221"/>
    </row>
    <row r="77" spans="4:20">
      <c r="D77" s="83" t="s">
        <v>131</v>
      </c>
      <c r="E77" s="84"/>
    </row>
    <row r="78" spans="4:20">
      <c r="D78" s="86" t="s">
        <v>60</v>
      </c>
      <c r="E78" s="87"/>
    </row>
    <row r="79" spans="4:20">
      <c r="D79" s="86" t="s">
        <v>45</v>
      </c>
      <c r="E79" s="87">
        <f>'1w 15s 11c'!B81</f>
        <v>99.645619023957522</v>
      </c>
    </row>
    <row r="80" spans="4:20">
      <c r="D80" s="86" t="s">
        <v>126</v>
      </c>
      <c r="E80" s="87">
        <f>'1w 15s 11c'!B82/Dados!H8</f>
        <v>-5.4549330096932369</v>
      </c>
    </row>
    <row r="81" spans="4:5">
      <c r="D81" s="86" t="s">
        <v>127</v>
      </c>
      <c r="E81" s="87">
        <f>'1w 15s 11c'!B83</f>
        <v>275.23333333333335</v>
      </c>
    </row>
    <row r="82" spans="4:5" ht="15.75" thickBot="1">
      <c r="D82" s="56" t="s">
        <v>128</v>
      </c>
      <c r="E82" s="89">
        <f>'1w 15s 11c'!B84</f>
        <v>14.719357556022945</v>
      </c>
    </row>
  </sheetData>
  <mergeCells count="28">
    <mergeCell ref="M60:N60"/>
    <mergeCell ref="D44:E44"/>
    <mergeCell ref="G44:H44"/>
    <mergeCell ref="J44:K44"/>
    <mergeCell ref="M44:N44"/>
    <mergeCell ref="A8:B8"/>
    <mergeCell ref="A9:B9"/>
    <mergeCell ref="A10:B10"/>
    <mergeCell ref="A16:B16"/>
    <mergeCell ref="D60:E60"/>
    <mergeCell ref="D36:E36"/>
    <mergeCell ref="A20:B20"/>
    <mergeCell ref="D76:E76"/>
    <mergeCell ref="D1:E1"/>
    <mergeCell ref="L1:N1"/>
    <mergeCell ref="P52:Q52"/>
    <mergeCell ref="D52:E52"/>
    <mergeCell ref="G52:H52"/>
    <mergeCell ref="M52:N52"/>
    <mergeCell ref="P44:Q44"/>
    <mergeCell ref="G36:H36"/>
    <mergeCell ref="J36:K36"/>
    <mergeCell ref="M36:N36"/>
    <mergeCell ref="P36:Q36"/>
    <mergeCell ref="D68:E68"/>
    <mergeCell ref="J52:K52"/>
    <mergeCell ref="J60:K60"/>
    <mergeCell ref="P60:Q60"/>
  </mergeCells>
  <conditionalFormatting sqref="B6">
    <cfRule type="expression" dxfId="13" priority="4">
      <formula>$B$6=82%</formula>
    </cfRule>
    <cfRule type="expression" dxfId="12" priority="5">
      <formula>$B$6=85%</formula>
    </cfRule>
    <cfRule type="expression" dxfId="11" priority="6">
      <formula>$B$6=90%</formula>
    </cfRule>
    <cfRule type="expression" dxfId="10" priority="7">
      <formula>$B$6=92%</formula>
    </cfRule>
    <cfRule type="expression" dxfId="9" priority="8">
      <formula>$B$6=95%</formula>
    </cfRule>
    <cfRule type="expression" dxfId="8" priority="9">
      <formula>$B$6=97%</formula>
    </cfRule>
    <cfRule type="expression" dxfId="7" priority="10">
      <formula>$B$6=98%</formula>
    </cfRule>
    <cfRule type="expression" dxfId="6" priority="11">
      <formula>$B$6=100%</formula>
    </cfRule>
    <cfRule type="cellIs" dxfId="5" priority="12" operator="equal">
      <formula xml:space="preserve"> 97</formula>
    </cfRule>
    <cfRule type="cellIs" dxfId="4" priority="13" operator="equal">
      <formula>100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:E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locked="0" defaultSize="0" autoFill="0" autoPict="0">
                <anchor moveWithCells="1">
                  <from>
                    <xdr:col>3</xdr:col>
                    <xdr:colOff>0</xdr:colOff>
                    <xdr:row>8</xdr:row>
                    <xdr:rowOff>114300</xdr:rowOff>
                  </from>
                  <to>
                    <xdr:col>4</xdr:col>
                    <xdr:colOff>619125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4</xdr:col>
                    <xdr:colOff>552450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4</xdr:col>
                    <xdr:colOff>552450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0</xdr:rowOff>
                  </from>
                  <to>
                    <xdr:col>4</xdr:col>
                    <xdr:colOff>552450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Option Button 49">
              <controlPr defaultSize="0" autoFill="0" autoLine="0" autoPict="0">
                <anchor moveWithCells="1">
                  <from>
                    <xdr:col>5</xdr:col>
                    <xdr:colOff>133350</xdr:colOff>
                    <xdr:row>0</xdr:row>
                    <xdr:rowOff>133350</xdr:rowOff>
                  </from>
                  <to>
                    <xdr:col>7</xdr:col>
                    <xdr:colOff>333375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0" name="Option Button 50">
              <controlPr defaultSize="0" autoFill="0" autoLine="0" autoPict="0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7</xdr:col>
                    <xdr:colOff>409575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1" name="Option Button 51">
              <controlPr defaultSize="0" autoFill="0" autoLine="0" autoPict="0">
                <anchor moveWithCells="1">
                  <from>
                    <xdr:col>5</xdr:col>
                    <xdr:colOff>133350</xdr:colOff>
                    <xdr:row>2</xdr:row>
                    <xdr:rowOff>114300</xdr:rowOff>
                  </from>
                  <to>
                    <xdr:col>7</xdr:col>
                    <xdr:colOff>419100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2" name="Option Button 52">
              <controlPr defaultSize="0" autoFill="0" autoLine="0" autoPict="0">
                <anchor moveWithCells="1">
                  <from>
                    <xdr:col>5</xdr:col>
                    <xdr:colOff>133350</xdr:colOff>
                    <xdr:row>3</xdr:row>
                    <xdr:rowOff>104775</xdr:rowOff>
                  </from>
                  <to>
                    <xdr:col>7</xdr:col>
                    <xdr:colOff>419100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3" name="Option Button 53">
              <controlPr defaultSize="0" autoFill="0" autoLine="0" autoPict="0">
                <anchor moveWithCells="1">
                  <from>
                    <xdr:col>5</xdr:col>
                    <xdr:colOff>133350</xdr:colOff>
                    <xdr:row>4</xdr:row>
                    <xdr:rowOff>95250</xdr:rowOff>
                  </from>
                  <to>
                    <xdr:col>7</xdr:col>
                    <xdr:colOff>419100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4" name="Option Button 54">
              <controlPr defaultSize="0" autoFill="0" autoLine="0" autoPict="0">
                <anchor moveWithCells="1">
                  <from>
                    <xdr:col>5</xdr:col>
                    <xdr:colOff>133350</xdr:colOff>
                    <xdr:row>5</xdr:row>
                    <xdr:rowOff>85725</xdr:rowOff>
                  </from>
                  <to>
                    <xdr:col>7</xdr:col>
                    <xdr:colOff>419100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5" name="Option Button 55">
              <controlPr defaultSize="0" autoFill="0" autoLine="0" autoPict="0">
                <anchor moveWithCells="1">
                  <from>
                    <xdr:col>5</xdr:col>
                    <xdr:colOff>133350</xdr:colOff>
                    <xdr:row>6</xdr:row>
                    <xdr:rowOff>76200</xdr:rowOff>
                  </from>
                  <to>
                    <xdr:col>7</xdr:col>
                    <xdr:colOff>419100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6" name="Option Button 56">
              <controlPr defaultSize="0" autoFill="0" autoLine="0" autoPict="0">
                <anchor moveWithCells="1">
                  <from>
                    <xdr:col>5</xdr:col>
                    <xdr:colOff>133350</xdr:colOff>
                    <xdr:row>7</xdr:row>
                    <xdr:rowOff>66675</xdr:rowOff>
                  </from>
                  <to>
                    <xdr:col>7</xdr:col>
                    <xdr:colOff>419100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7" name="Option Button 57">
              <controlPr defaultSize="0" autoFill="0" autoLine="0" autoPict="0">
                <anchor moveWithCells="1">
                  <from>
                    <xdr:col>5</xdr:col>
                    <xdr:colOff>133350</xdr:colOff>
                    <xdr:row>8</xdr:row>
                    <xdr:rowOff>57150</xdr:rowOff>
                  </from>
                  <to>
                    <xdr:col>7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8" name="Option Button 58">
              <controlPr defaultSize="0" autoFill="0" autoLine="0" autoPict="0">
                <anchor moveWithCells="1">
                  <from>
                    <xdr:col>5</xdr:col>
                    <xdr:colOff>133350</xdr:colOff>
                    <xdr:row>9</xdr:row>
                    <xdr:rowOff>38100</xdr:rowOff>
                  </from>
                  <to>
                    <xdr:col>7</xdr:col>
                    <xdr:colOff>419100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9" name="Option Button 59">
              <controlPr defaultSize="0" autoFill="0" autoLine="0" autoPict="0">
                <anchor moveWithCells="1">
                  <from>
                    <xdr:col>5</xdr:col>
                    <xdr:colOff>133350</xdr:colOff>
                    <xdr:row>10</xdr:row>
                    <xdr:rowOff>28575</xdr:rowOff>
                  </from>
                  <to>
                    <xdr:col>7</xdr:col>
                    <xdr:colOff>419100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0" name="Option Button 60">
              <controlPr defaultSize="0" autoFill="0" autoLine="0" autoPict="0">
                <anchor moveWithCells="1">
                  <from>
                    <xdr:col>5</xdr:col>
                    <xdr:colOff>133350</xdr:colOff>
                    <xdr:row>11</xdr:row>
                    <xdr:rowOff>9525</xdr:rowOff>
                  </from>
                  <to>
                    <xdr:col>7</xdr:col>
                    <xdr:colOff>419100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1" name="Option Button 61">
              <controlPr defaultSize="0" autoFill="0" autoLine="0" autoPict="0">
                <anchor moveWithCells="1">
                  <from>
                    <xdr:col>5</xdr:col>
                    <xdr:colOff>133350</xdr:colOff>
                    <xdr:row>11</xdr:row>
                    <xdr:rowOff>190500</xdr:rowOff>
                  </from>
                  <to>
                    <xdr:col>7</xdr:col>
                    <xdr:colOff>419100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2" name="Option Button 62">
              <controlPr defaultSize="0" autoFill="0" autoLine="0" autoPict="0">
                <anchor moveWithCells="1">
                  <from>
                    <xdr:col>5</xdr:col>
                    <xdr:colOff>133350</xdr:colOff>
                    <xdr:row>12</xdr:row>
                    <xdr:rowOff>180975</xdr:rowOff>
                  </from>
                  <to>
                    <xdr:col>7</xdr:col>
                    <xdr:colOff>419100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3" name="Option Button 63">
              <controlPr defaultSize="0" autoFill="0" autoLine="0" autoPict="0">
                <anchor moveWithCells="1">
                  <from>
                    <xdr:col>5</xdr:col>
                    <xdr:colOff>133350</xdr:colOff>
                    <xdr:row>13</xdr:row>
                    <xdr:rowOff>161925</xdr:rowOff>
                  </from>
                  <to>
                    <xdr:col>7</xdr:col>
                    <xdr:colOff>419100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4" name="Option Button 64">
              <controlPr defaultSize="0" autoFill="0" autoLine="0" autoPict="0">
                <anchor moveWithCells="1">
                  <from>
                    <xdr:col>5</xdr:col>
                    <xdr:colOff>133350</xdr:colOff>
                    <xdr:row>14</xdr:row>
                    <xdr:rowOff>142875</xdr:rowOff>
                  </from>
                  <to>
                    <xdr:col>7</xdr:col>
                    <xdr:colOff>419100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5" name="Group Box 68">
              <controlPr defaultSize="0" autoFill="0" autoPict="0">
                <anchor moveWithCells="1">
                  <from>
                    <xdr:col>5</xdr:col>
                    <xdr:colOff>123825</xdr:colOff>
                    <xdr:row>0</xdr:row>
                    <xdr:rowOff>38100</xdr:rowOff>
                  </from>
                  <to>
                    <xdr:col>7</xdr:col>
                    <xdr:colOff>495300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Botão69_Clique">
                <anchor moveWithCells="1" sizeWithCells="1">
                  <from>
                    <xdr:col>2</xdr:col>
                    <xdr:colOff>19050</xdr:colOff>
                    <xdr:row>23</xdr:row>
                    <xdr:rowOff>0</xdr:rowOff>
                  </from>
                  <to>
                    <xdr:col>2</xdr:col>
                    <xdr:colOff>228600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7" name="Button 78">
              <controlPr defaultSize="0" print="0" autoFill="0" autoPict="0" macro="[0]!Botão70_Clique">
                <anchor moveWithCells="1" sizeWithCells="1">
                  <from>
                    <xdr:col>2</xdr:col>
                    <xdr:colOff>19050</xdr:colOff>
                    <xdr:row>24</xdr:row>
                    <xdr:rowOff>0</xdr:rowOff>
                  </from>
                  <to>
                    <xdr:col>2</xdr:col>
                    <xdr:colOff>228600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8" name="Button 79">
              <controlPr defaultSize="0" print="0" autoFill="0" autoPict="0" macro="[0]!Botão71_Clique">
                <anchor moveWithCells="1" sizeWithCells="1">
                  <from>
                    <xdr:col>2</xdr:col>
                    <xdr:colOff>19050</xdr:colOff>
                    <xdr:row>25</xdr:row>
                    <xdr:rowOff>9525</xdr:rowOff>
                  </from>
                  <to>
                    <xdr:col>2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9" name="Button 80">
              <controlPr defaultSize="0" print="0" autoFill="0" autoPict="0" macro="[0]!Botão79_Clique">
                <anchor moveWithCells="1" sizeWithCells="1">
                  <from>
                    <xdr:col>0</xdr:col>
                    <xdr:colOff>123825</xdr:colOff>
                    <xdr:row>20</xdr:row>
                    <xdr:rowOff>19050</xdr:rowOff>
                  </from>
                  <to>
                    <xdr:col>0</xdr:col>
                    <xdr:colOff>523875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0" name="Button 81">
              <controlPr defaultSize="0" print="0" autoFill="0" autoPict="0" macro="[0]!Botão80_Clique">
                <anchor moveWithCells="1" sizeWithCells="1">
                  <from>
                    <xdr:col>1</xdr:col>
                    <xdr:colOff>133350</xdr:colOff>
                    <xdr:row>20</xdr:row>
                    <xdr:rowOff>19050</xdr:rowOff>
                  </from>
                  <to>
                    <xdr:col>1</xdr:col>
                    <xdr:colOff>533400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1" name="Option Button 89">
              <controlPr defaultSize="0" autoFill="0" autoLine="0" autoPict="0">
                <anchor moveWithCells="1">
                  <from>
                    <xdr:col>0</xdr:col>
                    <xdr:colOff>419100</xdr:colOff>
                    <xdr:row>10</xdr:row>
                    <xdr:rowOff>180975</xdr:rowOff>
                  </from>
                  <to>
                    <xdr:col>1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32" name="Option Button 90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180975</xdr:rowOff>
                  </from>
                  <to>
                    <xdr:col>1</xdr:col>
                    <xdr:colOff>314325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33" name="Option Button 91">
              <controlPr defaultSize="0" autoFill="0" autoLine="0" autoPict="0">
                <anchor moveWithCells="1">
                  <from>
                    <xdr:col>0</xdr:col>
                    <xdr:colOff>419100</xdr:colOff>
                    <xdr:row>12</xdr:row>
                    <xdr:rowOff>9525</xdr:rowOff>
                  </from>
                  <to>
                    <xdr:col>1</xdr:col>
                    <xdr:colOff>57150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34" name="Option Button 92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9525</xdr:rowOff>
                  </from>
                  <to>
                    <xdr:col>1</xdr:col>
                    <xdr:colOff>323850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35" name="Button 93">
              <controlPr defaultSize="0" print="0" autoFill="0" autoPict="0" macro="[0]!Botão93_Clique">
                <anchor moveWithCells="1" sizeWithCells="1">
                  <from>
                    <xdr:col>0</xdr:col>
                    <xdr:colOff>276225</xdr:colOff>
                    <xdr:row>14</xdr:row>
                    <xdr:rowOff>28575</xdr:rowOff>
                  </from>
                  <to>
                    <xdr:col>1</xdr:col>
                    <xdr:colOff>333375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36" name="Option Button 96">
              <controlPr defaultSize="0" autoFill="0" autoLine="0" autoPict="0">
                <anchor moveWithCells="1">
                  <from>
                    <xdr:col>5</xdr:col>
                    <xdr:colOff>133350</xdr:colOff>
                    <xdr:row>15</xdr:row>
                    <xdr:rowOff>133350</xdr:rowOff>
                  </from>
                  <to>
                    <xdr:col>7</xdr:col>
                    <xdr:colOff>476250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37" name="Option Button 98">
              <controlPr defaultSize="0" autoFill="0" autoLine="0" autoPict="0">
                <anchor moveWithCells="1">
                  <from>
                    <xdr:col>5</xdr:col>
                    <xdr:colOff>133350</xdr:colOff>
                    <xdr:row>16</xdr:row>
                    <xdr:rowOff>133350</xdr:rowOff>
                  </from>
                  <to>
                    <xdr:col>7</xdr:col>
                    <xdr:colOff>485775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38" name="Option Button 99">
              <controlPr defaultSize="0" autoFill="0" autoLine="0" autoPict="0">
                <anchor moveWithCells="1">
                  <from>
                    <xdr:col>5</xdr:col>
                    <xdr:colOff>133350</xdr:colOff>
                    <xdr:row>17</xdr:row>
                    <xdr:rowOff>142875</xdr:rowOff>
                  </from>
                  <to>
                    <xdr:col>7</xdr:col>
                    <xdr:colOff>485775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39" name="Option Button 101">
              <controlPr defaultSize="0" autoFill="0" autoLine="0" autoPict="0">
                <anchor moveWithCells="1">
                  <from>
                    <xdr:col>5</xdr:col>
                    <xdr:colOff>133350</xdr:colOff>
                    <xdr:row>18</xdr:row>
                    <xdr:rowOff>152400</xdr:rowOff>
                  </from>
                  <to>
                    <xdr:col>7</xdr:col>
                    <xdr:colOff>476250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40" name="Option Button 102">
              <controlPr defaultSize="0" autoFill="0" autoLine="0" autoPict="0">
                <anchor moveWithCells="1">
                  <from>
                    <xdr:col>5</xdr:col>
                    <xdr:colOff>133350</xdr:colOff>
                    <xdr:row>19</xdr:row>
                    <xdr:rowOff>171450</xdr:rowOff>
                  </from>
                  <to>
                    <xdr:col>7</xdr:col>
                    <xdr:colOff>476250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0596CCE-6685-477F-ACBC-5DE3F8F94BB7}">
            <xm:f>NOT(ISERROR(SEARCH("Ângulo ↔°",A4)))</xm:f>
            <xm:f>"Ângulo ↔°"</xm:f>
            <x14:dxf>
              <font>
                <color rgb="FF0070C0"/>
              </font>
            </x14:dxf>
          </x14:cfRule>
          <x14:cfRule type="containsText" priority="2" operator="containsText" id="{145FA602-49A5-4EBB-A4D9-58D72FCE8DD4}">
            <xm:f>NOT(ISERROR(SEARCH("Ângulo ↓°",A4)))</xm:f>
            <xm:f>"Ângulo ↓°"</xm:f>
            <x14:dxf>
              <font>
                <color rgb="FFC00000"/>
              </font>
            </x14:dxf>
          </x14:cfRule>
          <x14:cfRule type="containsText" priority="3" operator="containsText" id="{402B37E8-21A9-43FC-BAEC-07AF85A71308}">
            <xm:f>NOT(ISERROR(SEARCH("Ângulo ↑°",A4)))</xm:f>
            <xm:f>"Ângulo ↑°"</xm:f>
            <x14:dxf>
              <font>
                <color rgb="FF00823B"/>
              </font>
            </x14:dxf>
          </x14:cfRule>
          <xm:sqref>A4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'Pin++'!$I$4:$I$22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S207"/>
  <sheetViews>
    <sheetView topLeftCell="A94" zoomScaleNormal="100" workbookViewId="0">
      <selection activeCell="B14" sqref="B14"/>
    </sheetView>
  </sheetViews>
  <sheetFormatPr defaultRowHeight="15"/>
  <cols>
    <col min="1" max="2" width="9.85546875" customWidth="1"/>
    <col min="4" max="4" width="10" style="207" customWidth="1"/>
    <col min="6" max="6" width="12.7109375" bestFit="1" customWidth="1"/>
  </cols>
  <sheetData>
    <row r="1" spans="1:45">
      <c r="A1" s="7" t="s">
        <v>0</v>
      </c>
      <c r="B1" s="26">
        <f>Plan1!B1</f>
        <v>246.59</v>
      </c>
      <c r="E1" s="237" t="s">
        <v>139</v>
      </c>
      <c r="F1" s="237"/>
      <c r="G1" s="206"/>
      <c r="H1" s="206"/>
      <c r="Q1" s="207" t="s">
        <v>12</v>
      </c>
      <c r="R1" s="207"/>
      <c r="S1" s="207"/>
      <c r="T1" s="207" t="s">
        <v>13</v>
      </c>
      <c r="U1" s="207"/>
      <c r="V1" s="207"/>
      <c r="W1" s="207" t="s">
        <v>8</v>
      </c>
      <c r="X1" s="207"/>
      <c r="Y1" s="207"/>
      <c r="Z1" s="207" t="s">
        <v>9</v>
      </c>
      <c r="AJ1" s="207" t="s">
        <v>12</v>
      </c>
      <c r="AK1" s="207"/>
      <c r="AL1" s="207"/>
      <c r="AM1" s="207" t="s">
        <v>13</v>
      </c>
      <c r="AN1" s="207"/>
      <c r="AO1" s="207"/>
      <c r="AP1" s="207" t="s">
        <v>8</v>
      </c>
      <c r="AQ1" s="207"/>
      <c r="AR1" s="207"/>
      <c r="AS1" s="207" t="s">
        <v>9</v>
      </c>
    </row>
    <row r="2" spans="1:45">
      <c r="A2" s="7" t="s">
        <v>1</v>
      </c>
      <c r="B2" s="27">
        <f>Plan1!B2</f>
        <v>6.0220000000000002</v>
      </c>
      <c r="E2" s="205" t="s">
        <v>45</v>
      </c>
      <c r="F2" s="24">
        <f>IF(A30&gt;80,A30,IF(A65&gt;60,A65,IF(A100&gt;40,A100)))</f>
        <v>109.72082281488316</v>
      </c>
      <c r="G2" s="13"/>
      <c r="H2">
        <f>IF(A30&gt;80,A30,IF(A65&gt;60,A65,IF(A100&gt;40,A100)))</f>
        <v>109.72082281488316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205" t="s">
        <v>10</v>
      </c>
      <c r="P2" s="205">
        <v>0</v>
      </c>
      <c r="Q2" s="205">
        <f>J3</f>
        <v>229.91</v>
      </c>
      <c r="R2" s="205" t="s">
        <v>10</v>
      </c>
      <c r="S2" s="205">
        <v>0</v>
      </c>
      <c r="T2" s="205">
        <f>K3</f>
        <v>223.33333333333334</v>
      </c>
      <c r="U2" s="205" t="s">
        <v>10</v>
      </c>
      <c r="V2" s="205">
        <v>0</v>
      </c>
      <c r="W2" s="205">
        <f>L3</f>
        <v>240.65</v>
      </c>
      <c r="X2" s="205" t="s">
        <v>10</v>
      </c>
      <c r="Y2" s="205">
        <v>0</v>
      </c>
      <c r="Z2" s="205">
        <f>M3</f>
        <v>218.82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205" t="s">
        <v>27</v>
      </c>
      <c r="AI2" s="205">
        <v>0</v>
      </c>
      <c r="AJ2" s="205">
        <f>AC3</f>
        <v>229.91</v>
      </c>
      <c r="AK2" s="205" t="s">
        <v>27</v>
      </c>
      <c r="AL2" s="205">
        <v>0</v>
      </c>
      <c r="AM2" s="205">
        <f>AD3</f>
        <v>223.33333333333334</v>
      </c>
      <c r="AN2" s="205" t="s">
        <v>27</v>
      </c>
      <c r="AO2" s="205">
        <v>0</v>
      </c>
      <c r="AP2" s="205">
        <f>AE3</f>
        <v>240.65</v>
      </c>
      <c r="AQ2" s="205" t="s">
        <v>27</v>
      </c>
      <c r="AR2" s="205">
        <v>0</v>
      </c>
      <c r="AS2" s="205">
        <f>AF3</f>
        <v>218.82</v>
      </c>
    </row>
    <row r="3" spans="1:45">
      <c r="A3" s="7" t="s">
        <v>2</v>
      </c>
      <c r="B3" s="27">
        <f>Plan1!B3</f>
        <v>1</v>
      </c>
      <c r="E3" s="205" t="s">
        <v>140</v>
      </c>
      <c r="F3" s="24">
        <f>IF(A30&gt;80,B30,IF(A65&gt;60,B65,IF(A100&gt;40,B100)))</f>
        <v>-259.78604501174311</v>
      </c>
      <c r="G3" s="13"/>
      <c r="H3" s="13" t="s">
        <v>164</v>
      </c>
      <c r="I3" s="205">
        <v>100</v>
      </c>
      <c r="J3" s="205">
        <v>229.91</v>
      </c>
      <c r="K3" s="205">
        <f>(630-27)/9*4/1.2</f>
        <v>223.33333333333334</v>
      </c>
      <c r="L3" s="205">
        <v>240.65</v>
      </c>
      <c r="M3" s="205">
        <v>218.82</v>
      </c>
      <c r="O3" s="205" t="s">
        <v>10</v>
      </c>
      <c r="P3" s="205">
        <v>-5</v>
      </c>
      <c r="Q3" s="205">
        <f>J8</f>
        <v>233.1</v>
      </c>
      <c r="R3" s="205" t="s">
        <v>10</v>
      </c>
      <c r="S3" s="205">
        <v>-5</v>
      </c>
      <c r="T3" s="205">
        <f>K8</f>
        <v>231.11111111111111</v>
      </c>
      <c r="U3" s="205" t="s">
        <v>10</v>
      </c>
      <c r="V3" s="205">
        <v>-5</v>
      </c>
      <c r="W3" s="205">
        <f>L8</f>
        <v>244.39</v>
      </c>
      <c r="X3" s="205" t="s">
        <v>10</v>
      </c>
      <c r="Y3" s="205">
        <v>-5</v>
      </c>
      <c r="Z3" s="205">
        <f>M8</f>
        <v>221.44</v>
      </c>
      <c r="AA3" s="104">
        <v>252</v>
      </c>
      <c r="AB3" s="205">
        <v>100</v>
      </c>
      <c r="AC3" s="205">
        <f>J3</f>
        <v>229.91</v>
      </c>
      <c r="AD3" s="205">
        <f t="shared" ref="AD3:AF5" si="0">K3</f>
        <v>223.33333333333334</v>
      </c>
      <c r="AE3" s="205">
        <f t="shared" si="0"/>
        <v>240.65</v>
      </c>
      <c r="AF3" s="205">
        <f t="shared" si="0"/>
        <v>218.82</v>
      </c>
      <c r="AH3" s="205" t="s">
        <v>27</v>
      </c>
      <c r="AI3" s="205">
        <v>5</v>
      </c>
      <c r="AJ3" s="205">
        <f>AC8</f>
        <v>226.34</v>
      </c>
      <c r="AK3" s="205" t="s">
        <v>27</v>
      </c>
      <c r="AL3" s="205">
        <v>5</v>
      </c>
      <c r="AM3" s="205">
        <f>AD8</f>
        <v>211.85185185185188</v>
      </c>
      <c r="AN3" s="205" t="s">
        <v>27</v>
      </c>
      <c r="AO3" s="205">
        <v>5</v>
      </c>
      <c r="AP3" s="205">
        <f>AE8</f>
        <v>236.49</v>
      </c>
      <c r="AQ3" s="205" t="s">
        <v>27</v>
      </c>
      <c r="AR3" s="205">
        <v>5</v>
      </c>
      <c r="AS3" s="205">
        <f>AF8</f>
        <v>215.86</v>
      </c>
    </row>
    <row r="4" spans="1:45" ht="15" customHeight="1">
      <c r="A4" s="7" t="s">
        <v>3</v>
      </c>
      <c r="B4" s="28">
        <f>Plan1!B4</f>
        <v>106.667</v>
      </c>
      <c r="E4" s="205" t="s">
        <v>127</v>
      </c>
      <c r="F4" s="25">
        <f>IF(A30&gt;80,A32,IF(A65&gt;60,A67,IF(A100&gt;40,A102)))</f>
        <v>280.17777777777781</v>
      </c>
      <c r="G4" s="135"/>
      <c r="H4" s="135" t="s">
        <v>165</v>
      </c>
      <c r="I4" s="205">
        <v>90</v>
      </c>
      <c r="J4" s="205">
        <v>199.36</v>
      </c>
      <c r="K4" s="205">
        <f>(630-210)/9*4/1.2</f>
        <v>155.55555555555554</v>
      </c>
      <c r="L4" s="205">
        <v>207.02</v>
      </c>
      <c r="M4" s="205">
        <v>191.52</v>
      </c>
      <c r="N4" s="16"/>
      <c r="O4" s="205" t="s">
        <v>10</v>
      </c>
      <c r="P4" s="205">
        <v>-10</v>
      </c>
      <c r="Q4" s="205">
        <f>J13</f>
        <v>235.99</v>
      </c>
      <c r="R4" s="205" t="s">
        <v>10</v>
      </c>
      <c r="S4" s="205">
        <v>-10</v>
      </c>
      <c r="T4" s="205">
        <f>K13</f>
        <v>244.16666666666669</v>
      </c>
      <c r="U4" s="205" t="s">
        <v>10</v>
      </c>
      <c r="V4" s="205">
        <v>-10</v>
      </c>
      <c r="W4" s="205">
        <f>L13</f>
        <v>247.81</v>
      </c>
      <c r="X4" s="205" t="s">
        <v>10</v>
      </c>
      <c r="Y4" s="205">
        <v>-10</v>
      </c>
      <c r="Z4" s="205">
        <f>M13</f>
        <v>223.79</v>
      </c>
      <c r="AA4" s="104">
        <v>303</v>
      </c>
      <c r="AB4" s="205">
        <v>90</v>
      </c>
      <c r="AC4" s="205">
        <f t="shared" ref="AC4:AC5" si="1">J4</f>
        <v>199.36</v>
      </c>
      <c r="AD4" s="205">
        <f t="shared" si="0"/>
        <v>155.55555555555554</v>
      </c>
      <c r="AE4" s="205">
        <f t="shared" si="0"/>
        <v>207.02</v>
      </c>
      <c r="AF4" s="205">
        <f t="shared" si="0"/>
        <v>191.52</v>
      </c>
      <c r="AH4" s="205" t="s">
        <v>27</v>
      </c>
      <c r="AI4" s="205">
        <v>7.5</v>
      </c>
      <c r="AJ4" s="205">
        <f>AC13</f>
        <v>224.39</v>
      </c>
      <c r="AK4" s="205" t="s">
        <v>27</v>
      </c>
      <c r="AL4" s="205">
        <v>7.5</v>
      </c>
      <c r="AM4" s="205">
        <f>AD13</f>
        <v>205.92592592592592</v>
      </c>
      <c r="AN4" s="205" t="s">
        <v>27</v>
      </c>
      <c r="AO4" s="205">
        <v>7.5</v>
      </c>
      <c r="AP4" s="205">
        <f>AE13</f>
        <v>234.22</v>
      </c>
      <c r="AQ4" s="205" t="s">
        <v>27</v>
      </c>
      <c r="AR4" s="205">
        <v>7.5</v>
      </c>
      <c r="AS4" s="205">
        <f>AF13</f>
        <v>214.23</v>
      </c>
    </row>
    <row r="5" spans="1:45" ht="15" customHeight="1">
      <c r="A5" s="7" t="s">
        <v>4</v>
      </c>
      <c r="B5" s="7">
        <f>Plan1!B5</f>
        <v>-1.8784359062401523</v>
      </c>
      <c r="C5" s="2"/>
      <c r="E5" s="205" t="s">
        <v>128</v>
      </c>
      <c r="F5" s="11">
        <f>IF(A30&gt;80,B32,IF(A65&gt;60,B67,IF(A100&gt;40,B102)))</f>
        <v>10.992695647558234</v>
      </c>
      <c r="G5" s="135"/>
      <c r="H5" s="135" t="s">
        <v>166</v>
      </c>
      <c r="I5" s="205">
        <v>80</v>
      </c>
      <c r="J5" s="205">
        <v>170.43</v>
      </c>
      <c r="K5" s="205">
        <f>(630-335)/9*4/1.2</f>
        <v>109.25925925925927</v>
      </c>
      <c r="L5" s="205">
        <v>175.96</v>
      </c>
      <c r="M5" s="205">
        <v>164.81</v>
      </c>
      <c r="N5" s="16"/>
      <c r="O5" s="205" t="s">
        <v>10</v>
      </c>
      <c r="P5" s="205">
        <v>-15</v>
      </c>
      <c r="Q5" s="205">
        <f>J18</f>
        <v>238.63</v>
      </c>
      <c r="R5" s="205" t="s">
        <v>10</v>
      </c>
      <c r="S5" s="205">
        <v>-15</v>
      </c>
      <c r="T5" s="205">
        <f>K18</f>
        <v>253.75</v>
      </c>
      <c r="U5" s="205" t="s">
        <v>10</v>
      </c>
      <c r="V5" s="205">
        <v>-15</v>
      </c>
      <c r="W5" s="205">
        <f>L18</f>
        <v>250.95</v>
      </c>
      <c r="X5" s="205" t="s">
        <v>10</v>
      </c>
      <c r="Y5" s="205">
        <v>-15</v>
      </c>
      <c r="Z5" s="205">
        <f>M18</f>
        <v>225.92</v>
      </c>
      <c r="AA5" s="104">
        <v>227.51</v>
      </c>
      <c r="AB5" s="205">
        <v>80</v>
      </c>
      <c r="AC5" s="205">
        <f t="shared" si="1"/>
        <v>170.43</v>
      </c>
      <c r="AD5" s="205">
        <f t="shared" si="0"/>
        <v>109.25925925925927</v>
      </c>
      <c r="AE5" s="205">
        <f t="shared" si="0"/>
        <v>175.96</v>
      </c>
      <c r="AF5" s="205">
        <f t="shared" si="0"/>
        <v>164.81</v>
      </c>
      <c r="AH5" s="205" t="s">
        <v>27</v>
      </c>
      <c r="AI5" s="205">
        <v>10</v>
      </c>
      <c r="AJ5" s="205">
        <f>AC18</f>
        <v>222.3</v>
      </c>
      <c r="AK5" s="205" t="s">
        <v>27</v>
      </c>
      <c r="AL5" s="205">
        <v>10</v>
      </c>
      <c r="AM5" s="205">
        <f>AD18</f>
        <v>199.62962962962962</v>
      </c>
      <c r="AN5" s="205" t="s">
        <v>27</v>
      </c>
      <c r="AO5" s="205">
        <v>10</v>
      </c>
      <c r="AP5" s="205">
        <f>AE18</f>
        <v>231.81</v>
      </c>
      <c r="AQ5" s="205" t="s">
        <v>27</v>
      </c>
      <c r="AR5" s="205">
        <v>10</v>
      </c>
      <c r="AS5" s="205">
        <f>AF18</f>
        <v>212.48</v>
      </c>
    </row>
    <row r="6" spans="1:45" ht="15" customHeight="1">
      <c r="A6" s="7" t="s">
        <v>5</v>
      </c>
      <c r="B6" s="29">
        <f>Plan1!B6</f>
        <v>0.85</v>
      </c>
      <c r="C6" s="6"/>
      <c r="F6" s="206"/>
      <c r="G6" s="135"/>
      <c r="H6" s="135" t="s">
        <v>167</v>
      </c>
      <c r="N6" s="16"/>
      <c r="O6" s="205" t="s">
        <v>10</v>
      </c>
      <c r="P6" s="205">
        <v>-20</v>
      </c>
      <c r="Q6" s="205">
        <f>J23</f>
        <v>241.06</v>
      </c>
      <c r="R6" s="205" t="s">
        <v>10</v>
      </c>
      <c r="S6" s="205">
        <v>-20</v>
      </c>
      <c r="T6" s="205">
        <f>K23</f>
        <v>262.85714285714289</v>
      </c>
      <c r="U6" s="205" t="s">
        <v>10</v>
      </c>
      <c r="V6" s="205">
        <v>-20</v>
      </c>
      <c r="W6" s="205">
        <f>L23</f>
        <v>253.85</v>
      </c>
      <c r="X6" s="205" t="s">
        <v>10</v>
      </c>
      <c r="Y6" s="205">
        <v>-20</v>
      </c>
      <c r="Z6" s="205">
        <f>M23</f>
        <v>227.86</v>
      </c>
      <c r="AA6" s="104">
        <v>202.97</v>
      </c>
      <c r="AH6" s="205" t="s">
        <v>28</v>
      </c>
      <c r="AI6" s="9">
        <f>$B$2</f>
        <v>6.0220000000000002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225.55831565936447</v>
      </c>
      <c r="AK6" s="205" t="s">
        <v>28</v>
      </c>
      <c r="AL6" s="9">
        <f>$B$2</f>
        <v>6.0220000000000002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209.46222006390519</v>
      </c>
      <c r="AN6" s="205" t="s">
        <v>28</v>
      </c>
      <c r="AO6" s="9">
        <f>$B$2</f>
        <v>6.0220000000000002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235.57830083705085</v>
      </c>
      <c r="AQ6" s="205" t="s">
        <v>28</v>
      </c>
      <c r="AR6" s="9">
        <f>$B$2</f>
        <v>6.0220000000000002</v>
      </c>
      <c r="AS6" s="11">
        <f>AS2*(AR6-AR3)*(AR6-AR4)*(AR6-AR5)/((AR2-AR3)*(AR2-AR4)*(AR2-AR5))+AS3*(AR6-AR2)*(AR6-AR4)*(AR6-AR5)/((AR3-AR2)*(AR3-AR4)*(AR3-AR5))+AS4*(AR6-AR2)*(AR6-AR3)*(AR6-AR5)/((AR4-AR2)*(AR4-AR3)*(AR4-AR5))+AS5*(AR6-AR2)*(AR6-AR3)*(AR6-AR4)/((AR5-AR2)*(AR5-AR3)*(AR5-AR4))</f>
        <v>215.20719554037635</v>
      </c>
    </row>
    <row r="7" spans="1:45">
      <c r="D7" s="238" t="s">
        <v>46</v>
      </c>
      <c r="E7" s="238"/>
      <c r="F7" s="238"/>
      <c r="G7" s="136"/>
      <c r="H7" s="136" t="s">
        <v>168</v>
      </c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205" t="s">
        <v>10</v>
      </c>
      <c r="P7" s="205">
        <v>-25</v>
      </c>
      <c r="Q7" s="205">
        <f>J28</f>
        <v>243.3</v>
      </c>
      <c r="R7" s="205" t="s">
        <v>10</v>
      </c>
      <c r="S7" s="205">
        <v>-25</v>
      </c>
      <c r="T7" s="205">
        <f>K28</f>
        <v>271.42857142857144</v>
      </c>
      <c r="U7" s="205" t="s">
        <v>10</v>
      </c>
      <c r="V7" s="205">
        <v>-25</v>
      </c>
      <c r="W7" s="205">
        <f>L28</f>
        <v>256.55</v>
      </c>
      <c r="X7" s="205" t="s">
        <v>10</v>
      </c>
      <c r="Y7" s="205">
        <v>-25</v>
      </c>
      <c r="Z7" s="205">
        <f>M28</f>
        <v>229.63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205"/>
      <c r="AI7" s="205"/>
      <c r="AJ7" s="205"/>
      <c r="AK7" s="205"/>
      <c r="AL7" s="205"/>
      <c r="AM7" s="205"/>
      <c r="AN7" s="205"/>
      <c r="AO7" s="205"/>
      <c r="AP7" s="205"/>
      <c r="AQ7" s="205"/>
      <c r="AR7" s="205"/>
      <c r="AS7" s="205"/>
    </row>
    <row r="8" spans="1:45">
      <c r="D8" s="5"/>
      <c r="E8" s="26">
        <f>$B$1</f>
        <v>246.59</v>
      </c>
      <c r="I8" s="205">
        <v>100</v>
      </c>
      <c r="J8" s="205">
        <v>233.1</v>
      </c>
      <c r="K8" s="205">
        <f>(630-6)/9*4/1.2</f>
        <v>231.11111111111111</v>
      </c>
      <c r="L8" s="205">
        <v>244.39</v>
      </c>
      <c r="M8" s="205">
        <v>221.44</v>
      </c>
      <c r="N8" s="13"/>
      <c r="O8" s="205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225.5994295696139</v>
      </c>
      <c r="R8" s="205" t="s">
        <v>11</v>
      </c>
      <c r="S8" s="9">
        <f>$B$2</f>
        <v>6.0220000000000002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273.84710551534681</v>
      </c>
      <c r="U8" s="205" t="s">
        <v>11</v>
      </c>
      <c r="V8" s="9">
        <f>$B$2</f>
        <v>6.0220000000000002</v>
      </c>
      <c r="W8" s="205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235.66402986332554</v>
      </c>
      <c r="X8" s="205" t="s">
        <v>11</v>
      </c>
      <c r="Y8" s="9">
        <f>$B$2</f>
        <v>6.0220000000000002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215.18983193994433</v>
      </c>
      <c r="AA8" s="104">
        <v>234.82</v>
      </c>
      <c r="AB8" s="205">
        <v>100</v>
      </c>
      <c r="AC8" s="205">
        <v>226.34</v>
      </c>
      <c r="AD8" s="205">
        <f>(630-58)/9*4/1.2</f>
        <v>211.85185185185188</v>
      </c>
      <c r="AE8" s="205">
        <v>236.49</v>
      </c>
      <c r="AF8" s="205">
        <v>215.86</v>
      </c>
    </row>
    <row r="9" spans="1:45">
      <c r="A9" s="4">
        <f>0*($B$6-0.9)*($B$6-0.8)/((1-0.9)*(1-0.8))+7.7*($B$6-1)*($B$6-0.8)/((0.9-1)*(0.9-0.8))+16.19*($B$6-1)*($B$6-0.9)/((0.8-1)*(0.8-0.9))+$B$1</f>
        <v>258.43625000000003</v>
      </c>
      <c r="D9" s="5"/>
      <c r="E9" s="26">
        <f>A9</f>
        <v>258.43625000000003</v>
      </c>
      <c r="I9" s="205">
        <v>90</v>
      </c>
      <c r="J9" s="205">
        <v>203.93</v>
      </c>
      <c r="K9" s="205">
        <f>(630-179)/9*4/1.2</f>
        <v>167.03703703703707</v>
      </c>
      <c r="L9" s="205">
        <v>212.18</v>
      </c>
      <c r="M9" s="205">
        <v>195.49</v>
      </c>
      <c r="N9" s="13"/>
      <c r="Q9" s="207" t="s">
        <v>12</v>
      </c>
      <c r="R9" s="207"/>
      <c r="S9" s="207"/>
      <c r="T9" s="207" t="s">
        <v>13</v>
      </c>
      <c r="U9" s="207"/>
      <c r="V9" s="207"/>
      <c r="W9" s="207" t="s">
        <v>8</v>
      </c>
      <c r="X9" s="207"/>
      <c r="Y9" s="207"/>
      <c r="Z9" s="207" t="s">
        <v>9</v>
      </c>
      <c r="AA9" s="104">
        <v>208.22</v>
      </c>
      <c r="AB9" s="205">
        <v>90</v>
      </c>
      <c r="AC9" s="205">
        <v>194.04</v>
      </c>
      <c r="AD9" s="205">
        <f>(630-244)/9*4/1.2</f>
        <v>142.96296296296296</v>
      </c>
      <c r="AE9" s="205">
        <v>201.04</v>
      </c>
      <c r="AF9" s="205">
        <v>186.86</v>
      </c>
      <c r="AJ9" s="207" t="s">
        <v>12</v>
      </c>
      <c r="AK9" s="207"/>
      <c r="AL9" s="207"/>
      <c r="AM9" s="207" t="s">
        <v>13</v>
      </c>
      <c r="AN9" s="207"/>
      <c r="AO9" s="207"/>
      <c r="AP9" s="207" t="s">
        <v>8</v>
      </c>
      <c r="AQ9" s="207"/>
      <c r="AR9" s="207"/>
      <c r="AS9" s="207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258.02800653777547</v>
      </c>
      <c r="I10" s="205">
        <v>80</v>
      </c>
      <c r="J10" s="205">
        <v>176.52</v>
      </c>
      <c r="K10" s="205">
        <f>(630-304)/9*4/1.2</f>
        <v>120.74074074074075</v>
      </c>
      <c r="L10" s="205">
        <v>182.66</v>
      </c>
      <c r="M10" s="205">
        <v>170.27</v>
      </c>
      <c r="N10" s="13"/>
      <c r="O10" s="205" t="s">
        <v>10</v>
      </c>
      <c r="P10" s="205">
        <v>0</v>
      </c>
      <c r="Q10" s="205">
        <f>J4</f>
        <v>199.36</v>
      </c>
      <c r="R10" s="205" t="s">
        <v>10</v>
      </c>
      <c r="S10" s="205">
        <v>0</v>
      </c>
      <c r="T10" s="205">
        <f>K4</f>
        <v>155.55555555555554</v>
      </c>
      <c r="U10" s="205" t="s">
        <v>10</v>
      </c>
      <c r="V10" s="205">
        <v>0</v>
      </c>
      <c r="W10" s="205">
        <f>L4</f>
        <v>207.02</v>
      </c>
      <c r="X10" s="205" t="s">
        <v>10</v>
      </c>
      <c r="Y10" s="205">
        <v>0</v>
      </c>
      <c r="Z10" s="205">
        <f>M4</f>
        <v>191.52</v>
      </c>
      <c r="AA10" s="104">
        <v>175.89</v>
      </c>
      <c r="AB10" s="205">
        <v>80</v>
      </c>
      <c r="AC10" s="205">
        <v>162.94</v>
      </c>
      <c r="AD10" s="205">
        <f>(630-371)/9*4/1.2</f>
        <v>95.925925925925938</v>
      </c>
      <c r="AE10" s="205">
        <v>167.76</v>
      </c>
      <c r="AF10" s="205">
        <v>158.02000000000001</v>
      </c>
      <c r="AH10" s="205" t="s">
        <v>27</v>
      </c>
      <c r="AI10" s="205">
        <v>0</v>
      </c>
      <c r="AJ10" s="205">
        <f>AC4</f>
        <v>199.36</v>
      </c>
      <c r="AK10" s="205" t="s">
        <v>27</v>
      </c>
      <c r="AL10" s="205">
        <v>0</v>
      </c>
      <c r="AM10" s="205">
        <f>AD4</f>
        <v>155.55555555555554</v>
      </c>
      <c r="AN10" s="205" t="s">
        <v>27</v>
      </c>
      <c r="AO10" s="205">
        <v>0</v>
      </c>
      <c r="AP10" s="205">
        <f>AE4</f>
        <v>207.02</v>
      </c>
      <c r="AQ10" s="205" t="s">
        <v>27</v>
      </c>
      <c r="AR10" s="205">
        <v>0</v>
      </c>
      <c r="AS10" s="205">
        <f>AF4</f>
        <v>191.52</v>
      </c>
    </row>
    <row r="11" spans="1:45">
      <c r="A11" s="205" t="s">
        <v>23</v>
      </c>
      <c r="B11" s="205">
        <f>Plan1!$B$17</f>
        <v>86</v>
      </c>
      <c r="N11" s="13"/>
      <c r="O11" s="205" t="s">
        <v>10</v>
      </c>
      <c r="P11" s="205">
        <v>-5</v>
      </c>
      <c r="Q11" s="205">
        <f>J9</f>
        <v>203.93</v>
      </c>
      <c r="R11" s="205" t="s">
        <v>10</v>
      </c>
      <c r="S11" s="205">
        <v>-5</v>
      </c>
      <c r="T11" s="205">
        <f>K9</f>
        <v>167.03703703703707</v>
      </c>
      <c r="U11" s="205" t="s">
        <v>10</v>
      </c>
      <c r="V11" s="205">
        <v>-5</v>
      </c>
      <c r="W11" s="205">
        <f>L9</f>
        <v>212.18</v>
      </c>
      <c r="X11" s="205" t="s">
        <v>10</v>
      </c>
      <c r="Y11" s="205">
        <v>-5</v>
      </c>
      <c r="Z11" s="205">
        <f>M9</f>
        <v>195.49</v>
      </c>
      <c r="AA11" s="104">
        <v>219.63</v>
      </c>
      <c r="AH11" s="205" t="s">
        <v>27</v>
      </c>
      <c r="AI11" s="205">
        <v>5</v>
      </c>
      <c r="AJ11" s="205">
        <f>AC9</f>
        <v>194.04</v>
      </c>
      <c r="AK11" s="205" t="s">
        <v>27</v>
      </c>
      <c r="AL11" s="205">
        <v>5</v>
      </c>
      <c r="AM11" s="205">
        <f>AD9</f>
        <v>142.96296296296296</v>
      </c>
      <c r="AN11" s="205" t="s">
        <v>27</v>
      </c>
      <c r="AO11" s="205">
        <v>5</v>
      </c>
      <c r="AP11" s="205">
        <f>AE9</f>
        <v>201.04</v>
      </c>
      <c r="AQ11" s="205" t="s">
        <v>27</v>
      </c>
      <c r="AR11" s="205">
        <v>5</v>
      </c>
      <c r="AS11" s="205">
        <f>AF9</f>
        <v>186.86</v>
      </c>
    </row>
    <row r="12" spans="1:45">
      <c r="A12" s="205" t="s">
        <v>24</v>
      </c>
      <c r="B12" s="205">
        <f>Plan1!$B$18</f>
        <v>49.06</v>
      </c>
      <c r="D12"/>
      <c r="E12" s="207" t="s">
        <v>6</v>
      </c>
      <c r="F12" s="207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205" t="s">
        <v>10</v>
      </c>
      <c r="P12" s="205">
        <v>-10</v>
      </c>
      <c r="Q12" s="205">
        <f>J14</f>
        <v>207.94</v>
      </c>
      <c r="R12" s="205" t="s">
        <v>10</v>
      </c>
      <c r="S12" s="205">
        <v>-10</v>
      </c>
      <c r="T12" s="205">
        <f>K14</f>
        <v>177.5</v>
      </c>
      <c r="U12" s="205" t="s">
        <v>10</v>
      </c>
      <c r="V12" s="205">
        <v>-10</v>
      </c>
      <c r="W12" s="205">
        <f>L14</f>
        <v>216.74</v>
      </c>
      <c r="X12" s="205" t="s">
        <v>10</v>
      </c>
      <c r="Y12" s="205">
        <v>-10</v>
      </c>
      <c r="Z12" s="205">
        <f>M14</f>
        <v>198.94</v>
      </c>
      <c r="AA12" s="104">
        <v>197.35</v>
      </c>
      <c r="AB12" s="15">
        <v>7.5</v>
      </c>
      <c r="AC12" s="7" t="s">
        <v>6</v>
      </c>
      <c r="AD12" s="7" t="s">
        <v>7</v>
      </c>
      <c r="AE12" s="7" t="s">
        <v>8</v>
      </c>
      <c r="AF12" s="7" t="s">
        <v>9</v>
      </c>
      <c r="AH12" s="205" t="s">
        <v>27</v>
      </c>
      <c r="AI12" s="205">
        <v>7.5</v>
      </c>
      <c r="AJ12" s="205">
        <f>AC14</f>
        <v>191</v>
      </c>
      <c r="AK12" s="205" t="s">
        <v>27</v>
      </c>
      <c r="AL12" s="205">
        <v>7.5</v>
      </c>
      <c r="AM12" s="205">
        <f>AD14</f>
        <v>136.2962962962963</v>
      </c>
      <c r="AN12" s="205" t="s">
        <v>27</v>
      </c>
      <c r="AO12" s="205">
        <v>7.5</v>
      </c>
      <c r="AP12" s="205">
        <f>AE14</f>
        <v>197.64</v>
      </c>
      <c r="AQ12" s="205" t="s">
        <v>27</v>
      </c>
      <c r="AR12" s="205">
        <v>7.5</v>
      </c>
      <c r="AS12" s="205">
        <f>AF14</f>
        <v>184.18</v>
      </c>
    </row>
    <row r="13" spans="1:45">
      <c r="A13" s="205" t="s">
        <v>25</v>
      </c>
      <c r="B13" s="205">
        <f>COS(RADIANS(B12))</f>
        <v>0.65526833938609963</v>
      </c>
      <c r="D13" s="205">
        <v>100</v>
      </c>
      <c r="E13" s="205">
        <f>J3</f>
        <v>229.91</v>
      </c>
      <c r="F13" s="205">
        <v>230.42</v>
      </c>
      <c r="G13" s="205">
        <v>229.36</v>
      </c>
      <c r="I13" s="205">
        <v>100</v>
      </c>
      <c r="J13" s="205">
        <v>235.99</v>
      </c>
      <c r="K13" s="205">
        <f>(630-44)/8*4/1.2</f>
        <v>244.16666666666669</v>
      </c>
      <c r="L13" s="205">
        <v>247.81</v>
      </c>
      <c r="M13" s="205">
        <v>223.79</v>
      </c>
      <c r="N13" s="17"/>
      <c r="O13" s="205" t="s">
        <v>10</v>
      </c>
      <c r="P13" s="205">
        <v>-15</v>
      </c>
      <c r="Q13" s="205">
        <f>J19</f>
        <v>211.52</v>
      </c>
      <c r="R13" s="205" t="s">
        <v>10</v>
      </c>
      <c r="S13" s="205">
        <v>-15</v>
      </c>
      <c r="T13" s="205">
        <f>K19</f>
        <v>187.5</v>
      </c>
      <c r="U13" s="205" t="s">
        <v>10</v>
      </c>
      <c r="V13" s="205">
        <v>-15</v>
      </c>
      <c r="W13" s="205">
        <f>L19</f>
        <v>220.83</v>
      </c>
      <c r="X13" s="205" t="s">
        <v>10</v>
      </c>
      <c r="Y13" s="205">
        <v>-15</v>
      </c>
      <c r="Z13" s="205">
        <f>M19</f>
        <v>201.98</v>
      </c>
      <c r="AA13" s="104">
        <v>169.39</v>
      </c>
      <c r="AB13" s="205">
        <v>100</v>
      </c>
      <c r="AC13" s="205">
        <v>224.39</v>
      </c>
      <c r="AD13" s="205">
        <f>(630-74)/9*4/1.2</f>
        <v>205.92592592592592</v>
      </c>
      <c r="AE13" s="205">
        <v>234.22</v>
      </c>
      <c r="AF13" s="205">
        <v>214.23</v>
      </c>
      <c r="AH13" s="205" t="s">
        <v>27</v>
      </c>
      <c r="AI13" s="205">
        <v>10</v>
      </c>
      <c r="AJ13" s="205">
        <f>AC19</f>
        <v>187.62</v>
      </c>
      <c r="AK13" s="205" t="s">
        <v>27</v>
      </c>
      <c r="AL13" s="205">
        <v>10</v>
      </c>
      <c r="AM13" s="205">
        <f>AD19</f>
        <v>129.25925925925927</v>
      </c>
      <c r="AN13" s="205" t="s">
        <v>27</v>
      </c>
      <c r="AO13" s="205">
        <v>10</v>
      </c>
      <c r="AP13" s="205">
        <f>AE19</f>
        <v>193.89</v>
      </c>
      <c r="AQ13" s="205" t="s">
        <v>27</v>
      </c>
      <c r="AR13" s="205">
        <v>10</v>
      </c>
      <c r="AS13" s="205">
        <f>AF19</f>
        <v>181.19</v>
      </c>
    </row>
    <row r="14" spans="1:45">
      <c r="A14" s="205" t="s">
        <v>26</v>
      </c>
      <c r="B14" s="205">
        <f>B5</f>
        <v>-1.8784359062401523</v>
      </c>
      <c r="C14">
        <f>IF(Plan1!E16=4,Plan1!E17,Plan1!B19)</f>
        <v>1.8784359062401523</v>
      </c>
      <c r="D14" s="205">
        <v>90</v>
      </c>
      <c r="E14" s="205">
        <f>J4</f>
        <v>199.36</v>
      </c>
      <c r="F14" s="205">
        <v>199.77</v>
      </c>
      <c r="G14" s="205">
        <v>198.91</v>
      </c>
      <c r="I14" s="205">
        <v>90</v>
      </c>
      <c r="J14" s="205">
        <v>207.94</v>
      </c>
      <c r="K14" s="205">
        <f>(630-204)/8*4/1.2</f>
        <v>177.5</v>
      </c>
      <c r="L14" s="205">
        <v>216.74</v>
      </c>
      <c r="M14" s="205">
        <v>198.94</v>
      </c>
      <c r="N14" s="17"/>
      <c r="O14" s="205" t="s">
        <v>10</v>
      </c>
      <c r="P14" s="205">
        <v>-20</v>
      </c>
      <c r="Q14" s="205">
        <f>J24</f>
        <v>214.74</v>
      </c>
      <c r="R14" s="205" t="s">
        <v>10</v>
      </c>
      <c r="S14" s="205">
        <v>-20</v>
      </c>
      <c r="T14" s="205">
        <f>K24</f>
        <v>196.66666666666669</v>
      </c>
      <c r="U14" s="205" t="s">
        <v>10</v>
      </c>
      <c r="V14" s="205">
        <v>-20</v>
      </c>
      <c r="W14" s="205">
        <f>L24</f>
        <v>224.55</v>
      </c>
      <c r="X14" s="205" t="s">
        <v>10</v>
      </c>
      <c r="Y14" s="205">
        <v>-20</v>
      </c>
      <c r="Z14" s="205">
        <f>M24</f>
        <v>204.71</v>
      </c>
      <c r="AB14" s="205">
        <v>90</v>
      </c>
      <c r="AC14" s="205">
        <v>191</v>
      </c>
      <c r="AD14" s="205">
        <f>(630-262)/9*4/1.2</f>
        <v>136.2962962962963</v>
      </c>
      <c r="AE14" s="205">
        <v>197.64</v>
      </c>
      <c r="AF14" s="205">
        <v>184.18</v>
      </c>
      <c r="AH14" s="205" t="s">
        <v>28</v>
      </c>
      <c r="AI14" s="9">
        <f>$B$2</f>
        <v>6.0220000000000002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192.83416791123071</v>
      </c>
      <c r="AK14" s="205" t="s">
        <v>28</v>
      </c>
      <c r="AL14" s="9">
        <f>$B$2</f>
        <v>6.0220000000000002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140.27645100973035</v>
      </c>
      <c r="AN14" s="205" t="s">
        <v>28</v>
      </c>
      <c r="AO14" s="9">
        <f>$B$2</f>
        <v>6.0220000000000002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199.68868903064256</v>
      </c>
      <c r="AQ14" s="205" t="s">
        <v>28</v>
      </c>
      <c r="AR14" s="9">
        <f>$B$2</f>
        <v>6.0220000000000002</v>
      </c>
      <c r="AS14" s="11">
        <f>AS10*(AR14-AR11)*(AR14-AR12)*(AR14-AR13)/((AR10-AR11)*(AR10-AR12)*(AR10-AR13))+AS11*(AR14-AR10)*(AR14-AR12)*(AR14-AR13)/((AR11-AR10)*(AR11-AR12)*(AR11-AR13))+AS12*(AR14-AR10)*(AR14-AR11)*(AR14-AR13)/((AR12-AR10)*(AR12-AR11)*(AR12-AR13))+AS13*(AR14-AR10)*(AR14-AR11)*(AR14-AR12)/((AR13-AR10)*(AR13-AR11)*(AR13-AR12))</f>
        <v>185.79819137944256</v>
      </c>
    </row>
    <row r="15" spans="1:45">
      <c r="D15" s="205">
        <v>80</v>
      </c>
      <c r="E15" s="205">
        <f>J5</f>
        <v>170.43</v>
      </c>
      <c r="F15" s="205">
        <v>170.75</v>
      </c>
      <c r="G15" s="205">
        <v>170.09</v>
      </c>
      <c r="I15" s="205">
        <v>80</v>
      </c>
      <c r="J15" s="205">
        <v>181.68</v>
      </c>
      <c r="K15" s="205">
        <f>(630-314)/8*4/1.2</f>
        <v>131.66666666666669</v>
      </c>
      <c r="L15" s="205">
        <v>188.39</v>
      </c>
      <c r="M15" s="205">
        <v>174.86</v>
      </c>
      <c r="N15" s="13"/>
      <c r="O15" s="205" t="s">
        <v>10</v>
      </c>
      <c r="P15" s="205">
        <v>-25</v>
      </c>
      <c r="Q15" s="205">
        <f>J29</f>
        <v>217.68</v>
      </c>
      <c r="R15" s="205" t="s">
        <v>10</v>
      </c>
      <c r="S15" s="205">
        <v>-25</v>
      </c>
      <c r="T15" s="205">
        <f>K29</f>
        <v>205.71428571428572</v>
      </c>
      <c r="U15" s="205" t="s">
        <v>10</v>
      </c>
      <c r="V15" s="205">
        <v>-25</v>
      </c>
      <c r="W15" s="205">
        <f>L29</f>
        <v>227.95</v>
      </c>
      <c r="X15" s="205" t="s">
        <v>10</v>
      </c>
      <c r="Y15" s="205">
        <v>-25</v>
      </c>
      <c r="Z15" s="205">
        <f>M29</f>
        <v>207.17</v>
      </c>
      <c r="AA15" s="207">
        <f>AA2-390</f>
        <v>-195</v>
      </c>
      <c r="AB15" s="205">
        <v>80</v>
      </c>
      <c r="AC15" s="205">
        <v>158.38</v>
      </c>
      <c r="AD15" s="205">
        <f>(630-391)/9*4/1.2</f>
        <v>88.518518518518533</v>
      </c>
      <c r="AE15" s="205">
        <v>162.81</v>
      </c>
      <c r="AF15" s="205">
        <v>153.87</v>
      </c>
      <c r="AH15" s="205"/>
      <c r="AI15" s="205"/>
      <c r="AJ15" s="205"/>
      <c r="AK15" s="205"/>
      <c r="AL15" s="205"/>
      <c r="AM15" s="205"/>
      <c r="AN15" s="205"/>
      <c r="AO15" s="205"/>
      <c r="AP15" s="205"/>
      <c r="AQ15" s="205"/>
      <c r="AR15" s="205"/>
      <c r="AS15" s="205"/>
    </row>
    <row r="16" spans="1:45">
      <c r="A16" s="205" t="s">
        <v>32</v>
      </c>
      <c r="B16" s="23">
        <f>$B$3*SIN(RADIANS($B$4))</f>
        <v>0.95798784374570456</v>
      </c>
      <c r="N16" s="13"/>
      <c r="O16" s="205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192.73015016932578</v>
      </c>
      <c r="R16" s="205" t="s">
        <v>11</v>
      </c>
      <c r="S16" s="9">
        <f>$B$2</f>
        <v>6.0220000000000002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135.08839558340486</v>
      </c>
      <c r="U16" s="205" t="s">
        <v>11</v>
      </c>
      <c r="V16" s="9">
        <f>$B$2</f>
        <v>6.0220000000000002</v>
      </c>
      <c r="W16" s="205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199.81078513486796</v>
      </c>
      <c r="X16" s="205" t="s">
        <v>11</v>
      </c>
      <c r="Y16" s="9">
        <f>$B$2</f>
        <v>6.0220000000000002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185.95492647143647</v>
      </c>
      <c r="AA16" s="207">
        <f>AA3-390</f>
        <v>-138</v>
      </c>
    </row>
    <row r="17" spans="1:45">
      <c r="A17" s="205" t="s">
        <v>33</v>
      </c>
      <c r="B17" s="23">
        <f>$B$3*COS(RADIANS($B$4))</f>
        <v>-0.28680880606329973</v>
      </c>
      <c r="D17"/>
      <c r="F17" s="207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207" t="s">
        <v>12</v>
      </c>
      <c r="R17" s="207"/>
      <c r="S17" s="207"/>
      <c r="T17" s="207" t="s">
        <v>13</v>
      </c>
      <c r="U17" s="207"/>
      <c r="V17" s="207"/>
      <c r="W17" s="207" t="s">
        <v>8</v>
      </c>
      <c r="X17" s="207"/>
      <c r="Y17" s="207"/>
      <c r="Z17" s="207" t="s">
        <v>9</v>
      </c>
      <c r="AA17" s="207">
        <f>AA4-390</f>
        <v>-87</v>
      </c>
      <c r="AB17" s="15">
        <v>10</v>
      </c>
      <c r="AC17" s="7" t="s">
        <v>6</v>
      </c>
      <c r="AD17" s="7" t="s">
        <v>7</v>
      </c>
      <c r="AE17" s="7" t="s">
        <v>8</v>
      </c>
      <c r="AF17" s="7" t="s">
        <v>9</v>
      </c>
      <c r="AJ17" s="207" t="s">
        <v>12</v>
      </c>
      <c r="AK17" s="207"/>
      <c r="AL17" s="207"/>
      <c r="AM17" s="207" t="s">
        <v>13</v>
      </c>
      <c r="AN17" s="207"/>
      <c r="AO17" s="207"/>
      <c r="AP17" s="207" t="s">
        <v>8</v>
      </c>
      <c r="AQ17" s="207"/>
      <c r="AR17" s="207"/>
      <c r="AS17" s="207" t="s">
        <v>9</v>
      </c>
    </row>
    <row r="18" spans="1:45">
      <c r="D18" s="205">
        <v>100</v>
      </c>
      <c r="E18" s="205">
        <f>E13</f>
        <v>229.91</v>
      </c>
      <c r="F18" s="11">
        <f>E13*((D13-(100/360))-D14)*((D13-(100/360))-D15)/((D13-D14)*(D13-D15))+E14*((D13-(100/360))-D13)*((D13-(100/360))-D15)/((D14-D13)*(D14-D15))+E15*((D13-(100/360))-D13)*((D13-(100/360))-D14)/((D15-D13)*(D15-D14))</f>
        <v>229.03951388888891</v>
      </c>
      <c r="G18" s="205">
        <v>229.36</v>
      </c>
      <c r="I18" s="205">
        <v>100</v>
      </c>
      <c r="J18" s="205">
        <v>238.63</v>
      </c>
      <c r="K18" s="205">
        <f>(630-21)/8*4/1.2</f>
        <v>253.75</v>
      </c>
      <c r="L18" s="205">
        <v>250.95</v>
      </c>
      <c r="M18" s="205">
        <v>225.92</v>
      </c>
      <c r="N18" s="13"/>
      <c r="O18" s="205" t="s">
        <v>10</v>
      </c>
      <c r="P18" s="205">
        <v>0</v>
      </c>
      <c r="Q18" s="205">
        <f>J5</f>
        <v>170.43</v>
      </c>
      <c r="R18" s="205" t="s">
        <v>10</v>
      </c>
      <c r="S18" s="205">
        <v>0</v>
      </c>
      <c r="T18" s="205">
        <f>K5</f>
        <v>109.25925925925927</v>
      </c>
      <c r="U18" s="205" t="s">
        <v>10</v>
      </c>
      <c r="V18" s="205">
        <v>0</v>
      </c>
      <c r="W18" s="205">
        <f>L5</f>
        <v>175.96</v>
      </c>
      <c r="X18" s="205" t="s">
        <v>10</v>
      </c>
      <c r="Y18" s="205">
        <v>0</v>
      </c>
      <c r="Z18" s="205">
        <f>M5</f>
        <v>164.81</v>
      </c>
      <c r="AB18" s="205">
        <v>100</v>
      </c>
      <c r="AC18" s="205">
        <v>222.3</v>
      </c>
      <c r="AD18" s="205">
        <f>(630-91)/9*4/1.2</f>
        <v>199.62962962962962</v>
      </c>
      <c r="AE18" s="205">
        <v>231.81</v>
      </c>
      <c r="AF18" s="205">
        <v>212.48</v>
      </c>
      <c r="AH18" s="205" t="s">
        <v>27</v>
      </c>
      <c r="AI18" s="205">
        <v>0</v>
      </c>
      <c r="AJ18" s="205">
        <f>AC5</f>
        <v>170.43</v>
      </c>
      <c r="AK18" s="205" t="s">
        <v>27</v>
      </c>
      <c r="AL18" s="205">
        <v>0</v>
      </c>
      <c r="AM18" s="205">
        <f>AD5</f>
        <v>109.25925925925927</v>
      </c>
      <c r="AN18" s="205" t="s">
        <v>27</v>
      </c>
      <c r="AO18" s="205">
        <v>0</v>
      </c>
      <c r="AP18" s="205">
        <f>AE5</f>
        <v>175.96</v>
      </c>
      <c r="AQ18" s="205" t="s">
        <v>27</v>
      </c>
      <c r="AR18" s="205">
        <v>0</v>
      </c>
      <c r="AS18" s="205">
        <f>AF5</f>
        <v>164.81</v>
      </c>
    </row>
    <row r="19" spans="1:45">
      <c r="A19" s="205" t="s">
        <v>31</v>
      </c>
      <c r="B19" s="205" t="s">
        <v>35</v>
      </c>
      <c r="D19" s="205">
        <v>90</v>
      </c>
      <c r="E19" s="205">
        <f>E14</f>
        <v>199.36</v>
      </c>
      <c r="F19" s="11">
        <f>E13*((D14-(100/360))-D14)*((D14-(100/360))-D15)/((D13-D14)*(D13-D15))+E14*((D14-(100/360))-D13)*((D14-(100/360))-D15)/((D14-D13)*(D14-D15))+E15*((D14-(100/360))-D13)*((D14-(100/360))-D14)/((D15-D13)*(D15-D14))</f>
        <v>198.53451388888894</v>
      </c>
      <c r="G19" s="205">
        <v>198.91</v>
      </c>
      <c r="I19" s="205">
        <v>90</v>
      </c>
      <c r="J19" s="205">
        <v>211.52</v>
      </c>
      <c r="K19" s="205">
        <f>(630-180)/8*4/1.2</f>
        <v>187.5</v>
      </c>
      <c r="L19" s="205">
        <v>220.83</v>
      </c>
      <c r="M19" s="205">
        <v>201.98</v>
      </c>
      <c r="N19" s="13"/>
      <c r="O19" s="205" t="s">
        <v>10</v>
      </c>
      <c r="P19" s="205">
        <v>-5</v>
      </c>
      <c r="Q19" s="205">
        <f>J10</f>
        <v>176.52</v>
      </c>
      <c r="R19" s="205" t="s">
        <v>10</v>
      </c>
      <c r="S19" s="205">
        <v>-5</v>
      </c>
      <c r="T19" s="205">
        <f>K10</f>
        <v>120.74074074074075</v>
      </c>
      <c r="U19" s="205" t="s">
        <v>10</v>
      </c>
      <c r="V19" s="205">
        <v>-5</v>
      </c>
      <c r="W19" s="205">
        <f>L10</f>
        <v>182.66</v>
      </c>
      <c r="X19" s="205" t="s">
        <v>10</v>
      </c>
      <c r="Y19" s="205">
        <v>-5</v>
      </c>
      <c r="Z19" s="205">
        <f>M10</f>
        <v>170.27</v>
      </c>
      <c r="AB19" s="205">
        <v>90</v>
      </c>
      <c r="AC19" s="205">
        <v>187.62</v>
      </c>
      <c r="AD19" s="205">
        <f>(630-281)/9*4/1.2</f>
        <v>129.25925925925927</v>
      </c>
      <c r="AE19" s="205">
        <v>193.89</v>
      </c>
      <c r="AF19" s="205">
        <v>181.19</v>
      </c>
      <c r="AH19" s="205" t="s">
        <v>27</v>
      </c>
      <c r="AI19" s="205">
        <v>5</v>
      </c>
      <c r="AJ19" s="205">
        <f>AC10</f>
        <v>162.94</v>
      </c>
      <c r="AK19" s="205" t="s">
        <v>27</v>
      </c>
      <c r="AL19" s="205">
        <v>5</v>
      </c>
      <c r="AM19" s="205">
        <f>AD10</f>
        <v>95.925925925925938</v>
      </c>
      <c r="AN19" s="205" t="s">
        <v>27</v>
      </c>
      <c r="AO19" s="205">
        <v>5</v>
      </c>
      <c r="AP19" s="205">
        <f>AE10</f>
        <v>167.76</v>
      </c>
      <c r="AQ19" s="205" t="s">
        <v>27</v>
      </c>
      <c r="AR19" s="205">
        <v>5</v>
      </c>
      <c r="AS19" s="205">
        <f>AF10</f>
        <v>158.02000000000001</v>
      </c>
    </row>
    <row r="20" spans="1:45">
      <c r="A20" s="22">
        <f>(F23*($E$8-E24)*($E$8-E25)/((E23-E24)*(E23-E25))+F24*($E$8-E23)*($E$8-E25)/((E24-E23)*(E24-E25))+F25*($E$8-E23)*($E$8-E24)/((E25-E23)*(E25-E24)))</f>
        <v>264.82520042934101</v>
      </c>
      <c r="B20" s="23">
        <f>(B16*A20+(A21*B14))/($E$8*(44/17.5))</f>
        <v>-0.3931592601364971</v>
      </c>
      <c r="D20" s="205">
        <v>80</v>
      </c>
      <c r="E20" s="205">
        <f>E15</f>
        <v>170.43</v>
      </c>
      <c r="F20" s="11">
        <f>E13*((D15-(100/360))-D14)*((D15-(100/360))-D15)/((D13-D14)*(D13-D15))+E14*((D15-(100/360))-D13)*((D15-(100/360))-D15)/((D14-D13)*(D14-D15))+E15*((D15-(100/360))-D13)*((D15-(100/360))-D14)/((D15-D13)*(D15-D14))</f>
        <v>169.64951388888892</v>
      </c>
      <c r="G20" s="205">
        <v>170.09</v>
      </c>
      <c r="I20" s="205">
        <v>80</v>
      </c>
      <c r="J20" s="205">
        <v>186.17</v>
      </c>
      <c r="K20" s="205">
        <f>(630-290)/8*4/1.2</f>
        <v>141.66666666666669</v>
      </c>
      <c r="L20" s="205">
        <v>193.4</v>
      </c>
      <c r="M20" s="205">
        <v>178.82</v>
      </c>
      <c r="N20" s="16"/>
      <c r="O20" s="205" t="s">
        <v>10</v>
      </c>
      <c r="P20" s="205">
        <v>-10</v>
      </c>
      <c r="Q20" s="205">
        <f>J15</f>
        <v>181.68</v>
      </c>
      <c r="R20" s="205" t="s">
        <v>10</v>
      </c>
      <c r="S20" s="205">
        <v>-10</v>
      </c>
      <c r="T20" s="205">
        <f>K15</f>
        <v>131.66666666666669</v>
      </c>
      <c r="U20" s="205" t="s">
        <v>10</v>
      </c>
      <c r="V20" s="205">
        <v>-10</v>
      </c>
      <c r="W20" s="205">
        <f>L15</f>
        <v>188.39</v>
      </c>
      <c r="X20" s="205" t="s">
        <v>10</v>
      </c>
      <c r="Y20" s="205">
        <v>-10</v>
      </c>
      <c r="Z20" s="205">
        <f>M15</f>
        <v>174.86</v>
      </c>
      <c r="AB20" s="205">
        <v>80</v>
      </c>
      <c r="AC20" s="205">
        <v>152.97999999999999</v>
      </c>
      <c r="AD20" s="205">
        <f>(630-413)/9*4/1.2</f>
        <v>80.370370370370367</v>
      </c>
      <c r="AE20" s="205">
        <v>156.96</v>
      </c>
      <c r="AF20" s="205">
        <v>148.91999999999999</v>
      </c>
      <c r="AH20" s="205" t="s">
        <v>27</v>
      </c>
      <c r="AI20" s="205">
        <v>7.5</v>
      </c>
      <c r="AJ20" s="205">
        <f>AC15</f>
        <v>158.38</v>
      </c>
      <c r="AK20" s="205" t="s">
        <v>27</v>
      </c>
      <c r="AL20" s="205">
        <v>7.5</v>
      </c>
      <c r="AM20" s="205">
        <f>AD15</f>
        <v>88.518518518518533</v>
      </c>
      <c r="AN20" s="205" t="s">
        <v>27</v>
      </c>
      <c r="AO20" s="205">
        <v>7.5</v>
      </c>
      <c r="AP20" s="205">
        <f>AE15</f>
        <v>162.81</v>
      </c>
      <c r="AQ20" s="205" t="s">
        <v>27</v>
      </c>
      <c r="AR20" s="205">
        <v>7.5</v>
      </c>
      <c r="AS20" s="205">
        <f>AF15</f>
        <v>153.87</v>
      </c>
    </row>
    <row r="21" spans="1:45">
      <c r="A21" s="22">
        <f>A20*1</f>
        <v>264.82520042934101</v>
      </c>
      <c r="N21" s="16"/>
      <c r="O21" s="205" t="s">
        <v>10</v>
      </c>
      <c r="P21" s="205">
        <v>-15</v>
      </c>
      <c r="Q21" s="205">
        <f>J20</f>
        <v>186.17</v>
      </c>
      <c r="R21" s="205" t="s">
        <v>10</v>
      </c>
      <c r="S21" s="205">
        <v>-15</v>
      </c>
      <c r="T21" s="205">
        <f>K20</f>
        <v>141.66666666666669</v>
      </c>
      <c r="U21" s="205" t="s">
        <v>10</v>
      </c>
      <c r="V21" s="205">
        <v>-15</v>
      </c>
      <c r="W21" s="205">
        <f>L20</f>
        <v>193.4</v>
      </c>
      <c r="X21" s="205" t="s">
        <v>10</v>
      </c>
      <c r="Y21" s="205">
        <v>-15</v>
      </c>
      <c r="Z21" s="205">
        <f>M20</f>
        <v>178.82</v>
      </c>
      <c r="AH21" s="205" t="s">
        <v>27</v>
      </c>
      <c r="AI21" s="205">
        <v>10</v>
      </c>
      <c r="AJ21" s="205">
        <f>AC20</f>
        <v>152.97999999999999</v>
      </c>
      <c r="AK21" s="205" t="s">
        <v>27</v>
      </c>
      <c r="AL21" s="205">
        <v>10</v>
      </c>
      <c r="AM21" s="205">
        <f>AD20</f>
        <v>80.370370370370367</v>
      </c>
      <c r="AN21" s="205" t="s">
        <v>27</v>
      </c>
      <c r="AO21" s="205">
        <v>10</v>
      </c>
      <c r="AP21" s="205">
        <f>AE20</f>
        <v>156.96</v>
      </c>
      <c r="AQ21" s="205" t="s">
        <v>27</v>
      </c>
      <c r="AR21" s="205">
        <v>10</v>
      </c>
      <c r="AS21" s="205">
        <f>AF20</f>
        <v>148.91999999999999</v>
      </c>
    </row>
    <row r="22" spans="1:45">
      <c r="D22"/>
      <c r="E22" s="207" t="s">
        <v>6</v>
      </c>
      <c r="F22" s="207" t="s">
        <v>7</v>
      </c>
      <c r="G22" s="207" t="s">
        <v>29</v>
      </c>
      <c r="H22" s="207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205" t="s">
        <v>10</v>
      </c>
      <c r="P22" s="205">
        <v>-20</v>
      </c>
      <c r="Q22" s="205">
        <f>J25</f>
        <v>190.15</v>
      </c>
      <c r="R22" s="205" t="s">
        <v>10</v>
      </c>
      <c r="S22" s="205">
        <v>-20</v>
      </c>
      <c r="T22" s="205">
        <f>K25</f>
        <v>150.95238095238096</v>
      </c>
      <c r="U22" s="205" t="s">
        <v>10</v>
      </c>
      <c r="V22" s="205">
        <v>-20</v>
      </c>
      <c r="W22" s="205">
        <f>L25</f>
        <v>197.86</v>
      </c>
      <c r="X22" s="205" t="s">
        <v>10</v>
      </c>
      <c r="Y22" s="205">
        <v>-20</v>
      </c>
      <c r="Z22" s="205">
        <f>M25</f>
        <v>182.3</v>
      </c>
      <c r="AH22" s="205" t="s">
        <v>28</v>
      </c>
      <c r="AI22" s="9">
        <f>$B$2</f>
        <v>6.0220000000000002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161.16311771238207</v>
      </c>
      <c r="AK22" s="205" t="s">
        <v>28</v>
      </c>
      <c r="AL22" s="9">
        <f>$B$2</f>
        <v>6.0220000000000002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92.975420537979275</v>
      </c>
      <c r="AN22" s="205" t="s">
        <v>28</v>
      </c>
      <c r="AO22" s="9">
        <f>$B$2</f>
        <v>6.0220000000000002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165.82917359827201</v>
      </c>
      <c r="AQ22" s="205" t="s">
        <v>28</v>
      </c>
      <c r="AR22" s="9">
        <f>$B$2</f>
        <v>6.0220000000000002</v>
      </c>
      <c r="AS22" s="11">
        <f>AS18*(AR22-AR19)*(AR22-AR20)*(AR22-AR21)/((AR18-AR19)*(AR18-AR20)*(AR18-AR21))+AS19*(AR22-AR18)*(AR22-AR20)*(AR22-AR21)/((AR19-AR18)*(AR19-AR20)*(AR19-AR21))+AS20*(AR22-AR18)*(AR22-AR19)*(AR22-AR21)/((AR20-AR18)*(AR20-AR19)*(AR20-AR21))+AS21*(AR22-AR18)*(AR22-AR19)*(AR22-AR20)/((AR21-AR18)*(AR21-AR19)*(AR21-AR20))</f>
        <v>156.4058920611821</v>
      </c>
    </row>
    <row r="23" spans="1:45">
      <c r="A23" s="205" t="s">
        <v>36</v>
      </c>
      <c r="B23" s="23">
        <f>$B$3*SIN(RADIANS($B$4+B20*0.707))</f>
        <v>0.95936798325873918</v>
      </c>
      <c r="D23" s="205">
        <v>100</v>
      </c>
      <c r="E23" s="205">
        <f>IF($B$2&gt;0,AJ6,Q8)</f>
        <v>225.55831565936447</v>
      </c>
      <c r="F23" s="205">
        <f>IF($B$2&gt;0,AM6,T8)</f>
        <v>209.46222006390519</v>
      </c>
      <c r="G23" s="205">
        <f>IF($B$2&gt;0,AP6,W8)</f>
        <v>235.57830083705085</v>
      </c>
      <c r="H23" s="22">
        <f>IF($B$2&gt;0,AS6,Z8)</f>
        <v>215.20719554037635</v>
      </c>
      <c r="I23" s="205">
        <v>100</v>
      </c>
      <c r="J23" s="205">
        <v>241.06</v>
      </c>
      <c r="K23" s="205">
        <f>(630-78)/7*4/1.2</f>
        <v>262.85714285714289</v>
      </c>
      <c r="L23" s="205">
        <v>253.85</v>
      </c>
      <c r="M23" s="205">
        <v>227.86</v>
      </c>
      <c r="O23" s="205" t="s">
        <v>10</v>
      </c>
      <c r="P23" s="205">
        <v>-25</v>
      </c>
      <c r="Q23" s="205">
        <f>J30</f>
        <v>193.72</v>
      </c>
      <c r="R23" s="205" t="s">
        <v>10</v>
      </c>
      <c r="S23" s="205">
        <v>-25</v>
      </c>
      <c r="T23" s="205">
        <f>K30</f>
        <v>160</v>
      </c>
      <c r="U23" s="205" t="s">
        <v>10</v>
      </c>
      <c r="V23" s="205">
        <v>-25</v>
      </c>
      <c r="W23" s="205">
        <f>L30</f>
        <v>201.89</v>
      </c>
      <c r="X23" s="205" t="s">
        <v>10</v>
      </c>
      <c r="Y23" s="205">
        <v>-25</v>
      </c>
      <c r="Z23" s="205">
        <f>M30</f>
        <v>185.39</v>
      </c>
      <c r="AH23" s="205"/>
      <c r="AI23" s="205"/>
      <c r="AJ23" s="205"/>
      <c r="AK23" s="205"/>
      <c r="AL23" s="205"/>
      <c r="AM23" s="205"/>
      <c r="AN23" s="205"/>
      <c r="AO23" s="205"/>
      <c r="AP23" s="205"/>
      <c r="AQ23" s="205"/>
      <c r="AR23" s="205"/>
      <c r="AS23" s="205"/>
    </row>
    <row r="24" spans="1:45">
      <c r="A24" s="205" t="s">
        <v>37</v>
      </c>
      <c r="B24" s="23">
        <f>$B$3*COS(RADIANS($B$4+B20*0.5))</f>
        <v>-0.28352030474431816</v>
      </c>
      <c r="D24" s="205">
        <v>90</v>
      </c>
      <c r="E24" s="205">
        <f>IF($B$2&gt;0,AJ14,Q16)</f>
        <v>192.83416791123071</v>
      </c>
      <c r="F24" s="205">
        <f>IF($B$2&gt;0,AM14,T16)</f>
        <v>140.27645100973035</v>
      </c>
      <c r="G24" s="205">
        <f>IF($B$2&gt;0,AP14,W16)</f>
        <v>199.68868903064256</v>
      </c>
      <c r="H24" s="22">
        <f>IF($B$2&gt;0,AS14,Z16)</f>
        <v>185.79819137944256</v>
      </c>
      <c r="I24" s="205">
        <v>90</v>
      </c>
      <c r="J24" s="205">
        <v>214.74</v>
      </c>
      <c r="K24" s="205">
        <f>(630-217)/7*4/1.2</f>
        <v>196.66666666666669</v>
      </c>
      <c r="L24" s="205">
        <v>224.55</v>
      </c>
      <c r="M24" s="205">
        <v>204.71</v>
      </c>
      <c r="O24" s="205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161.28088320305386</v>
      </c>
      <c r="R24" s="205" t="s">
        <v>11</v>
      </c>
      <c r="S24" s="9">
        <f>$B$2</f>
        <v>6.0220000000000002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96.578536839235028</v>
      </c>
      <c r="U24" s="205" t="s">
        <v>11</v>
      </c>
      <c r="V24" s="9">
        <f>$B$2</f>
        <v>6.0220000000000002</v>
      </c>
      <c r="W24" s="205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166.08260002323459</v>
      </c>
      <c r="X24" s="205" t="s">
        <v>11</v>
      </c>
      <c r="Y24" s="9">
        <f>$B$2</f>
        <v>6.0220000000000002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156.55808042595197</v>
      </c>
    </row>
    <row r="25" spans="1:45">
      <c r="D25" s="205">
        <v>80</v>
      </c>
      <c r="E25" s="205">
        <f>IF($B$2&gt;0,AJ22,Q24)</f>
        <v>161.16311771238207</v>
      </c>
      <c r="F25" s="205">
        <f>IF($B$2&gt;0,AM22,T24)</f>
        <v>92.975420537979275</v>
      </c>
      <c r="G25" s="205">
        <f>IF($B$2&gt;0,AP22,W24)</f>
        <v>165.82917359827201</v>
      </c>
      <c r="H25" s="22">
        <f>IF($B$2&gt;0,AS22,Z24)</f>
        <v>156.4058920611821</v>
      </c>
      <c r="I25" s="205">
        <v>80</v>
      </c>
      <c r="J25" s="205">
        <v>190.15</v>
      </c>
      <c r="K25" s="205">
        <f>(630-313)/7*4/1.2</f>
        <v>150.95238095238096</v>
      </c>
      <c r="L25" s="205">
        <v>197.86</v>
      </c>
      <c r="M25" s="205">
        <v>182.3</v>
      </c>
    </row>
    <row r="26" spans="1:45">
      <c r="A26" s="235" t="s">
        <v>39</v>
      </c>
      <c r="B26" s="236"/>
    </row>
    <row r="27" spans="1:45">
      <c r="A27" s="205">
        <f>F18*(E10-E19)*(E10-E20)/((E18-E19)*(E18-E20))+F19*(E10-E18)*(E10-E20)/((E19-E18)*(E19-E20))+F20*(E10-E18)*(E10-E19)/((E20-E18)*(E20-E19))</f>
        <v>257.11839035527112</v>
      </c>
      <c r="B27" s="205">
        <f>G18*(E10-E19)*(E10-E20)/((E18-E19)*(E18-E20))+G19*(E10-E18)*(E10-E20)/((E19-E18)*(E19-E20))+G20*(E10-E18)*(E10-E19)/((E20-E18)*(E20-E19))</f>
        <v>257.40063746460254</v>
      </c>
      <c r="D27"/>
      <c r="E27" s="235" t="s">
        <v>231</v>
      </c>
      <c r="F27" s="236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P27" s="98"/>
      <c r="R27" s="14"/>
      <c r="T27" s="207"/>
      <c r="V27" s="14"/>
      <c r="Y27" s="207"/>
      <c r="Z27" s="207"/>
      <c r="AA27" s="207"/>
      <c r="AB27" s="207"/>
      <c r="AC27" s="207"/>
      <c r="AD27" s="207"/>
      <c r="AE27" s="207"/>
      <c r="AF27" s="207"/>
    </row>
    <row r="28" spans="1:45">
      <c r="D28"/>
      <c r="E28" s="205">
        <v>100</v>
      </c>
      <c r="F28" s="11">
        <f>E23*(B24-9)*(B24--9)/((0-9)*(0--9))+G23*(B24-0)*(B24--9)/((9-0)*(9--9))+H23*(B24-0)*(B24-9)/((-9-0)*(-9-9))</f>
        <v>225.23728346363643</v>
      </c>
      <c r="G28" s="12"/>
      <c r="H28" s="12"/>
      <c r="I28" s="205">
        <v>100</v>
      </c>
      <c r="J28" s="205">
        <v>243.3</v>
      </c>
      <c r="K28" s="205">
        <f>(630-60)/7*4/1.2</f>
        <v>271.42857142857144</v>
      </c>
      <c r="L28" s="205">
        <v>256.55</v>
      </c>
      <c r="M28" s="205">
        <v>229.63</v>
      </c>
      <c r="P28" s="14"/>
      <c r="AA28" s="207"/>
      <c r="AB28" s="207"/>
      <c r="AC28" s="207"/>
      <c r="AD28" s="207"/>
      <c r="AE28" s="207"/>
      <c r="AF28" s="207"/>
    </row>
    <row r="29" spans="1:45">
      <c r="A29" s="205" t="s">
        <v>41</v>
      </c>
      <c r="B29" s="205" t="s">
        <v>42</v>
      </c>
      <c r="D29"/>
      <c r="E29" s="205">
        <v>90</v>
      </c>
      <c r="F29" s="11">
        <f>E24*(B24-9)*(B24--9)/((0-9)*(0--9))+G24*(B24-0)*(B24--9)/((9-0)*(9--9))+H24*(B24-0)*(B24-9)/((-9-0)*(-9-9))</f>
        <v>192.61528686670621</v>
      </c>
      <c r="G29" s="12"/>
      <c r="H29" s="12"/>
      <c r="I29" s="205">
        <v>90</v>
      </c>
      <c r="J29" s="205">
        <v>217.68</v>
      </c>
      <c r="K29" s="205">
        <f>(630-198)/7*4/1.2</f>
        <v>205.71428571428572</v>
      </c>
      <c r="L29" s="205">
        <v>227.95</v>
      </c>
      <c r="M29" s="205">
        <v>207.17</v>
      </c>
      <c r="P29" s="14"/>
      <c r="AA29" s="207"/>
      <c r="AB29" s="207"/>
      <c r="AC29" s="207"/>
      <c r="AD29" s="207"/>
      <c r="AE29" s="207"/>
      <c r="AF29" s="207"/>
    </row>
    <row r="30" spans="1:45">
      <c r="A30" s="23">
        <f>E28*(E10-F29)*(E10-F30)/((F28-F29)*(F28-F30))+E29*(E10-F28)*(E10-F30)/((F29-F28)*(F29-F30))+E30*(E10-F28)*(E10-F29)/((F30-F28)*(F30-F29))</f>
        <v>109.72082281488316</v>
      </c>
      <c r="B30" s="24">
        <f>(F23*(A30-D24)*(A30-D25)/((D23-D24)*(D23-D25))+F24*(A30-D23)*(A30-D25)/((D24-D23)*(D24-D25))+F25*(A30-D23)*(A30-D24)/((D25-D23)*(D25-D24)))*(B23+(B14*8/9*(A21/A20))*(A30/100))</f>
        <v>-259.78604501174311</v>
      </c>
      <c r="D30"/>
      <c r="E30" s="205">
        <v>80</v>
      </c>
      <c r="F30" s="11">
        <f>E25*(B24-9)*(B24--9)/((0-9)*(0--9))+G25*(B24-0)*(B24--9)/((9-0)*(9--9))+H25*(B24-0)*(B24-9)/((-9-0)*(-9-9))</f>
        <v>161.01464516024248</v>
      </c>
      <c r="G30" s="12"/>
      <c r="H30" s="12"/>
      <c r="I30" s="205">
        <v>80</v>
      </c>
      <c r="J30" s="205">
        <v>193.72</v>
      </c>
      <c r="K30" s="205">
        <f>(630-294)/7*4/1.2</f>
        <v>160</v>
      </c>
      <c r="L30" s="205">
        <v>201.89</v>
      </c>
      <c r="M30" s="205">
        <v>185.39</v>
      </c>
      <c r="P30" s="14"/>
      <c r="AA30" s="207"/>
      <c r="AB30" s="207"/>
      <c r="AC30" s="207"/>
      <c r="AD30" s="207"/>
      <c r="AE30" s="207"/>
      <c r="AF30" s="207"/>
    </row>
    <row r="31" spans="1:45">
      <c r="A31" s="205" t="s">
        <v>44</v>
      </c>
      <c r="B31" s="205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257.11839035527112</v>
      </c>
      <c r="P31" s="14"/>
    </row>
    <row r="32" spans="1:45">
      <c r="A32" s="25">
        <f>(360-ROUNDDOWN((1-(A30/100))*360,0))*256/360</f>
        <v>280.17777777777781</v>
      </c>
      <c r="B32" s="11">
        <f>MOD((A30/100)*-360,1)*-(($E$10-A27)/($E$10-B27))+11</f>
        <v>10.992695647558234</v>
      </c>
      <c r="D32"/>
      <c r="P32" s="14"/>
    </row>
    <row r="33" spans="1:45">
      <c r="D33"/>
      <c r="P33" s="14"/>
      <c r="T33" s="14"/>
    </row>
    <row r="34" spans="1:45">
      <c r="D34"/>
      <c r="P34" s="14"/>
      <c r="T34" s="14"/>
    </row>
    <row r="35" spans="1:45">
      <c r="D35"/>
      <c r="P35" s="14"/>
      <c r="T35" s="14"/>
    </row>
    <row r="36" spans="1:45">
      <c r="D36"/>
      <c r="Q36" s="207" t="s">
        <v>12</v>
      </c>
      <c r="R36" s="207"/>
      <c r="S36" s="207"/>
      <c r="T36" s="207" t="s">
        <v>13</v>
      </c>
      <c r="U36" s="207"/>
      <c r="V36" s="207"/>
      <c r="W36" s="207" t="s">
        <v>8</v>
      </c>
      <c r="X36" s="207"/>
      <c r="Y36" s="207"/>
      <c r="Z36" s="207" t="s">
        <v>9</v>
      </c>
      <c r="AJ36" s="207" t="s">
        <v>12</v>
      </c>
      <c r="AK36" s="207"/>
      <c r="AL36" s="207"/>
      <c r="AM36" s="207" t="s">
        <v>13</v>
      </c>
      <c r="AN36" s="207"/>
      <c r="AO36" s="207"/>
      <c r="AP36" s="207" t="s">
        <v>8</v>
      </c>
      <c r="AQ36" s="207"/>
      <c r="AR36" s="207"/>
      <c r="AS36" s="207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205" t="s">
        <v>10</v>
      </c>
      <c r="P37" s="205">
        <v>0</v>
      </c>
      <c r="Q37" s="205">
        <f>J38</f>
        <v>170.43</v>
      </c>
      <c r="R37" s="205" t="s">
        <v>10</v>
      </c>
      <c r="S37" s="205">
        <v>0</v>
      </c>
      <c r="T37" s="205">
        <f>K38</f>
        <v>109.25925925925927</v>
      </c>
      <c r="U37" s="205" t="s">
        <v>10</v>
      </c>
      <c r="V37" s="205">
        <v>0</v>
      </c>
      <c r="W37" s="205">
        <f>L38</f>
        <v>175.96</v>
      </c>
      <c r="X37" s="205" t="s">
        <v>10</v>
      </c>
      <c r="Y37" s="205">
        <v>0</v>
      </c>
      <c r="Z37" s="205">
        <f>M38</f>
        <v>164.81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205" t="s">
        <v>27</v>
      </c>
      <c r="AI37" s="205">
        <v>0</v>
      </c>
      <c r="AJ37" s="205">
        <f>AC38</f>
        <v>170.43</v>
      </c>
      <c r="AK37" s="205" t="s">
        <v>27</v>
      </c>
      <c r="AL37" s="205">
        <v>0</v>
      </c>
      <c r="AM37" s="205">
        <f>AD38</f>
        <v>109.25925925925927</v>
      </c>
      <c r="AN37" s="205" t="s">
        <v>27</v>
      </c>
      <c r="AO37" s="205">
        <v>0</v>
      </c>
      <c r="AP37" s="205">
        <f>AE38</f>
        <v>175.96</v>
      </c>
      <c r="AQ37" s="205" t="s">
        <v>27</v>
      </c>
      <c r="AR37" s="205">
        <v>0</v>
      </c>
      <c r="AS37" s="205">
        <f>AF38</f>
        <v>164.81</v>
      </c>
    </row>
    <row r="38" spans="1:45">
      <c r="D38"/>
      <c r="F38" s="239" t="s">
        <v>217</v>
      </c>
      <c r="G38" s="239"/>
      <c r="H38" s="239"/>
      <c r="I38" s="211">
        <v>80</v>
      </c>
      <c r="J38" s="211">
        <v>170.43</v>
      </c>
      <c r="K38" s="211">
        <f>(630-335)/9*4/1.2</f>
        <v>109.25925925925927</v>
      </c>
      <c r="L38" s="211">
        <v>175.96</v>
      </c>
      <c r="M38" s="211">
        <v>164.81</v>
      </c>
      <c r="O38" s="205" t="s">
        <v>10</v>
      </c>
      <c r="P38" s="205">
        <v>-5</v>
      </c>
      <c r="Q38" s="205">
        <f>J43</f>
        <v>176.52</v>
      </c>
      <c r="R38" s="205" t="s">
        <v>10</v>
      </c>
      <c r="S38" s="205">
        <v>-5</v>
      </c>
      <c r="T38" s="205">
        <f>K43</f>
        <v>120.74074074074075</v>
      </c>
      <c r="U38" s="205" t="s">
        <v>10</v>
      </c>
      <c r="V38" s="205">
        <v>-5</v>
      </c>
      <c r="W38" s="205">
        <f>L43</f>
        <v>182.66</v>
      </c>
      <c r="X38" s="205" t="s">
        <v>10</v>
      </c>
      <c r="Y38" s="205">
        <v>-5</v>
      </c>
      <c r="Z38" s="205">
        <f>M43</f>
        <v>170.27</v>
      </c>
      <c r="AB38" s="163">
        <v>80</v>
      </c>
      <c r="AC38" s="205">
        <f>J38</f>
        <v>170.43</v>
      </c>
      <c r="AD38" s="205">
        <f t="shared" ref="AD38:AD40" si="2">K38</f>
        <v>109.25925925925927</v>
      </c>
      <c r="AE38" s="205">
        <f t="shared" ref="AE38:AE40" si="3">L38</f>
        <v>175.96</v>
      </c>
      <c r="AF38" s="205">
        <f t="shared" ref="AF38:AF40" si="4">M38</f>
        <v>164.81</v>
      </c>
      <c r="AH38" s="205" t="s">
        <v>27</v>
      </c>
      <c r="AI38" s="205">
        <v>5</v>
      </c>
      <c r="AJ38" s="205">
        <f>AC43</f>
        <v>162.94</v>
      </c>
      <c r="AK38" s="205" t="s">
        <v>27</v>
      </c>
      <c r="AL38" s="205">
        <v>5</v>
      </c>
      <c r="AM38" s="205">
        <f>AD43</f>
        <v>95.925925925925938</v>
      </c>
      <c r="AN38" s="205" t="s">
        <v>27</v>
      </c>
      <c r="AO38" s="205">
        <v>5</v>
      </c>
      <c r="AP38" s="205">
        <f>AE43</f>
        <v>167.76</v>
      </c>
      <c r="AQ38" s="205" t="s">
        <v>27</v>
      </c>
      <c r="AR38" s="205">
        <v>5</v>
      </c>
      <c r="AS38" s="205">
        <f>AF43</f>
        <v>158.02000000000001</v>
      </c>
    </row>
    <row r="39" spans="1:45">
      <c r="F39" s="239"/>
      <c r="G39" s="239"/>
      <c r="H39" s="239"/>
      <c r="I39" s="211">
        <v>70</v>
      </c>
      <c r="J39" s="211">
        <v>144.07</v>
      </c>
      <c r="K39" s="211">
        <f>(630-420)/9*4/1.2</f>
        <v>77.777777777777771</v>
      </c>
      <c r="L39" s="211">
        <v>148.13</v>
      </c>
      <c r="M39" s="211">
        <v>139.94999999999999</v>
      </c>
      <c r="N39" s="16"/>
      <c r="O39" s="205" t="s">
        <v>10</v>
      </c>
      <c r="P39" s="205">
        <v>-10</v>
      </c>
      <c r="Q39" s="205">
        <f>J48</f>
        <v>181.68</v>
      </c>
      <c r="R39" s="205" t="s">
        <v>10</v>
      </c>
      <c r="S39" s="205">
        <v>-10</v>
      </c>
      <c r="T39" s="205">
        <f>K48</f>
        <v>131.66666666666669</v>
      </c>
      <c r="U39" s="205" t="s">
        <v>10</v>
      </c>
      <c r="V39" s="205">
        <v>-10</v>
      </c>
      <c r="W39" s="205">
        <f>L48</f>
        <v>188.39</v>
      </c>
      <c r="X39" s="205" t="s">
        <v>10</v>
      </c>
      <c r="Y39" s="205">
        <v>-10</v>
      </c>
      <c r="Z39" s="205">
        <f>M48</f>
        <v>174.86</v>
      </c>
      <c r="AB39" s="163">
        <v>70</v>
      </c>
      <c r="AC39" s="205">
        <f t="shared" ref="AC39:AC40" si="5">J39</f>
        <v>144.07</v>
      </c>
      <c r="AD39" s="205">
        <f t="shared" si="2"/>
        <v>77.777777777777771</v>
      </c>
      <c r="AE39" s="205">
        <f t="shared" si="3"/>
        <v>148.13</v>
      </c>
      <c r="AF39" s="205">
        <f t="shared" si="4"/>
        <v>139.94999999999999</v>
      </c>
      <c r="AH39" s="205" t="s">
        <v>27</v>
      </c>
      <c r="AI39" s="205">
        <v>7.5</v>
      </c>
      <c r="AJ39" s="205">
        <f>AC48</f>
        <v>158.38</v>
      </c>
      <c r="AK39" s="205" t="s">
        <v>27</v>
      </c>
      <c r="AL39" s="205">
        <v>7.5</v>
      </c>
      <c r="AM39" s="205">
        <f>AD48</f>
        <v>88.518518518518533</v>
      </c>
      <c r="AN39" s="205" t="s">
        <v>27</v>
      </c>
      <c r="AO39" s="205">
        <v>7.5</v>
      </c>
      <c r="AP39" s="205">
        <f>AE48</f>
        <v>162.81</v>
      </c>
      <c r="AQ39" s="205" t="s">
        <v>27</v>
      </c>
      <c r="AR39" s="205">
        <v>7.5</v>
      </c>
      <c r="AS39" s="205">
        <f>AF48</f>
        <v>153.87</v>
      </c>
    </row>
    <row r="40" spans="1:45">
      <c r="F40" s="239"/>
      <c r="G40" s="239"/>
      <c r="H40" s="239"/>
      <c r="I40" s="211">
        <v>60</v>
      </c>
      <c r="J40" s="211">
        <v>120.43</v>
      </c>
      <c r="K40" s="211">
        <f>(630-478)/9*4/1.2</f>
        <v>56.296296296296298</v>
      </c>
      <c r="L40" s="211">
        <v>123.47</v>
      </c>
      <c r="M40" s="211">
        <v>117.36</v>
      </c>
      <c r="N40" s="16"/>
      <c r="O40" s="205" t="s">
        <v>10</v>
      </c>
      <c r="P40" s="205">
        <v>-15</v>
      </c>
      <c r="Q40" s="205">
        <f>J53</f>
        <v>186.17</v>
      </c>
      <c r="R40" s="205" t="s">
        <v>10</v>
      </c>
      <c r="S40" s="205">
        <v>-15</v>
      </c>
      <c r="T40" s="205">
        <f>K53</f>
        <v>141.66666666666669</v>
      </c>
      <c r="U40" s="205" t="s">
        <v>10</v>
      </c>
      <c r="V40" s="205">
        <v>-15</v>
      </c>
      <c r="W40" s="205">
        <f>L53</f>
        <v>193.4</v>
      </c>
      <c r="X40" s="205" t="s">
        <v>10</v>
      </c>
      <c r="Y40" s="205">
        <v>-15</v>
      </c>
      <c r="Z40" s="205">
        <f>M53</f>
        <v>178.82</v>
      </c>
      <c r="AB40" s="163">
        <v>60</v>
      </c>
      <c r="AC40" s="205">
        <f t="shared" si="5"/>
        <v>120.43</v>
      </c>
      <c r="AD40" s="205">
        <f t="shared" si="2"/>
        <v>56.296296296296298</v>
      </c>
      <c r="AE40" s="205">
        <f t="shared" si="3"/>
        <v>123.47</v>
      </c>
      <c r="AF40" s="205">
        <f t="shared" si="4"/>
        <v>117.36</v>
      </c>
      <c r="AH40" s="205" t="s">
        <v>27</v>
      </c>
      <c r="AI40" s="205">
        <v>10</v>
      </c>
      <c r="AJ40" s="205">
        <f>AC53</f>
        <v>152.97999999999999</v>
      </c>
      <c r="AK40" s="205" t="s">
        <v>27</v>
      </c>
      <c r="AL40" s="205">
        <v>10</v>
      </c>
      <c r="AM40" s="205">
        <f>AD53</f>
        <v>80.370370370370367</v>
      </c>
      <c r="AN40" s="205" t="s">
        <v>27</v>
      </c>
      <c r="AO40" s="205">
        <v>10</v>
      </c>
      <c r="AP40" s="205">
        <f>AE53</f>
        <v>156.96</v>
      </c>
      <c r="AQ40" s="205" t="s">
        <v>27</v>
      </c>
      <c r="AR40" s="205">
        <v>10</v>
      </c>
      <c r="AS40" s="205">
        <f>AF53</f>
        <v>148.91999999999999</v>
      </c>
    </row>
    <row r="41" spans="1:45">
      <c r="N41" s="16"/>
      <c r="O41" s="205" t="s">
        <v>10</v>
      </c>
      <c r="P41" s="205">
        <v>-20</v>
      </c>
      <c r="Q41" s="205">
        <f>J58</f>
        <v>190.15</v>
      </c>
      <c r="R41" s="205" t="s">
        <v>10</v>
      </c>
      <c r="S41" s="205">
        <v>-20</v>
      </c>
      <c r="T41" s="205">
        <f>K58</f>
        <v>150.95238095238096</v>
      </c>
      <c r="U41" s="205" t="s">
        <v>10</v>
      </c>
      <c r="V41" s="205">
        <v>-20</v>
      </c>
      <c r="W41" s="205">
        <f>L58</f>
        <v>197.86</v>
      </c>
      <c r="X41" s="205" t="s">
        <v>10</v>
      </c>
      <c r="Y41" s="205">
        <v>-20</v>
      </c>
      <c r="Z41" s="205">
        <f>M58</f>
        <v>182.3</v>
      </c>
      <c r="AH41" s="205" t="s">
        <v>28</v>
      </c>
      <c r="AI41" s="9">
        <f>$B$2</f>
        <v>6.0220000000000002</v>
      </c>
      <c r="AJ41" s="11">
        <f>AJ37*(AI41-AI38)*(AI41-AI39)*(AI41-AI40)/((AI37-AI38)*(AI37-AI39)*(AI37-AI40))+AJ38*(AI41-AI37)*(AI41-AI39)*(AI41-AI40)/((AI38-AI37)*(AI38-AI39)*(AI38-AI40))+AJ39*(AI41-AI37)*(AI41-AI38)*(AI41-AI40)/((AI39-AI37)*(AI39-AI38)*(AI39-AI40))+AJ40*(AI41-AI37)*(AI41-AI38)*(AI41-AI39)/((AI40-AI37)*(AI40-AI38)*(AI40-AI39))</f>
        <v>161.16311771238207</v>
      </c>
      <c r="AK41" s="205" t="s">
        <v>28</v>
      </c>
      <c r="AL41" s="9">
        <f>$B$2</f>
        <v>6.0220000000000002</v>
      </c>
      <c r="AM41" s="11">
        <f>AM37*(AL41-AL38)*(AL41-AL39)*(AL41-AL40)/((AL37-AL38)*(AL37-AL39)*(AL37-AL40))+AM38*(AL41-AL37)*(AL41-AL39)*(AL41-AL40)/((AL38-AL37)*(AL38-AL39)*(AL38-AL40))+AM39*(AL41-AL37)*(AL41-AL38)*(AL41-AL40)/((AL39-AL37)*(AL39-AL38)*(AL39-AL40))+AM40*(AL41-AL37)*(AL41-AL38)*(AL41-AL39)/((AL40-AL37)*(AL40-AL38)*(AL40-AL39))</f>
        <v>92.975420537979275</v>
      </c>
      <c r="AN41" s="205" t="s">
        <v>28</v>
      </c>
      <c r="AO41" s="9">
        <f>$B$2</f>
        <v>6.0220000000000002</v>
      </c>
      <c r="AP41" s="11">
        <f>AP37*(AO41-AO38)*(AO41-AO39)*(AO41-AO40)/((AO37-AO38)*(AO37-AO39)*(AO37-AO40))+AP38*(AO41-AO37)*(AO41-AO39)*(AO41-AO40)/((AO38-AO37)*(AO38-AO39)*(AO38-AO40))+AP39*(AO41-AO37)*(AO41-AO38)*(AO41-AO40)/((AO39-AO37)*(AO39-AO38)*(AO39-AO40))+AP40*(AO41-AO37)*(AO41-AO38)*(AO41-AO39)/((AO40-AO37)*(AO40-AO38)*(AO40-AO39))</f>
        <v>165.82917359827201</v>
      </c>
      <c r="AQ41" s="205" t="s">
        <v>28</v>
      </c>
      <c r="AR41" s="9">
        <f>$B$2</f>
        <v>6.0220000000000002</v>
      </c>
      <c r="AS41" s="11">
        <f>AS37*(AR41-AR38)*(AR41-AR39)*(AR41-AR40)/((AR37-AR38)*(AR37-AR39)*(AR37-AR40))+AS38*(AR41-AR37)*(AR41-AR39)*(AR41-AR40)/((AR38-AR37)*(AR38-AR39)*(AR38-AR40))+AS39*(AR41-AR37)*(AR41-AR38)*(AR41-AR40)/((AR39-AR37)*(AR39-AR38)*(AR39-AR40))+AS40*(AR41-AR37)*(AR41-AR38)*(AR41-AR39)/((AR40-AR37)*(AR40-AR38)*(AR40-AR39))</f>
        <v>156.4058920611821</v>
      </c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205" t="s">
        <v>10</v>
      </c>
      <c r="P42" s="205">
        <v>-25</v>
      </c>
      <c r="Q42" s="205">
        <f>J63</f>
        <v>193.72</v>
      </c>
      <c r="R42" s="205" t="s">
        <v>10</v>
      </c>
      <c r="S42" s="205">
        <v>-25</v>
      </c>
      <c r="T42" s="205">
        <f>K63</f>
        <v>160</v>
      </c>
      <c r="U42" s="205" t="s">
        <v>10</v>
      </c>
      <c r="V42" s="205">
        <v>-25</v>
      </c>
      <c r="W42" s="205">
        <f>L63</f>
        <v>201.89</v>
      </c>
      <c r="X42" s="205" t="s">
        <v>10</v>
      </c>
      <c r="Y42" s="205">
        <v>-25</v>
      </c>
      <c r="Z42" s="205">
        <f>M63</f>
        <v>185.39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205"/>
      <c r="AI42" s="205"/>
      <c r="AJ42" s="205"/>
      <c r="AK42" s="205"/>
      <c r="AL42" s="205"/>
      <c r="AM42" s="205"/>
      <c r="AN42" s="205"/>
      <c r="AO42" s="205"/>
      <c r="AP42" s="205"/>
      <c r="AQ42" s="205"/>
      <c r="AR42" s="205"/>
      <c r="AS42" s="205"/>
    </row>
    <row r="43" spans="1:45">
      <c r="D43" s="238" t="s">
        <v>46</v>
      </c>
      <c r="E43" s="238"/>
      <c r="F43" s="238"/>
      <c r="I43" s="205">
        <v>80</v>
      </c>
      <c r="J43" s="205">
        <v>176.52</v>
      </c>
      <c r="K43" s="205">
        <f>(630-304)/9*4/1.2</f>
        <v>120.74074074074075</v>
      </c>
      <c r="L43" s="205">
        <v>182.66</v>
      </c>
      <c r="M43" s="205">
        <v>170.27</v>
      </c>
      <c r="N43" s="13"/>
      <c r="O43" s="205" t="s">
        <v>11</v>
      </c>
      <c r="P43" s="9">
        <f>$B$2</f>
        <v>6.0220000000000002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161.28088320305386</v>
      </c>
      <c r="R43" s="205" t="s">
        <v>11</v>
      </c>
      <c r="S43" s="9">
        <f>$B$2</f>
        <v>6.0220000000000002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96.578536839235028</v>
      </c>
      <c r="U43" s="205" t="s">
        <v>11</v>
      </c>
      <c r="V43" s="9">
        <f>$B$2</f>
        <v>6.0220000000000002</v>
      </c>
      <c r="W43" s="205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166.08260002323459</v>
      </c>
      <c r="X43" s="205" t="s">
        <v>11</v>
      </c>
      <c r="Y43" s="9">
        <f>$B$2</f>
        <v>6.0220000000000002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156.55808042595197</v>
      </c>
      <c r="AB43" s="211">
        <v>80</v>
      </c>
      <c r="AC43" s="211">
        <v>162.94</v>
      </c>
      <c r="AD43" s="211">
        <f>(630-371)/9*4/1.2</f>
        <v>95.925925925925938</v>
      </c>
      <c r="AE43" s="211">
        <v>167.76</v>
      </c>
      <c r="AF43" s="211">
        <v>158.02000000000001</v>
      </c>
    </row>
    <row r="44" spans="1:45">
      <c r="A44" s="4">
        <f>0*($B$6-0.9)*($B$6-0.8)/((1-0.9)*(1-0.8))+7.7*($B$6-1)*($B$6-0.8)/((0.9-1)*(0.9-0.8))+16.19*($B$6-1)*($B$6-0.9)/((0.8-1)*(0.8-0.9))+$B$1</f>
        <v>258.43625000000003</v>
      </c>
      <c r="D44" s="5"/>
      <c r="E44" s="26">
        <f>$B$1</f>
        <v>246.59</v>
      </c>
      <c r="I44" s="205">
        <v>70</v>
      </c>
      <c r="J44" s="205">
        <v>151.68</v>
      </c>
      <c r="K44" s="205">
        <f>(630-388)/9*4/1.2</f>
        <v>89.629629629629633</v>
      </c>
      <c r="L44" s="205">
        <v>156.36000000000001</v>
      </c>
      <c r="M44" s="205">
        <v>146.93</v>
      </c>
      <c r="N44" s="13"/>
      <c r="Q44" s="207" t="s">
        <v>12</v>
      </c>
      <c r="R44" s="207"/>
      <c r="S44" s="207"/>
      <c r="T44" s="207" t="s">
        <v>13</v>
      </c>
      <c r="U44" s="207"/>
      <c r="V44" s="207"/>
      <c r="W44" s="207" t="s">
        <v>8</v>
      </c>
      <c r="X44" s="207"/>
      <c r="Y44" s="207"/>
      <c r="Z44" s="207" t="s">
        <v>9</v>
      </c>
      <c r="AB44" s="211">
        <v>70</v>
      </c>
      <c r="AC44" s="211">
        <v>134.05000000000001</v>
      </c>
      <c r="AD44" s="211">
        <f>(630-457)/9*4/1.2</f>
        <v>64.074074074074076</v>
      </c>
      <c r="AE44" s="211">
        <v>137.35</v>
      </c>
      <c r="AF44" s="211">
        <v>130.68</v>
      </c>
      <c r="AJ44" s="207" t="s">
        <v>12</v>
      </c>
      <c r="AK44" s="207"/>
      <c r="AL44" s="207"/>
      <c r="AM44" s="207" t="s">
        <v>13</v>
      </c>
      <c r="AN44" s="207"/>
      <c r="AO44" s="207"/>
      <c r="AP44" s="207" t="s">
        <v>8</v>
      </c>
      <c r="AQ44" s="207"/>
      <c r="AR44" s="207"/>
      <c r="AS44" s="207" t="s">
        <v>9</v>
      </c>
    </row>
    <row r="45" spans="1:45">
      <c r="D45" s="5"/>
      <c r="E45" s="26">
        <f>A44</f>
        <v>258.43625000000003</v>
      </c>
      <c r="I45" s="205">
        <v>60</v>
      </c>
      <c r="J45" s="205">
        <v>129.44</v>
      </c>
      <c r="K45" s="205">
        <f>(630-446)/9*4/1.2</f>
        <v>68.148148148148152</v>
      </c>
      <c r="L45" s="205">
        <v>133.09</v>
      </c>
      <c r="M45" s="205">
        <v>125.73</v>
      </c>
      <c r="N45" s="13"/>
      <c r="O45" s="205" t="s">
        <v>10</v>
      </c>
      <c r="P45" s="205">
        <v>0</v>
      </c>
      <c r="Q45" s="205">
        <f>J39</f>
        <v>144.07</v>
      </c>
      <c r="R45" s="205" t="s">
        <v>10</v>
      </c>
      <c r="S45" s="205">
        <v>0</v>
      </c>
      <c r="T45" s="205">
        <f>K39</f>
        <v>77.777777777777771</v>
      </c>
      <c r="U45" s="205" t="s">
        <v>10</v>
      </c>
      <c r="V45" s="205">
        <v>0</v>
      </c>
      <c r="W45" s="205">
        <f>L39</f>
        <v>148.13</v>
      </c>
      <c r="X45" s="205" t="s">
        <v>10</v>
      </c>
      <c r="Y45" s="205">
        <v>0</v>
      </c>
      <c r="Z45" s="205">
        <f>M39</f>
        <v>139.94999999999999</v>
      </c>
      <c r="AB45" s="211">
        <v>60</v>
      </c>
      <c r="AC45" s="211">
        <v>107.49</v>
      </c>
      <c r="AD45" s="211">
        <f>(630-516)/9*4/1.2</f>
        <v>42.222222222222221</v>
      </c>
      <c r="AE45" s="211">
        <v>109.74</v>
      </c>
      <c r="AF45" s="211">
        <v>105.21</v>
      </c>
      <c r="AH45" s="205" t="s">
        <v>27</v>
      </c>
      <c r="AI45" s="205">
        <v>0</v>
      </c>
      <c r="AJ45" s="205">
        <f>AC39</f>
        <v>144.07</v>
      </c>
      <c r="AK45" s="205" t="s">
        <v>27</v>
      </c>
      <c r="AL45" s="205">
        <v>0</v>
      </c>
      <c r="AM45" s="205">
        <f>AD39</f>
        <v>77.777777777777771</v>
      </c>
      <c r="AN45" s="205" t="s">
        <v>27</v>
      </c>
      <c r="AO45" s="205">
        <v>0</v>
      </c>
      <c r="AP45" s="205">
        <f>AE39</f>
        <v>148.13</v>
      </c>
      <c r="AQ45" s="205" t="s">
        <v>27</v>
      </c>
      <c r="AR45" s="205">
        <v>0</v>
      </c>
      <c r="AS45" s="205">
        <f>AF39</f>
        <v>139.94999999999999</v>
      </c>
    </row>
    <row r="46" spans="1:45">
      <c r="A46" s="205" t="s">
        <v>23</v>
      </c>
      <c r="B46" s="205">
        <f>Plan1!$B$17</f>
        <v>86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257.96530072310736</v>
      </c>
      <c r="N46" s="13"/>
      <c r="O46" s="205" t="s">
        <v>10</v>
      </c>
      <c r="P46" s="205">
        <v>-5</v>
      </c>
      <c r="Q46" s="205">
        <f>J44</f>
        <v>151.68</v>
      </c>
      <c r="R46" s="205" t="s">
        <v>10</v>
      </c>
      <c r="S46" s="205">
        <v>-5</v>
      </c>
      <c r="T46" s="205">
        <f>K44</f>
        <v>89.629629629629633</v>
      </c>
      <c r="U46" s="205" t="s">
        <v>10</v>
      </c>
      <c r="V46" s="205">
        <v>-5</v>
      </c>
      <c r="W46" s="205">
        <f>L44</f>
        <v>156.36000000000001</v>
      </c>
      <c r="X46" s="205" t="s">
        <v>10</v>
      </c>
      <c r="Y46" s="205">
        <v>-5</v>
      </c>
      <c r="Z46" s="205">
        <f>M44</f>
        <v>146.93</v>
      </c>
      <c r="AH46" s="205" t="s">
        <v>27</v>
      </c>
      <c r="AI46" s="205">
        <v>5</v>
      </c>
      <c r="AJ46" s="205">
        <f>AC44</f>
        <v>134.05000000000001</v>
      </c>
      <c r="AK46" s="205" t="s">
        <v>27</v>
      </c>
      <c r="AL46" s="205">
        <v>5</v>
      </c>
      <c r="AM46" s="205">
        <f>AD44</f>
        <v>64.074074074074076</v>
      </c>
      <c r="AN46" s="205" t="s">
        <v>27</v>
      </c>
      <c r="AO46" s="205">
        <v>5</v>
      </c>
      <c r="AP46" s="205">
        <f>AE44</f>
        <v>137.35</v>
      </c>
      <c r="AQ46" s="205" t="s">
        <v>27</v>
      </c>
      <c r="AR46" s="205">
        <v>5</v>
      </c>
      <c r="AS46" s="205">
        <f>AF44</f>
        <v>130.68</v>
      </c>
    </row>
    <row r="47" spans="1:45">
      <c r="A47" s="205" t="s">
        <v>24</v>
      </c>
      <c r="B47" s="205">
        <f>Plan1!$B$18</f>
        <v>49.06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205" t="s">
        <v>10</v>
      </c>
      <c r="P47" s="205">
        <v>-10</v>
      </c>
      <c r="Q47" s="205">
        <f>J49</f>
        <v>157.88999999999999</v>
      </c>
      <c r="R47" s="205" t="s">
        <v>10</v>
      </c>
      <c r="S47" s="205">
        <v>-10</v>
      </c>
      <c r="T47" s="205">
        <f>K49</f>
        <v>100</v>
      </c>
      <c r="U47" s="205" t="s">
        <v>10</v>
      </c>
      <c r="V47" s="205">
        <v>-10</v>
      </c>
      <c r="W47" s="205">
        <f>L49</f>
        <v>163.13999999999999</v>
      </c>
      <c r="X47" s="205" t="s">
        <v>10</v>
      </c>
      <c r="Y47" s="205">
        <v>-10</v>
      </c>
      <c r="Z47" s="205">
        <f>M49</f>
        <v>152.57</v>
      </c>
      <c r="AB47" s="15">
        <v>7.5</v>
      </c>
      <c r="AC47" s="7" t="s">
        <v>6</v>
      </c>
      <c r="AD47" s="7" t="s">
        <v>7</v>
      </c>
      <c r="AE47" s="7" t="s">
        <v>8</v>
      </c>
      <c r="AF47" s="7" t="s">
        <v>9</v>
      </c>
      <c r="AH47" s="205" t="s">
        <v>27</v>
      </c>
      <c r="AI47" s="205">
        <v>7.5</v>
      </c>
      <c r="AJ47" s="205">
        <f>AC49</f>
        <v>127.35</v>
      </c>
      <c r="AK47" s="205" t="s">
        <v>27</v>
      </c>
      <c r="AL47" s="205">
        <v>7.5</v>
      </c>
      <c r="AM47" s="205">
        <f>AD49</f>
        <v>55.925925925925931</v>
      </c>
      <c r="AN47" s="205" t="s">
        <v>27</v>
      </c>
      <c r="AO47" s="205">
        <v>7.5</v>
      </c>
      <c r="AP47" s="205">
        <f>AE49</f>
        <v>130.21</v>
      </c>
      <c r="AQ47" s="205" t="s">
        <v>27</v>
      </c>
      <c r="AR47" s="205">
        <v>7.5</v>
      </c>
      <c r="AS47" s="205">
        <f>AF49</f>
        <v>124.44</v>
      </c>
    </row>
    <row r="48" spans="1:45">
      <c r="A48" s="205" t="s">
        <v>25</v>
      </c>
      <c r="B48" s="205">
        <f>COS(RADIANS(B47))</f>
        <v>0.65526833938609963</v>
      </c>
      <c r="D48"/>
      <c r="E48" s="207" t="s">
        <v>6</v>
      </c>
      <c r="F48" s="207" t="s">
        <v>14</v>
      </c>
      <c r="G48" s="14" t="s">
        <v>15</v>
      </c>
      <c r="I48" s="205">
        <v>80</v>
      </c>
      <c r="J48" s="205">
        <v>181.68</v>
      </c>
      <c r="K48" s="205">
        <f>(630-314)/8*4/1.2</f>
        <v>131.66666666666669</v>
      </c>
      <c r="L48" s="205">
        <v>188.39</v>
      </c>
      <c r="M48" s="205">
        <v>174.86</v>
      </c>
      <c r="N48" s="17"/>
      <c r="O48" s="205" t="s">
        <v>10</v>
      </c>
      <c r="P48" s="205">
        <v>-15</v>
      </c>
      <c r="Q48" s="205">
        <f>J54</f>
        <v>163.16</v>
      </c>
      <c r="R48" s="205" t="s">
        <v>10</v>
      </c>
      <c r="S48" s="205">
        <v>-15</v>
      </c>
      <c r="T48" s="205">
        <f>K54</f>
        <v>110</v>
      </c>
      <c r="U48" s="205" t="s">
        <v>10</v>
      </c>
      <c r="V48" s="205">
        <v>-15</v>
      </c>
      <c r="W48" s="205">
        <f>L54</f>
        <v>168.93</v>
      </c>
      <c r="X48" s="205" t="s">
        <v>10</v>
      </c>
      <c r="Y48" s="205">
        <v>-15</v>
      </c>
      <c r="Z48" s="205">
        <f>M54</f>
        <v>157.32</v>
      </c>
      <c r="AB48" s="211">
        <v>80</v>
      </c>
      <c r="AC48" s="211">
        <v>158.38</v>
      </c>
      <c r="AD48" s="211">
        <f>(630-391)/9*4/1.2</f>
        <v>88.518518518518533</v>
      </c>
      <c r="AE48" s="211">
        <v>162.81</v>
      </c>
      <c r="AF48" s="211">
        <v>153.87</v>
      </c>
      <c r="AH48" s="205" t="s">
        <v>27</v>
      </c>
      <c r="AI48" s="205">
        <v>10</v>
      </c>
      <c r="AJ48" s="205">
        <f>AC54</f>
        <v>118.23</v>
      </c>
      <c r="AK48" s="205" t="s">
        <v>27</v>
      </c>
      <c r="AL48" s="205">
        <v>10</v>
      </c>
      <c r="AM48" s="205">
        <f>AD54</f>
        <v>46.296296296296298</v>
      </c>
      <c r="AN48" s="205" t="s">
        <v>27</v>
      </c>
      <c r="AO48" s="205">
        <v>10</v>
      </c>
      <c r="AP48" s="205">
        <f>AE54</f>
        <v>120.52</v>
      </c>
      <c r="AQ48" s="205" t="s">
        <v>27</v>
      </c>
      <c r="AR48" s="205">
        <v>10</v>
      </c>
      <c r="AS48" s="205">
        <f>AF54</f>
        <v>115.89</v>
      </c>
    </row>
    <row r="49" spans="1:45">
      <c r="A49" s="205" t="s">
        <v>26</v>
      </c>
      <c r="B49" s="205">
        <f>B5</f>
        <v>-1.8784359062401523</v>
      </c>
      <c r="D49" s="205">
        <v>80</v>
      </c>
      <c r="E49" s="205">
        <f>J38</f>
        <v>170.43</v>
      </c>
      <c r="F49" s="205">
        <v>170.75000000000003</v>
      </c>
      <c r="G49" s="205">
        <v>170.09</v>
      </c>
      <c r="I49" s="205">
        <v>70</v>
      </c>
      <c r="J49" s="205">
        <v>157.88999999999999</v>
      </c>
      <c r="K49" s="205">
        <f>(630-390)/8*4/1.2</f>
        <v>100</v>
      </c>
      <c r="L49" s="205">
        <v>163.13999999999999</v>
      </c>
      <c r="M49" s="205">
        <v>152.57</v>
      </c>
      <c r="N49" s="17"/>
      <c r="O49" s="205" t="s">
        <v>10</v>
      </c>
      <c r="P49" s="205">
        <v>-20</v>
      </c>
      <c r="Q49" s="205">
        <f>J59</f>
        <v>167.76</v>
      </c>
      <c r="R49" s="205" t="s">
        <v>10</v>
      </c>
      <c r="S49" s="205">
        <v>-20</v>
      </c>
      <c r="T49" s="205">
        <f>K59</f>
        <v>119.04761904761905</v>
      </c>
      <c r="U49" s="205" t="s">
        <v>10</v>
      </c>
      <c r="V49" s="205">
        <v>-20</v>
      </c>
      <c r="W49" s="205">
        <f>L59</f>
        <v>174.01</v>
      </c>
      <c r="X49" s="205" t="s">
        <v>10</v>
      </c>
      <c r="Y49" s="205">
        <v>-20</v>
      </c>
      <c r="Z49" s="205">
        <f>M59</f>
        <v>161.43</v>
      </c>
      <c r="AB49" s="211">
        <v>70</v>
      </c>
      <c r="AC49" s="211">
        <v>127.35</v>
      </c>
      <c r="AD49" s="211">
        <f>(630-479)/9*4/1.2</f>
        <v>55.925925925925931</v>
      </c>
      <c r="AE49" s="211">
        <v>130.21</v>
      </c>
      <c r="AF49" s="211">
        <v>124.44</v>
      </c>
      <c r="AH49" s="205" t="s">
        <v>28</v>
      </c>
      <c r="AI49" s="9">
        <f>$B$2</f>
        <v>6.0220000000000002</v>
      </c>
      <c r="AJ49" s="11">
        <f>AJ45*(AI49-AI46)*(AI49-AI47)*(AI49-AI48)/((AI45-AI46)*(AI45-AI47)*(AI45-AI48))+AJ46*(AI49-AI45)*(AI49-AI47)*(AI49-AI48)/((AI46-AI45)*(AI46-AI47)*(AI46-AI48))+AJ47*(AI49-AI45)*(AI49-AI46)*(AI49-AI48)/((AI47-AI45)*(AI47-AI46)*(AI47-AI48))+AJ48*(AI49-AI45)*(AI49-AI46)*(AI49-AI47)/((AI48-AI45)*(AI48-AI46)*(AI48-AI47))</f>
        <v>131.54130450913536</v>
      </c>
      <c r="AK49" s="205" t="s">
        <v>28</v>
      </c>
      <c r="AL49" s="9">
        <f>$B$2</f>
        <v>6.0220000000000002</v>
      </c>
      <c r="AM49" s="11">
        <f>AM45*(AL49-AL46)*(AL49-AL47)*(AL49-AL48)/((AL45-AL46)*(AL45-AL47)*(AL45-AL48))+AM46*(AL49-AL45)*(AL49-AL47)*(AL49-AL48)/((AL46-AL45)*(AL46-AL47)*(AL46-AL48))+AM47*(AL49-AL45)*(AL49-AL46)*(AL49-AL48)/((AL47-AL45)*(AL47-AL46)*(AL47-AL48))+AM48*(AL49-AL45)*(AL49-AL46)*(AL49-AL47)/((AL48-AL45)*(AL48-AL46)*(AL48-AL47))</f>
        <v>60.892461981985193</v>
      </c>
      <c r="AN49" s="205" t="s">
        <v>28</v>
      </c>
      <c r="AO49" s="9">
        <f>$B$2</f>
        <v>6.0220000000000002</v>
      </c>
      <c r="AP49" s="11">
        <f>AP45*(AO49-AO46)*(AO49-AO47)*(AO49-AO48)/((AO45-AO46)*(AO45-AO47)*(AO45-AO48))+AP46*(AO49-AO45)*(AO49-AO47)*(AO49-AO48)/((AO46-AO45)*(AO46-AO47)*(AO46-AO48))+AP47*(AO49-AO45)*(AO49-AO46)*(AO49-AO48)/((AO47-AO45)*(AO47-AO46)*(AO47-AO48))+AP48*(AO49-AO45)*(AO49-AO46)*(AO49-AO47)/((AO48-AO45)*(AO48-AO46)*(AO48-AO47))</f>
        <v>134.67281551602881</v>
      </c>
      <c r="AQ49" s="205" t="s">
        <v>28</v>
      </c>
      <c r="AR49" s="9">
        <f>$B$2</f>
        <v>6.0220000000000002</v>
      </c>
      <c r="AS49" s="11">
        <f>AS45*(AR49-AR46)*(AR49-AR47)*(AR49-AR48)/((AR45-AR46)*(AR45-AR47)*(AR45-AR48))+AS46*(AR49-AR45)*(AR49-AR47)*(AR49-AR48)/((AR46-AR45)*(AR46-AR47)*(AR46-AR48))+AS47*(AR49-AR45)*(AR49-AR46)*(AR49-AR48)/((AR47-AR45)*(AR47-AR46)*(AR47-AR48))+AS48*(AR49-AR45)*(AR49-AR46)*(AR49-AR47)/((AR48-AR45)*(AR48-AR46)*(AR48-AR47))</f>
        <v>128.34862373693187</v>
      </c>
    </row>
    <row r="50" spans="1:45">
      <c r="D50" s="205">
        <v>70</v>
      </c>
      <c r="E50" s="205">
        <f>J39</f>
        <v>144.07</v>
      </c>
      <c r="F50" s="205">
        <v>144.31</v>
      </c>
      <c r="G50" s="205">
        <v>143.81</v>
      </c>
      <c r="I50" s="205">
        <v>60</v>
      </c>
      <c r="J50" s="205">
        <v>136.52000000000001</v>
      </c>
      <c r="K50" s="205">
        <f>(630-442)/8*4/1.2</f>
        <v>78.333333333333343</v>
      </c>
      <c r="L50" s="205">
        <v>140.74</v>
      </c>
      <c r="M50" s="205">
        <v>132.25</v>
      </c>
      <c r="N50" s="13"/>
      <c r="O50" s="205" t="s">
        <v>10</v>
      </c>
      <c r="P50" s="205">
        <v>-25</v>
      </c>
      <c r="Q50" s="205">
        <f>J64</f>
        <v>171.84</v>
      </c>
      <c r="R50" s="205" t="s">
        <v>10</v>
      </c>
      <c r="S50" s="205">
        <v>-25</v>
      </c>
      <c r="T50" s="205">
        <f>K64</f>
        <v>127.61904761904762</v>
      </c>
      <c r="U50" s="205" t="s">
        <v>10</v>
      </c>
      <c r="V50" s="205">
        <v>-25</v>
      </c>
      <c r="W50" s="205">
        <f>L64</f>
        <v>178.54</v>
      </c>
      <c r="X50" s="205" t="s">
        <v>10</v>
      </c>
      <c r="Y50" s="205">
        <v>-25</v>
      </c>
      <c r="Z50" s="205">
        <f>M64</f>
        <v>165.04</v>
      </c>
      <c r="AB50" s="211">
        <v>60</v>
      </c>
      <c r="AC50" s="211">
        <v>97.21</v>
      </c>
      <c r="AD50" s="211">
        <f>(630-541)/9*4/1.2</f>
        <v>32.962962962962969</v>
      </c>
      <c r="AE50" s="211">
        <v>98.92</v>
      </c>
      <c r="AF50" s="211">
        <v>95.48</v>
      </c>
      <c r="AH50" s="205"/>
      <c r="AI50" s="205"/>
      <c r="AJ50" s="205"/>
      <c r="AK50" s="205"/>
      <c r="AL50" s="205"/>
      <c r="AM50" s="205"/>
      <c r="AN50" s="205"/>
      <c r="AO50" s="205"/>
      <c r="AP50" s="205"/>
      <c r="AQ50" s="205"/>
      <c r="AR50" s="205"/>
      <c r="AS50" s="205"/>
    </row>
    <row r="51" spans="1:45">
      <c r="A51" s="205" t="s">
        <v>32</v>
      </c>
      <c r="B51" s="23">
        <f>$B$3*SIN(RADIANS($B$4))</f>
        <v>0.95798784374570456</v>
      </c>
      <c r="D51" s="205">
        <v>60</v>
      </c>
      <c r="E51" s="205">
        <f>J40</f>
        <v>120.43</v>
      </c>
      <c r="F51" s="205">
        <v>120.61000000000001</v>
      </c>
      <c r="G51" s="205">
        <v>120.25</v>
      </c>
      <c r="N51" s="13"/>
      <c r="O51" s="205" t="s">
        <v>11</v>
      </c>
      <c r="P51" s="9">
        <f>$B$2</f>
        <v>6.0220000000000002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132.00201294007655</v>
      </c>
      <c r="R51" s="205" t="s">
        <v>11</v>
      </c>
      <c r="S51" s="9">
        <f>$B$2</f>
        <v>6.0220000000000002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53.169674403711355</v>
      </c>
      <c r="U51" s="205" t="s">
        <v>11</v>
      </c>
      <c r="V51" s="9">
        <f>$B$2</f>
        <v>6.0220000000000002</v>
      </c>
      <c r="W51" s="205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135.27932757863772</v>
      </c>
      <c r="X51" s="205" t="s">
        <v>11</v>
      </c>
      <c r="Y51" s="9">
        <f>$B$2</f>
        <v>6.0220000000000002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128.68868336057466</v>
      </c>
    </row>
    <row r="52" spans="1:45">
      <c r="A52" s="205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207" t="s">
        <v>12</v>
      </c>
      <c r="R52" s="207"/>
      <c r="S52" s="207"/>
      <c r="T52" s="207" t="s">
        <v>13</v>
      </c>
      <c r="U52" s="207"/>
      <c r="V52" s="207"/>
      <c r="W52" s="207" t="s">
        <v>8</v>
      </c>
      <c r="X52" s="207"/>
      <c r="Y52" s="207"/>
      <c r="Z52" s="207" t="s">
        <v>9</v>
      </c>
      <c r="AB52" s="15">
        <v>10</v>
      </c>
      <c r="AC52" s="7" t="s">
        <v>6</v>
      </c>
      <c r="AD52" s="7" t="s">
        <v>7</v>
      </c>
      <c r="AE52" s="7" t="s">
        <v>8</v>
      </c>
      <c r="AF52" s="7" t="s">
        <v>9</v>
      </c>
      <c r="AJ52" s="207" t="s">
        <v>12</v>
      </c>
      <c r="AK52" s="207"/>
      <c r="AL52" s="207"/>
      <c r="AM52" s="207" t="s">
        <v>13</v>
      </c>
      <c r="AN52" s="207"/>
      <c r="AO52" s="207"/>
      <c r="AP52" s="207" t="s">
        <v>8</v>
      </c>
      <c r="AQ52" s="207"/>
      <c r="AR52" s="207"/>
      <c r="AS52" s="207" t="s">
        <v>9</v>
      </c>
    </row>
    <row r="53" spans="1:45">
      <c r="D53"/>
      <c r="F53" s="207" t="s">
        <v>38</v>
      </c>
      <c r="I53" s="205">
        <v>80</v>
      </c>
      <c r="J53" s="205">
        <v>186.17</v>
      </c>
      <c r="K53" s="205">
        <f>(630-290)/8*4/1.2</f>
        <v>141.66666666666669</v>
      </c>
      <c r="L53" s="205">
        <v>193.4</v>
      </c>
      <c r="M53" s="205">
        <v>178.82</v>
      </c>
      <c r="N53" s="13"/>
      <c r="O53" s="205" t="s">
        <v>10</v>
      </c>
      <c r="P53" s="205">
        <v>0</v>
      </c>
      <c r="Q53" s="205">
        <f>J40</f>
        <v>120.43</v>
      </c>
      <c r="R53" s="205" t="s">
        <v>10</v>
      </c>
      <c r="S53" s="205">
        <v>0</v>
      </c>
      <c r="T53" s="205">
        <f>K40</f>
        <v>56.296296296296298</v>
      </c>
      <c r="U53" s="205" t="s">
        <v>10</v>
      </c>
      <c r="V53" s="205">
        <v>0</v>
      </c>
      <c r="W53" s="205">
        <f>L40</f>
        <v>123.47</v>
      </c>
      <c r="X53" s="205" t="s">
        <v>10</v>
      </c>
      <c r="Y53" s="205">
        <v>0</v>
      </c>
      <c r="Z53" s="205">
        <f>M40</f>
        <v>117.36</v>
      </c>
      <c r="AB53" s="205">
        <v>80</v>
      </c>
      <c r="AC53" s="205">
        <v>152.97999999999999</v>
      </c>
      <c r="AD53" s="205">
        <f>(630-413)/9*4/1.2</f>
        <v>80.370370370370367</v>
      </c>
      <c r="AE53" s="205">
        <v>156.96</v>
      </c>
      <c r="AF53" s="205">
        <v>148.91999999999999</v>
      </c>
      <c r="AH53" s="205" t="s">
        <v>27</v>
      </c>
      <c r="AI53" s="205">
        <v>0</v>
      </c>
      <c r="AJ53" s="205">
        <f>AC40</f>
        <v>120.43</v>
      </c>
      <c r="AK53" s="205" t="s">
        <v>27</v>
      </c>
      <c r="AL53" s="205">
        <v>0</v>
      </c>
      <c r="AM53" s="205">
        <f>AD40</f>
        <v>56.296296296296298</v>
      </c>
      <c r="AN53" s="205" t="s">
        <v>27</v>
      </c>
      <c r="AO53" s="205">
        <v>0</v>
      </c>
      <c r="AP53" s="205">
        <f>AE40</f>
        <v>123.47</v>
      </c>
      <c r="AQ53" s="205" t="s">
        <v>27</v>
      </c>
      <c r="AR53" s="205">
        <v>0</v>
      </c>
      <c r="AS53" s="205">
        <f>AF40</f>
        <v>117.36</v>
      </c>
    </row>
    <row r="54" spans="1:45">
      <c r="A54" s="205" t="s">
        <v>31</v>
      </c>
      <c r="B54" s="205" t="s">
        <v>35</v>
      </c>
      <c r="D54" s="205">
        <v>80</v>
      </c>
      <c r="E54" s="205">
        <f>E49</f>
        <v>170.43</v>
      </c>
      <c r="F54" s="11">
        <f>E49*((D49-(100/360))-D50)*((D49-(100/360))-D51)/((D49-D50)*(D49-D51))+E50*((D49-(100/360))-D49)*((D49-(100/360))-D51)/((D50-D49)*(D50-D51))+E51*((D49-(100/360))-D49)*((D49-(100/360))-D50)/((D51-D49)*(D51-D50))</f>
        <v>169.66104938271604</v>
      </c>
      <c r="G54" s="205">
        <v>170.09</v>
      </c>
      <c r="I54" s="205">
        <v>70</v>
      </c>
      <c r="J54" s="205">
        <v>163.16</v>
      </c>
      <c r="K54" s="205">
        <f>(630-366)/8*4/1.2</f>
        <v>110</v>
      </c>
      <c r="L54" s="205">
        <v>168.93</v>
      </c>
      <c r="M54" s="205">
        <v>157.32</v>
      </c>
      <c r="N54" s="13"/>
      <c r="O54" s="205" t="s">
        <v>10</v>
      </c>
      <c r="P54" s="205">
        <v>-5</v>
      </c>
      <c r="Q54" s="205">
        <f>J45</f>
        <v>129.44</v>
      </c>
      <c r="R54" s="205" t="s">
        <v>10</v>
      </c>
      <c r="S54" s="205">
        <v>-5</v>
      </c>
      <c r="T54" s="205">
        <f>K45</f>
        <v>68.148148148148152</v>
      </c>
      <c r="U54" s="205" t="s">
        <v>10</v>
      </c>
      <c r="V54" s="205">
        <v>-5</v>
      </c>
      <c r="W54" s="205">
        <f>L45</f>
        <v>133.09</v>
      </c>
      <c r="X54" s="205" t="s">
        <v>10</v>
      </c>
      <c r="Y54" s="205">
        <v>-5</v>
      </c>
      <c r="Z54" s="205">
        <f>M45</f>
        <v>125.73</v>
      </c>
      <c r="AB54" s="205">
        <v>70</v>
      </c>
      <c r="AC54" s="205">
        <v>118.23</v>
      </c>
      <c r="AD54" s="205">
        <f>(630-505)/9*4/1.2</f>
        <v>46.296296296296298</v>
      </c>
      <c r="AE54" s="205">
        <v>120.52</v>
      </c>
      <c r="AF54" s="205">
        <v>115.89</v>
      </c>
      <c r="AH54" s="205" t="s">
        <v>27</v>
      </c>
      <c r="AI54" s="205">
        <v>5</v>
      </c>
      <c r="AJ54" s="205">
        <f>AC45</f>
        <v>107.49</v>
      </c>
      <c r="AK54" s="205" t="s">
        <v>27</v>
      </c>
      <c r="AL54" s="205">
        <v>5</v>
      </c>
      <c r="AM54" s="205">
        <f>AD45</f>
        <v>42.222222222222221</v>
      </c>
      <c r="AN54" s="205" t="s">
        <v>27</v>
      </c>
      <c r="AO54" s="205">
        <v>5</v>
      </c>
      <c r="AP54" s="205">
        <f>AE45</f>
        <v>109.74</v>
      </c>
      <c r="AQ54" s="205" t="s">
        <v>27</v>
      </c>
      <c r="AR54" s="205">
        <v>5</v>
      </c>
      <c r="AS54" s="205">
        <f>AF45</f>
        <v>105.21</v>
      </c>
    </row>
    <row r="55" spans="1:45">
      <c r="A55" s="22">
        <f>(F59*($E$8-E60)*($E$8-E61)/((E59-E60)*(E59-E61))+F60*($E$8-E59)*($E$8-E61)/((E60-E59)*(E60-E61))+F61*($E$8-E59)*($E$8-E60)/((E61-E59)*(E61-E60)))</f>
        <v>234.32427304180359</v>
      </c>
      <c r="B55" s="23">
        <f>(B51*A55+(A56*B49))/($E$8*(44/17.5))</f>
        <v>-0.3478776101057599</v>
      </c>
      <c r="D55" s="205">
        <v>70</v>
      </c>
      <c r="E55" s="205">
        <f>E50</f>
        <v>144.07</v>
      </c>
      <c r="F55" s="11">
        <f>E49*((D50-(100/360))-D50)*((D50-(100/360))-D51)/((D49-D50)*(D49-D51))+E50*((D50-(100/360))-D49)*((D50-(100/360))-D51)/((D50-D49)*(D50-D51))+E51*((D50-(100/360))-D49)*((D50-(100/360))-D50)/((D51-D49)*(D51-D50))</f>
        <v>143.37660493827158</v>
      </c>
      <c r="G55" s="205">
        <v>143.81</v>
      </c>
      <c r="I55" s="205">
        <v>60</v>
      </c>
      <c r="J55" s="205">
        <v>142.4</v>
      </c>
      <c r="K55" s="205">
        <f>(630-419)/8*4/1.2</f>
        <v>87.916666666666671</v>
      </c>
      <c r="L55" s="205">
        <v>147.13</v>
      </c>
      <c r="M55" s="205">
        <v>137.61000000000001</v>
      </c>
      <c r="N55" s="16"/>
      <c r="O55" s="205" t="s">
        <v>10</v>
      </c>
      <c r="P55" s="205">
        <v>-10</v>
      </c>
      <c r="Q55" s="205">
        <f>J50</f>
        <v>136.52000000000001</v>
      </c>
      <c r="R55" s="205" t="s">
        <v>10</v>
      </c>
      <c r="S55" s="205">
        <v>-10</v>
      </c>
      <c r="T55" s="205">
        <f>K50</f>
        <v>78.333333333333343</v>
      </c>
      <c r="U55" s="205" t="s">
        <v>10</v>
      </c>
      <c r="V55" s="205">
        <v>-10</v>
      </c>
      <c r="W55" s="205">
        <f>L50</f>
        <v>140.74</v>
      </c>
      <c r="X55" s="205" t="s">
        <v>10</v>
      </c>
      <c r="Y55" s="205">
        <v>-10</v>
      </c>
      <c r="Z55" s="205">
        <f>M50</f>
        <v>132.25</v>
      </c>
      <c r="AB55" s="205"/>
      <c r="AC55" s="205"/>
      <c r="AD55" s="205"/>
      <c r="AE55" s="205"/>
      <c r="AF55" s="205"/>
      <c r="AH55" s="205" t="s">
        <v>27</v>
      </c>
      <c r="AI55" s="205">
        <v>7.5</v>
      </c>
      <c r="AJ55" s="205">
        <f>AC50</f>
        <v>97.21</v>
      </c>
      <c r="AK55" s="205" t="s">
        <v>27</v>
      </c>
      <c r="AL55" s="205">
        <v>7.5</v>
      </c>
      <c r="AM55" s="205">
        <f>AD50</f>
        <v>32.962962962962969</v>
      </c>
      <c r="AN55" s="205" t="s">
        <v>27</v>
      </c>
      <c r="AO55" s="205">
        <v>7.5</v>
      </c>
      <c r="AP55" s="205">
        <f>AE50</f>
        <v>98.92</v>
      </c>
      <c r="AQ55" s="205" t="s">
        <v>27</v>
      </c>
      <c r="AR55" s="205">
        <v>7.5</v>
      </c>
      <c r="AS55" s="205">
        <f>AF50</f>
        <v>95.48</v>
      </c>
    </row>
    <row r="56" spans="1:45">
      <c r="A56" s="22">
        <f>A55*1</f>
        <v>234.32427304180359</v>
      </c>
      <c r="D56" s="205">
        <v>60</v>
      </c>
      <c r="E56" s="205">
        <f>E51</f>
        <v>120.43</v>
      </c>
      <c r="F56" s="11">
        <f>E49*((D51-(100/360))-D50)*((D51-(100/360))-D51)/((D49-D50)*(D49-D51))+E50*((D51-(100/360))-D49)*((D51-(100/360))-D51)/((D50-D49)*(D50-D51))+E51*((D51-(100/360))-D49)*((D51-(100/360))-D50)/((D51-D49)*(D51-D50))</f>
        <v>119.81216049382715</v>
      </c>
      <c r="G56" s="205">
        <v>120.25</v>
      </c>
      <c r="N56" s="16"/>
      <c r="O56" s="205" t="s">
        <v>10</v>
      </c>
      <c r="P56" s="205">
        <v>-15</v>
      </c>
      <c r="Q56" s="205">
        <f>J55</f>
        <v>142.4</v>
      </c>
      <c r="R56" s="205" t="s">
        <v>10</v>
      </c>
      <c r="S56" s="205">
        <v>-15</v>
      </c>
      <c r="T56" s="205">
        <f>K55</f>
        <v>87.916666666666671</v>
      </c>
      <c r="U56" s="205" t="s">
        <v>10</v>
      </c>
      <c r="V56" s="205">
        <v>-15</v>
      </c>
      <c r="W56" s="205">
        <f>L55</f>
        <v>147.13</v>
      </c>
      <c r="X56" s="205" t="s">
        <v>10</v>
      </c>
      <c r="Y56" s="205">
        <v>-15</v>
      </c>
      <c r="Z56" s="205">
        <f>M55</f>
        <v>137.61000000000001</v>
      </c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205" t="s">
        <v>10</v>
      </c>
      <c r="P57" s="205">
        <v>-20</v>
      </c>
      <c r="Q57" s="205">
        <f>J60</f>
        <v>147.44999999999999</v>
      </c>
      <c r="R57" s="205" t="s">
        <v>10</v>
      </c>
      <c r="S57" s="205">
        <v>-20</v>
      </c>
      <c r="T57" s="205">
        <f>K60</f>
        <v>96.666666666666671</v>
      </c>
      <c r="U57" s="205" t="s">
        <v>10</v>
      </c>
      <c r="V57" s="205">
        <v>-20</v>
      </c>
      <c r="W57" s="205">
        <f>L60</f>
        <v>152.65</v>
      </c>
      <c r="X57" s="205" t="s">
        <v>10</v>
      </c>
      <c r="Y57" s="205">
        <v>-20</v>
      </c>
      <c r="Z57" s="205">
        <f>M60</f>
        <v>142.19</v>
      </c>
      <c r="AH57" s="205" t="s">
        <v>28</v>
      </c>
      <c r="AI57" s="9">
        <f>$B$2</f>
        <v>6.0220000000000002</v>
      </c>
      <c r="AJ57" s="11">
        <f>AJ53*(AI57-AI54)*(AI57-AI55)/((AI53-AI54)*(AI53-AI55))+AJ54*(AI57-AI53)*(AI57-AI55)/((AI54-AI53)*(AI54-AI55))+AJ55*(AI57-AI53)*(AI57-AI54)/((AI55-AI53)*(AI55-AI54))</f>
        <v>103.59447285120001</v>
      </c>
      <c r="AK57" s="205" t="s">
        <v>28</v>
      </c>
      <c r="AL57" s="9">
        <f>$B$2</f>
        <v>6.0220000000000002</v>
      </c>
      <c r="AM57" s="11">
        <f>AM53*(AL57-AL54)*(AL57-AL55)/((AL53-AL54)*(AL53-AL55))+AM54*(AL57-AL53)*(AL57-AL55)/((AL54-AL53)*(AL54-AL55))+AM55*(AL57-AL53)*(AL57-AL54)/((AL55-AL53)*(AL55-AL54))</f>
        <v>38.616061155555556</v>
      </c>
      <c r="AN57" s="205" t="s">
        <v>28</v>
      </c>
      <c r="AO57" s="9">
        <f>$B$2</f>
        <v>6.0220000000000002</v>
      </c>
      <c r="AP57" s="11">
        <f>AP53*(AO57-AO54)*(AO57-AO55)/((AO53-AO54)*(AO53-AO55))+AP54*(AO57-AO53)*(AO57-AO55)/((AO54-AO53)*(AO54-AO55))+AP55*(AO57-AO53)*(AO57-AO54)/((AO55-AO53)*(AO55-AO54))</f>
        <v>105.63540217493332</v>
      </c>
      <c r="AQ57" s="205" t="s">
        <v>28</v>
      </c>
      <c r="AR57" s="9">
        <f>$B$2</f>
        <v>6.0220000000000002</v>
      </c>
      <c r="AS57" s="11">
        <f>AS53*(AR57-AR54)*(AR57-AR55)/((AR53-AR54)*(AR53-AR55))+AS54*(AR57-AR53)*(AR57-AR55)/((AR54-AR53)*(AR54-AR55))+AS55*(AR57-AR53)*(AR57-AR54)/((AR55-AR53)*(AR55-AR54))</f>
        <v>101.52682591893333</v>
      </c>
    </row>
    <row r="58" spans="1:45">
      <c r="A58" s="205" t="s">
        <v>36</v>
      </c>
      <c r="B58" s="23">
        <f>$B$3*SIN(RADIANS($B$4+B55*0.707))</f>
        <v>0.95921017724839419</v>
      </c>
      <c r="D58"/>
      <c r="E58" s="207" t="s">
        <v>6</v>
      </c>
      <c r="F58" s="207" t="s">
        <v>7</v>
      </c>
      <c r="G58" s="207" t="s">
        <v>29</v>
      </c>
      <c r="H58" s="207" t="s">
        <v>30</v>
      </c>
      <c r="I58" s="205">
        <v>80</v>
      </c>
      <c r="J58" s="205">
        <v>190.15</v>
      </c>
      <c r="K58" s="205">
        <f>(630-313)/7*4/1.2</f>
        <v>150.95238095238096</v>
      </c>
      <c r="L58" s="205">
        <v>197.86</v>
      </c>
      <c r="M58" s="205">
        <v>182.3</v>
      </c>
      <c r="O58" s="205" t="s">
        <v>10</v>
      </c>
      <c r="P58" s="205">
        <v>-25</v>
      </c>
      <c r="Q58" s="205">
        <f>J65</f>
        <v>151.80000000000001</v>
      </c>
      <c r="R58" s="205" t="s">
        <v>10</v>
      </c>
      <c r="S58" s="205">
        <v>-25</v>
      </c>
      <c r="T58" s="205">
        <f>K65</f>
        <v>104.76190476190476</v>
      </c>
      <c r="U58" s="205" t="s">
        <v>10</v>
      </c>
      <c r="V58" s="205">
        <v>-25</v>
      </c>
      <c r="W58" s="205">
        <f>L65</f>
        <v>157.53</v>
      </c>
      <c r="X58" s="205" t="s">
        <v>10</v>
      </c>
      <c r="Y58" s="205">
        <v>-25</v>
      </c>
      <c r="Z58" s="205">
        <f>M65</f>
        <v>146.16999999999999</v>
      </c>
      <c r="AH58" s="205"/>
      <c r="AI58" s="205"/>
      <c r="AJ58" s="205"/>
      <c r="AK58" s="205"/>
      <c r="AL58" s="205"/>
      <c r="AM58" s="205"/>
      <c r="AN58" s="205"/>
      <c r="AO58" s="205"/>
      <c r="AP58" s="205"/>
      <c r="AQ58" s="205"/>
      <c r="AR58" s="205"/>
      <c r="AS58" s="205"/>
    </row>
    <row r="59" spans="1:45">
      <c r="A59" s="205" t="s">
        <v>37</v>
      </c>
      <c r="B59" s="23">
        <f>$B$3*COS(RADIANS($B$4+B55*0.5))</f>
        <v>-0.28389922476291068</v>
      </c>
      <c r="D59" s="205">
        <v>80</v>
      </c>
      <c r="E59" s="205">
        <f>IF($B$2&gt;0,AJ41,Q43)</f>
        <v>161.16311771238207</v>
      </c>
      <c r="F59" s="205">
        <f>IF($B$2&gt;0,AM41,T43)</f>
        <v>92.975420537979275</v>
      </c>
      <c r="G59" s="205">
        <f>IF($B$2&gt;0,AP41,W43)</f>
        <v>165.82917359827201</v>
      </c>
      <c r="H59" s="22">
        <f>IF($B$2&gt;0,AS41,Z43)</f>
        <v>156.4058920611821</v>
      </c>
      <c r="I59" s="205">
        <v>70</v>
      </c>
      <c r="J59" s="205">
        <v>167.76</v>
      </c>
      <c r="K59" s="205">
        <f>(630-380)/7*4/1.2</f>
        <v>119.04761904761905</v>
      </c>
      <c r="L59" s="205">
        <v>174.01</v>
      </c>
      <c r="M59" s="205">
        <v>161.43</v>
      </c>
      <c r="O59" s="205" t="s">
        <v>11</v>
      </c>
      <c r="P59" s="9">
        <f>$B$2</f>
        <v>6.0220000000000002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105.25850798247814</v>
      </c>
      <c r="R59" s="205" t="s">
        <v>11</v>
      </c>
      <c r="S59" s="9">
        <f>$B$2</f>
        <v>6.0220000000000002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33.720520380940201</v>
      </c>
      <c r="U59" s="205" t="s">
        <v>11</v>
      </c>
      <c r="V59" s="9">
        <f>$B$2</f>
        <v>6.0220000000000002</v>
      </c>
      <c r="W59" s="205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107.53664602499381</v>
      </c>
      <c r="X59" s="205" t="s">
        <v>11</v>
      </c>
      <c r="Y59" s="9">
        <f>$B$2</f>
        <v>6.0220000000000002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103.21227341872677</v>
      </c>
    </row>
    <row r="60" spans="1:45">
      <c r="D60" s="205">
        <v>70</v>
      </c>
      <c r="E60" s="205">
        <f>IF($B$2&gt;0,AJ49,Q51)</f>
        <v>131.54130450913536</v>
      </c>
      <c r="F60" s="205">
        <f>IF($B$2&gt;0,AM49,T51)</f>
        <v>60.892461981985193</v>
      </c>
      <c r="G60" s="205">
        <f>IF($B$2&gt;0,AP49,W51)</f>
        <v>134.67281551602881</v>
      </c>
      <c r="H60" s="22">
        <f>IF($B$2&gt;0,AS49,Z51)</f>
        <v>128.34862373693187</v>
      </c>
      <c r="I60" s="205">
        <v>60</v>
      </c>
      <c r="J60" s="205">
        <v>147.44999999999999</v>
      </c>
      <c r="K60" s="205">
        <f>(630-427)/7*4/1.2</f>
        <v>96.666666666666671</v>
      </c>
      <c r="L60" s="205">
        <v>152.65</v>
      </c>
      <c r="M60" s="205">
        <v>142.19</v>
      </c>
    </row>
    <row r="61" spans="1:45">
      <c r="A61" s="235" t="s">
        <v>39</v>
      </c>
      <c r="B61" s="236"/>
      <c r="D61" s="205">
        <v>60</v>
      </c>
      <c r="E61" s="205">
        <f>IF($B$2&gt;0,AJ57,Q59)</f>
        <v>103.59447285120001</v>
      </c>
      <c r="F61" s="205">
        <f>IF($B$2&gt;0,AM57,T59)</f>
        <v>38.616061155555556</v>
      </c>
      <c r="G61" s="205">
        <f>IF($B$2&gt;0,AP57,W59)</f>
        <v>105.63540217493332</v>
      </c>
      <c r="H61" s="22">
        <f>IF($B$2&gt;0,AS57,Z59)</f>
        <v>101.52682591893333</v>
      </c>
    </row>
    <row r="62" spans="1:45">
      <c r="A62" s="205">
        <f>F54*(E46-E55)*(E46-E56)/((E54-E55)*(E54-E56))+F55*(E46-E54)*(E46-E56)/((E55-E54)*(E55-E56))+F56*(E46-E54)*(E46-E55)/((E56-E54)*(E56-E55))</f>
        <v>257.01120799437228</v>
      </c>
      <c r="B62" s="205">
        <f>G54*(E46-E55)*(E46-E56)/((E54-E55)*(E54-E56))+G55*(E46-E54)*(E46-E56)/((E55-E54)*(E55-E56))+G56*(E46-E54)*(E46-E55)/((E56-E54)*(E56-E55))</f>
        <v>257.42926789921773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207"/>
      <c r="Z62" s="207"/>
    </row>
    <row r="63" spans="1:45">
      <c r="D63"/>
      <c r="E63" s="235" t="s">
        <v>230</v>
      </c>
      <c r="F63" s="236"/>
      <c r="G63" s="12"/>
      <c r="H63" s="12"/>
      <c r="I63" s="205">
        <v>80</v>
      </c>
      <c r="J63" s="205">
        <v>193.72</v>
      </c>
      <c r="K63" s="205">
        <f>(630-294)/7*4/1.2</f>
        <v>160</v>
      </c>
      <c r="L63" s="205">
        <v>201.89</v>
      </c>
      <c r="M63" s="205">
        <v>185.39</v>
      </c>
    </row>
    <row r="64" spans="1:45">
      <c r="A64" s="205" t="s">
        <v>41</v>
      </c>
      <c r="B64" s="205" t="s">
        <v>42</v>
      </c>
      <c r="D64"/>
      <c r="E64" s="205">
        <v>80</v>
      </c>
      <c r="F64" s="11">
        <f>E59*(B59-9)*(B59--9)/((0-9)*(0--9))+G59*(B59-0)*(B59--9)/((9-0)*(9--9))+H59*(B59-0)*(B59-9)/((-9-0)*(-9-9))</f>
        <v>161.01444666868545</v>
      </c>
      <c r="G64" s="12"/>
      <c r="H64" s="12"/>
      <c r="I64" s="205">
        <v>70</v>
      </c>
      <c r="J64" s="205">
        <v>171.84</v>
      </c>
      <c r="K64" s="205">
        <f>(630-362)/7*4/1.2</f>
        <v>127.61904761904762</v>
      </c>
      <c r="L64" s="205">
        <v>178.54</v>
      </c>
      <c r="M64" s="205">
        <v>165.04</v>
      </c>
    </row>
    <row r="65" spans="1:45">
      <c r="A65" s="23">
        <f>E64*(E46-F65)*(E46-F66)/((F64-F65)*(F64-F66))+E65*(E46-F64)*(E46-F66)/((F65-F64)*(F65-F66))+E66*(E46-F64)*(E46-F65)/((F66-F64)*(F66-F65))</f>
        <v>108.48957929219159</v>
      </c>
      <c r="B65" s="24">
        <f>(F59*(A65-D60)*(A65-D61)/((D59-D60)*(D59-D61))+F60*(A65-D59)*(A65-D61)/((D60-D59)*(D60-D61))+F61*(A65-D59)*(A65-D60)/((D61-D59)*(D61-D60)))*(B58+(B49*8/9*(A56/A55))*(A65/100))</f>
        <v>-202.96250483318741</v>
      </c>
      <c r="D65"/>
      <c r="E65" s="205">
        <v>70</v>
      </c>
      <c r="F65" s="11">
        <f>E60*(B59-9)*(B59--9)/((0-9)*(0--9))+G60*(B59-0)*(B59--9)/((9-0)*(9--9))+H60*(B59-0)*(B59-9)/((-9-0)*(-9-9))</f>
        <v>131.44152779001269</v>
      </c>
      <c r="G65" s="12"/>
      <c r="H65" s="12"/>
      <c r="I65" s="205">
        <v>60</v>
      </c>
      <c r="J65" s="205">
        <v>151.80000000000001</v>
      </c>
      <c r="K65" s="205">
        <f>(630-410)/7*4/1.2</f>
        <v>104.76190476190476</v>
      </c>
      <c r="L65" s="205">
        <v>157.53</v>
      </c>
      <c r="M65" s="205">
        <v>146.16999999999999</v>
      </c>
    </row>
    <row r="66" spans="1:45">
      <c r="A66" s="205" t="s">
        <v>44</v>
      </c>
      <c r="B66" s="205" t="s">
        <v>43</v>
      </c>
      <c r="D66"/>
      <c r="E66" s="205">
        <v>60</v>
      </c>
      <c r="F66" s="11">
        <f>E61*(B59-9)*(B59--9)/((0-9)*(0--9))+G61*(B59-0)*(B59--9)/((9-0)*(9--9))+H61*(B59-0)*(B59-9)/((-9-0)*(-9-9))</f>
        <v>103.5296583577926</v>
      </c>
    </row>
    <row r="67" spans="1:45">
      <c r="A67" s="25">
        <f>(360-ROUNDDOWN((1-(A65/100))*360,0))*256/360</f>
        <v>277.33333333333331</v>
      </c>
      <c r="B67" s="11">
        <f>MOD((A65/100)*-360,1)*-(($E$10-A62)/($E$10-B62))+11</f>
        <v>10.256997750624777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257.07381741320705</v>
      </c>
    </row>
    <row r="68" spans="1:45">
      <c r="D68"/>
      <c r="P68" s="14"/>
      <c r="T68" s="14"/>
    </row>
    <row r="69" spans="1:45">
      <c r="D69"/>
      <c r="P69" s="14"/>
      <c r="T69" s="14"/>
    </row>
    <row r="70" spans="1:45">
      <c r="D70"/>
      <c r="P70" s="14"/>
      <c r="T70" s="14"/>
    </row>
    <row r="71" spans="1:45">
      <c r="D71"/>
      <c r="Q71" s="207" t="s">
        <v>12</v>
      </c>
      <c r="R71" s="207"/>
      <c r="S71" s="207"/>
      <c r="T71" s="207" t="s">
        <v>13</v>
      </c>
      <c r="U71" s="207"/>
      <c r="V71" s="207"/>
      <c r="W71" s="207" t="s">
        <v>8</v>
      </c>
      <c r="X71" s="207"/>
      <c r="Y71" s="207"/>
      <c r="Z71" s="207" t="s">
        <v>9</v>
      </c>
      <c r="AJ71" s="207" t="s">
        <v>12</v>
      </c>
      <c r="AK71" s="207"/>
      <c r="AL71" s="207"/>
      <c r="AM71" s="207" t="s">
        <v>13</v>
      </c>
      <c r="AN71" s="207"/>
      <c r="AO71" s="207"/>
      <c r="AP71" s="207" t="s">
        <v>8</v>
      </c>
      <c r="AQ71" s="207"/>
      <c r="AR71" s="207"/>
      <c r="AS71" s="207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205" t="s">
        <v>10</v>
      </c>
      <c r="P72" s="205">
        <v>0</v>
      </c>
      <c r="Q72" s="205">
        <f>J73</f>
        <v>120.43</v>
      </c>
      <c r="R72" s="205" t="s">
        <v>10</v>
      </c>
      <c r="S72" s="205">
        <v>0</v>
      </c>
      <c r="T72" s="205">
        <f>K73</f>
        <v>56.296296296296298</v>
      </c>
      <c r="U72" s="205" t="s">
        <v>10</v>
      </c>
      <c r="V72" s="205">
        <v>0</v>
      </c>
      <c r="W72" s="205">
        <f>L73</f>
        <v>123.47</v>
      </c>
      <c r="X72" s="205" t="s">
        <v>10</v>
      </c>
      <c r="Y72" s="205">
        <v>0</v>
      </c>
      <c r="Z72" s="205">
        <f>M73</f>
        <v>117.36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205" t="s">
        <v>27</v>
      </c>
      <c r="AI72" s="205">
        <v>0</v>
      </c>
      <c r="AJ72" s="205">
        <f>AC73</f>
        <v>120.43</v>
      </c>
      <c r="AK72" s="205" t="s">
        <v>27</v>
      </c>
      <c r="AL72" s="205">
        <v>0</v>
      </c>
      <c r="AM72" s="205">
        <f>AD73</f>
        <v>56.296296296296298</v>
      </c>
      <c r="AN72" s="205" t="s">
        <v>27</v>
      </c>
      <c r="AO72" s="205">
        <v>0</v>
      </c>
      <c r="AP72" s="205">
        <f>AE73</f>
        <v>123.47</v>
      </c>
      <c r="AQ72" s="205" t="s">
        <v>27</v>
      </c>
      <c r="AR72" s="205">
        <v>0</v>
      </c>
      <c r="AS72" s="205">
        <f>AF73</f>
        <v>117.36</v>
      </c>
    </row>
    <row r="73" spans="1:45">
      <c r="D73"/>
      <c r="F73" s="239" t="s">
        <v>218</v>
      </c>
      <c r="G73" s="239"/>
      <c r="H73" s="239"/>
      <c r="I73" s="205">
        <v>60</v>
      </c>
      <c r="J73" s="205">
        <v>120.43</v>
      </c>
      <c r="K73" s="205">
        <f>(630-478)/9*4/1.2</f>
        <v>56.296296296296298</v>
      </c>
      <c r="L73" s="205">
        <v>123.47</v>
      </c>
      <c r="M73" s="205">
        <v>117.36</v>
      </c>
      <c r="O73" s="205" t="s">
        <v>10</v>
      </c>
      <c r="P73" s="205">
        <v>-5</v>
      </c>
      <c r="Q73" s="205">
        <f>J78</f>
        <v>129.44</v>
      </c>
      <c r="R73" s="205" t="s">
        <v>10</v>
      </c>
      <c r="S73" s="205">
        <v>-5</v>
      </c>
      <c r="T73" s="205">
        <f>K78</f>
        <v>68.148148148148152</v>
      </c>
      <c r="U73" s="205" t="s">
        <v>10</v>
      </c>
      <c r="V73" s="205">
        <v>-5</v>
      </c>
      <c r="W73" s="205">
        <f>L78</f>
        <v>133.09</v>
      </c>
      <c r="X73" s="205" t="s">
        <v>10</v>
      </c>
      <c r="Y73" s="205">
        <v>-5</v>
      </c>
      <c r="Z73" s="205">
        <f>M78</f>
        <v>125.73</v>
      </c>
      <c r="AB73" s="163">
        <v>60</v>
      </c>
      <c r="AC73" s="205">
        <f>J73</f>
        <v>120.43</v>
      </c>
      <c r="AD73" s="205">
        <f t="shared" ref="AD73:AF75" si="6">K73</f>
        <v>56.296296296296298</v>
      </c>
      <c r="AE73" s="205">
        <f t="shared" si="6"/>
        <v>123.47</v>
      </c>
      <c r="AF73" s="205">
        <f t="shared" si="6"/>
        <v>117.36</v>
      </c>
      <c r="AH73" s="205" t="s">
        <v>27</v>
      </c>
      <c r="AI73" s="205">
        <v>5</v>
      </c>
      <c r="AJ73" s="205">
        <f>AC78</f>
        <v>107.49</v>
      </c>
      <c r="AK73" s="205" t="s">
        <v>27</v>
      </c>
      <c r="AL73" s="205">
        <v>5</v>
      </c>
      <c r="AM73" s="205">
        <f>AD78</f>
        <v>42.222222222222221</v>
      </c>
      <c r="AN73" s="205" t="s">
        <v>27</v>
      </c>
      <c r="AO73" s="205">
        <v>5</v>
      </c>
      <c r="AP73" s="205">
        <f>AE78</f>
        <v>109.74</v>
      </c>
      <c r="AQ73" s="205" t="s">
        <v>27</v>
      </c>
      <c r="AR73" s="205">
        <v>5</v>
      </c>
      <c r="AS73" s="205">
        <f>AF78</f>
        <v>105.21</v>
      </c>
    </row>
    <row r="74" spans="1:45">
      <c r="F74" s="239"/>
      <c r="G74" s="239"/>
      <c r="H74" s="239"/>
      <c r="I74" s="205">
        <v>50</v>
      </c>
      <c r="J74" s="205">
        <v>99.19</v>
      </c>
      <c r="K74" s="205">
        <f>(630-518)/9*4/1.2</f>
        <v>41.481481481481481</v>
      </c>
      <c r="L74" s="205">
        <v>101.49</v>
      </c>
      <c r="M74" s="205">
        <v>96.86</v>
      </c>
      <c r="N74" s="16"/>
      <c r="O74" s="205" t="s">
        <v>10</v>
      </c>
      <c r="P74" s="205">
        <v>-10</v>
      </c>
      <c r="Q74" s="205">
        <f>J83</f>
        <v>136.52000000000001</v>
      </c>
      <c r="R74" s="205" t="s">
        <v>10</v>
      </c>
      <c r="S74" s="205">
        <v>-10</v>
      </c>
      <c r="T74" s="205">
        <f>K83</f>
        <v>78.333333333333343</v>
      </c>
      <c r="U74" s="205" t="s">
        <v>10</v>
      </c>
      <c r="V74" s="205">
        <v>-10</v>
      </c>
      <c r="W74" s="205">
        <f>L83</f>
        <v>140.74</v>
      </c>
      <c r="X74" s="205" t="s">
        <v>10</v>
      </c>
      <c r="Y74" s="205">
        <v>-10</v>
      </c>
      <c r="Z74" s="205">
        <f>M83</f>
        <v>132.25</v>
      </c>
      <c r="AB74" s="163">
        <v>50</v>
      </c>
      <c r="AC74" s="205">
        <f t="shared" ref="AC74:AC75" si="7">J74</f>
        <v>99.19</v>
      </c>
      <c r="AD74" s="205">
        <f t="shared" si="6"/>
        <v>41.481481481481481</v>
      </c>
      <c r="AE74" s="205">
        <f t="shared" si="6"/>
        <v>101.49</v>
      </c>
      <c r="AF74" s="205">
        <f t="shared" si="6"/>
        <v>96.86</v>
      </c>
      <c r="AH74" s="205" t="s">
        <v>28</v>
      </c>
      <c r="AI74" s="9">
        <f>$B$2</f>
        <v>6.0220000000000002</v>
      </c>
      <c r="AJ74" s="11">
        <f>AJ72*(AI74-AI73)/((AI72-AI73))+AJ73*(AI74-AI72)/((AI73-AI72))</f>
        <v>104.84506400000001</v>
      </c>
      <c r="AK74" s="205" t="s">
        <v>28</v>
      </c>
      <c r="AL74" s="9">
        <f>$B$2</f>
        <v>6.0220000000000002</v>
      </c>
      <c r="AM74" s="11">
        <f>AM72*(AL74-AL73)/((AL72-AL73))+AM73*(AL74-AL72)/((AL73-AL72))</f>
        <v>39.345481481481478</v>
      </c>
      <c r="AN74" s="205" t="s">
        <v>28</v>
      </c>
      <c r="AO74" s="9">
        <f>$B$2</f>
        <v>6.0220000000000002</v>
      </c>
      <c r="AP74" s="11">
        <f>AP72*(AO74-AO73)/((AO72-AO73))+AP73*(AO74-AO72)/((AO73-AO72))</f>
        <v>106.93358800000001</v>
      </c>
      <c r="AQ74" s="205" t="s">
        <v>28</v>
      </c>
      <c r="AR74" s="9">
        <f>$B$2</f>
        <v>6.0220000000000002</v>
      </c>
      <c r="AS74" s="11">
        <f>AS72*(AR74-AR73)/((AR72-AR73))+AS73*(AR74-AR72)/((AR73-AR72))</f>
        <v>102.72654</v>
      </c>
    </row>
    <row r="75" spans="1:45">
      <c r="F75" s="239"/>
      <c r="G75" s="239"/>
      <c r="H75" s="239"/>
      <c r="I75" s="205">
        <v>40</v>
      </c>
      <c r="J75" s="205">
        <v>79.709999999999994</v>
      </c>
      <c r="K75" s="205">
        <f>(630-547)/9*4/1.2</f>
        <v>30.74074074074074</v>
      </c>
      <c r="L75" s="205">
        <v>81.47</v>
      </c>
      <c r="M75" s="205">
        <v>77.95</v>
      </c>
      <c r="N75" s="16"/>
      <c r="O75" s="205" t="s">
        <v>10</v>
      </c>
      <c r="P75" s="205">
        <v>-15</v>
      </c>
      <c r="Q75" s="205">
        <f>J88</f>
        <v>142.4</v>
      </c>
      <c r="R75" s="205" t="s">
        <v>10</v>
      </c>
      <c r="S75" s="205">
        <v>-15</v>
      </c>
      <c r="T75" s="205">
        <f>K88</f>
        <v>87.916666666666671</v>
      </c>
      <c r="U75" s="205" t="s">
        <v>10</v>
      </c>
      <c r="V75" s="205">
        <v>-15</v>
      </c>
      <c r="W75" s="205">
        <f>L88</f>
        <v>147.13</v>
      </c>
      <c r="X75" s="205" t="s">
        <v>10</v>
      </c>
      <c r="Y75" s="205">
        <v>-15</v>
      </c>
      <c r="Z75" s="205">
        <f>M88</f>
        <v>137.61000000000001</v>
      </c>
      <c r="AB75" s="163">
        <v>40</v>
      </c>
      <c r="AC75" s="205">
        <f t="shared" si="7"/>
        <v>79.709999999999994</v>
      </c>
      <c r="AD75" s="205">
        <f t="shared" si="6"/>
        <v>30.74074074074074</v>
      </c>
      <c r="AE75" s="205">
        <f t="shared" si="6"/>
        <v>81.47</v>
      </c>
      <c r="AF75" s="205">
        <f t="shared" si="6"/>
        <v>77.95</v>
      </c>
      <c r="AH75" s="205"/>
      <c r="AI75" s="205"/>
      <c r="AJ75" s="205"/>
      <c r="AK75" s="205"/>
      <c r="AL75" s="205"/>
      <c r="AM75" s="205"/>
      <c r="AN75" s="205"/>
      <c r="AO75" s="205"/>
      <c r="AP75" s="205"/>
      <c r="AQ75" s="205"/>
      <c r="AR75" s="205"/>
      <c r="AS75" s="205"/>
    </row>
    <row r="76" spans="1:45">
      <c r="N76" s="16"/>
      <c r="O76" s="205" t="s">
        <v>10</v>
      </c>
      <c r="P76" s="205">
        <v>-20</v>
      </c>
      <c r="Q76" s="205">
        <f>J93</f>
        <v>147.44999999999999</v>
      </c>
      <c r="R76" s="205" t="s">
        <v>10</v>
      </c>
      <c r="S76" s="205">
        <v>-20</v>
      </c>
      <c r="T76" s="205">
        <f>K93</f>
        <v>96.666666666666671</v>
      </c>
      <c r="U76" s="205" t="s">
        <v>10</v>
      </c>
      <c r="V76" s="205">
        <v>-20</v>
      </c>
      <c r="W76" s="205">
        <f>L93</f>
        <v>152.65</v>
      </c>
      <c r="X76" s="205" t="s">
        <v>10</v>
      </c>
      <c r="Y76" s="205">
        <v>-20</v>
      </c>
      <c r="Z76" s="205">
        <f>M93</f>
        <v>142.19</v>
      </c>
      <c r="AH76" s="205"/>
      <c r="AI76" s="205"/>
      <c r="AJ76" s="205"/>
      <c r="AK76" s="205"/>
      <c r="AL76" s="205"/>
      <c r="AM76" s="205"/>
      <c r="AN76" s="205"/>
      <c r="AO76" s="205"/>
      <c r="AP76" s="205"/>
      <c r="AQ76" s="205"/>
      <c r="AR76" s="205"/>
      <c r="AS76" s="205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205" t="s">
        <v>10</v>
      </c>
      <c r="P77" s="205">
        <v>-25</v>
      </c>
      <c r="Q77" s="205">
        <f>J98</f>
        <v>151.80000000000001</v>
      </c>
      <c r="R77" s="205" t="s">
        <v>10</v>
      </c>
      <c r="S77" s="205">
        <v>-25</v>
      </c>
      <c r="T77" s="205">
        <f>K98</f>
        <v>104.76190476190476</v>
      </c>
      <c r="U77" s="205" t="s">
        <v>10</v>
      </c>
      <c r="V77" s="205">
        <v>-25</v>
      </c>
      <c r="W77" s="205">
        <f>L98</f>
        <v>157.53</v>
      </c>
      <c r="X77" s="205" t="s">
        <v>10</v>
      </c>
      <c r="Y77" s="205">
        <v>-25</v>
      </c>
      <c r="Z77" s="205">
        <f>M98</f>
        <v>146.16999999999999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205"/>
      <c r="AI77" s="205"/>
      <c r="AJ77" s="205"/>
      <c r="AK77" s="205"/>
      <c r="AL77" s="205"/>
      <c r="AM77" s="205"/>
      <c r="AN77" s="205"/>
      <c r="AO77" s="205"/>
      <c r="AP77" s="205"/>
      <c r="AQ77" s="205"/>
      <c r="AR77" s="205"/>
      <c r="AS77" s="205"/>
    </row>
    <row r="78" spans="1:45">
      <c r="D78" s="238" t="s">
        <v>46</v>
      </c>
      <c r="E78" s="238"/>
      <c r="F78" s="238"/>
      <c r="I78" s="205">
        <v>60</v>
      </c>
      <c r="J78" s="205">
        <v>129.44</v>
      </c>
      <c r="K78" s="205">
        <f>(630-446)/9*4/1.2</f>
        <v>68.148148148148152</v>
      </c>
      <c r="L78" s="205">
        <v>133.09</v>
      </c>
      <c r="M78" s="205">
        <v>125.73</v>
      </c>
      <c r="N78" s="13"/>
      <c r="O78" s="205" t="s">
        <v>11</v>
      </c>
      <c r="P78" s="9">
        <f>$B$2</f>
        <v>6.0220000000000002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105.25850798247814</v>
      </c>
      <c r="R78" s="205" t="s">
        <v>11</v>
      </c>
      <c r="S78" s="9">
        <f>$B$2</f>
        <v>6.0220000000000002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33.720520380940201</v>
      </c>
      <c r="U78" s="205" t="s">
        <v>11</v>
      </c>
      <c r="V78" s="9">
        <f>$B$2</f>
        <v>6.0220000000000002</v>
      </c>
      <c r="W78" s="205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107.53664602499381</v>
      </c>
      <c r="X78" s="205" t="s">
        <v>11</v>
      </c>
      <c r="Y78" s="9">
        <f>$B$2</f>
        <v>6.0220000000000002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103.21227341872677</v>
      </c>
      <c r="AB78" s="205">
        <v>60</v>
      </c>
      <c r="AC78" s="205">
        <v>107.49</v>
      </c>
      <c r="AD78" s="205">
        <f>(630-516)/9*4/1.2</f>
        <v>42.222222222222221</v>
      </c>
      <c r="AE78" s="205">
        <v>109.74</v>
      </c>
      <c r="AF78" s="205">
        <v>105.21</v>
      </c>
    </row>
    <row r="79" spans="1:45">
      <c r="A79" s="4">
        <f>0*($B$6-0.9)*($B$6-0.8)/((1-0.9)*(1-0.8))+7.7*($B$6-1)*($B$6-0.8)/((0.9-1)*(0.9-0.8))+16.19*($B$6-1)*($B$6-0.9)/((0.8-1)*(0.8-0.9))+$B$1</f>
        <v>258.43625000000003</v>
      </c>
      <c r="D79" s="5"/>
      <c r="E79" s="26">
        <f>$B$1</f>
        <v>246.59</v>
      </c>
      <c r="I79" s="205">
        <v>50</v>
      </c>
      <c r="J79" s="205">
        <v>109.41</v>
      </c>
      <c r="K79" s="205">
        <f>(630-487)/9*4/1.2</f>
        <v>52.962962962962969</v>
      </c>
      <c r="L79" s="205">
        <v>112.35</v>
      </c>
      <c r="M79" s="205">
        <v>106.44</v>
      </c>
      <c r="N79" s="13"/>
      <c r="Q79" s="207" t="s">
        <v>12</v>
      </c>
      <c r="R79" s="207"/>
      <c r="S79" s="207"/>
      <c r="T79" s="207" t="s">
        <v>13</v>
      </c>
      <c r="U79" s="207"/>
      <c r="V79" s="207"/>
      <c r="W79" s="207" t="s">
        <v>8</v>
      </c>
      <c r="X79" s="207"/>
      <c r="Y79" s="207"/>
      <c r="Z79" s="207" t="s">
        <v>9</v>
      </c>
      <c r="AB79" s="205">
        <v>50</v>
      </c>
      <c r="AC79" s="205">
        <v>82.55</v>
      </c>
      <c r="AD79" s="205">
        <f>(630-558)/9*4/1.2</f>
        <v>26.666666666666668</v>
      </c>
      <c r="AE79" s="205">
        <v>84</v>
      </c>
      <c r="AF79" s="205">
        <v>81.08</v>
      </c>
      <c r="AJ79" s="207" t="s">
        <v>12</v>
      </c>
      <c r="AK79" s="207"/>
      <c r="AL79" s="207"/>
      <c r="AM79" s="207" t="s">
        <v>13</v>
      </c>
      <c r="AN79" s="207"/>
      <c r="AO79" s="207"/>
      <c r="AP79" s="207" t="s">
        <v>8</v>
      </c>
      <c r="AQ79" s="207"/>
      <c r="AR79" s="207"/>
      <c r="AS79" s="207" t="s">
        <v>9</v>
      </c>
    </row>
    <row r="80" spans="1:45">
      <c r="D80" s="5"/>
      <c r="E80" s="26">
        <f>A79</f>
        <v>258.43625000000003</v>
      </c>
      <c r="I80" s="205">
        <v>40</v>
      </c>
      <c r="J80" s="205">
        <v>90.92</v>
      </c>
      <c r="K80" s="205">
        <f>(630-517)/9*4/1.2</f>
        <v>41.851851851851855</v>
      </c>
      <c r="L80" s="205">
        <v>93.32</v>
      </c>
      <c r="M80" s="205">
        <v>88.51</v>
      </c>
      <c r="N80" s="13"/>
      <c r="O80" s="205" t="s">
        <v>10</v>
      </c>
      <c r="P80" s="205">
        <v>0</v>
      </c>
      <c r="Q80" s="205">
        <f>J74</f>
        <v>99.19</v>
      </c>
      <c r="R80" s="205" t="s">
        <v>10</v>
      </c>
      <c r="S80" s="205">
        <v>0</v>
      </c>
      <c r="T80" s="205">
        <f>K74</f>
        <v>41.481481481481481</v>
      </c>
      <c r="U80" s="205" t="s">
        <v>10</v>
      </c>
      <c r="V80" s="205">
        <v>0</v>
      </c>
      <c r="W80" s="205">
        <f>L74</f>
        <v>101.49</v>
      </c>
      <c r="X80" s="205" t="s">
        <v>10</v>
      </c>
      <c r="Y80" s="205">
        <v>0</v>
      </c>
      <c r="Z80" s="205">
        <f>M74</f>
        <v>96.86</v>
      </c>
      <c r="AB80" s="205">
        <v>40</v>
      </c>
      <c r="AC80" s="205">
        <v>56.54</v>
      </c>
      <c r="AD80" s="205">
        <f>(630-593)/9*4/1.2</f>
        <v>13.703703703703702</v>
      </c>
      <c r="AE80" s="205">
        <v>57.1</v>
      </c>
      <c r="AF80" s="205">
        <v>56.32</v>
      </c>
      <c r="AH80" s="205" t="s">
        <v>27</v>
      </c>
      <c r="AI80" s="205">
        <v>0</v>
      </c>
      <c r="AJ80" s="205">
        <f>AC74</f>
        <v>99.19</v>
      </c>
      <c r="AK80" s="205" t="s">
        <v>27</v>
      </c>
      <c r="AL80" s="205">
        <v>0</v>
      </c>
      <c r="AM80" s="205">
        <f>AD74</f>
        <v>41.481481481481481</v>
      </c>
      <c r="AN80" s="205" t="s">
        <v>27</v>
      </c>
      <c r="AO80" s="205">
        <v>0</v>
      </c>
      <c r="AP80" s="205">
        <f>AE74</f>
        <v>101.49</v>
      </c>
      <c r="AQ80" s="205" t="s">
        <v>27</v>
      </c>
      <c r="AR80" s="205">
        <v>0</v>
      </c>
      <c r="AS80" s="205">
        <f>AF74</f>
        <v>96.86</v>
      </c>
    </row>
    <row r="81" spans="1:45">
      <c r="A81" s="205" t="s">
        <v>23</v>
      </c>
      <c r="B81" s="205">
        <f>Plan1!$B$17</f>
        <v>86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257.99824925550257</v>
      </c>
      <c r="N81" s="13"/>
      <c r="O81" s="205" t="s">
        <v>10</v>
      </c>
      <c r="P81" s="205">
        <v>-5</v>
      </c>
      <c r="Q81" s="205">
        <f>J79</f>
        <v>109.41</v>
      </c>
      <c r="R81" s="205" t="s">
        <v>10</v>
      </c>
      <c r="S81" s="205">
        <v>-5</v>
      </c>
      <c r="T81" s="205">
        <f>K79</f>
        <v>52.962962962962969</v>
      </c>
      <c r="U81" s="205" t="s">
        <v>10</v>
      </c>
      <c r="V81" s="205">
        <v>-5</v>
      </c>
      <c r="W81" s="205">
        <f>L79</f>
        <v>112.35</v>
      </c>
      <c r="X81" s="205" t="s">
        <v>10</v>
      </c>
      <c r="Y81" s="205">
        <v>-5</v>
      </c>
      <c r="Z81" s="205">
        <f>M79</f>
        <v>106.44</v>
      </c>
      <c r="AH81" s="205" t="s">
        <v>27</v>
      </c>
      <c r="AI81" s="205">
        <v>5</v>
      </c>
      <c r="AJ81" s="205">
        <f>AC79</f>
        <v>82.55</v>
      </c>
      <c r="AK81" s="205" t="s">
        <v>27</v>
      </c>
      <c r="AL81" s="205">
        <v>5</v>
      </c>
      <c r="AM81" s="205">
        <f>AD79</f>
        <v>26.666666666666668</v>
      </c>
      <c r="AN81" s="205" t="s">
        <v>27</v>
      </c>
      <c r="AO81" s="205">
        <v>5</v>
      </c>
      <c r="AP81" s="205">
        <f>AE79</f>
        <v>84</v>
      </c>
      <c r="AQ81" s="205" t="s">
        <v>27</v>
      </c>
      <c r="AR81" s="205">
        <v>5</v>
      </c>
      <c r="AS81" s="205">
        <f>AF79</f>
        <v>81.08</v>
      </c>
    </row>
    <row r="82" spans="1:45">
      <c r="A82" s="205" t="s">
        <v>24</v>
      </c>
      <c r="B82" s="205">
        <f>Plan1!$B$18</f>
        <v>49.06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205" t="s">
        <v>10</v>
      </c>
      <c r="P82" s="205">
        <v>-10</v>
      </c>
      <c r="Q82" s="205">
        <f>J84</f>
        <v>117.11</v>
      </c>
      <c r="R82" s="205" t="s">
        <v>10</v>
      </c>
      <c r="S82" s="205">
        <v>-10</v>
      </c>
      <c r="T82" s="205">
        <f>K84</f>
        <v>62.916666666666671</v>
      </c>
      <c r="U82" s="205" t="s">
        <v>10</v>
      </c>
      <c r="V82" s="205">
        <v>-10</v>
      </c>
      <c r="W82" s="205">
        <f>L84</f>
        <v>120.61</v>
      </c>
      <c r="X82" s="205" t="s">
        <v>10</v>
      </c>
      <c r="Y82" s="205">
        <v>-10</v>
      </c>
      <c r="Z82" s="205">
        <f>M84</f>
        <v>113.59</v>
      </c>
      <c r="AH82" s="205" t="s">
        <v>28</v>
      </c>
      <c r="AI82" s="9">
        <f>$B$2</f>
        <v>6.0220000000000002</v>
      </c>
      <c r="AJ82" s="11">
        <f>AJ80*(AI82-AI81)/((AI80-AI81))+AJ81*(AI82-AI80)/((AI81-AI80))</f>
        <v>79.148783999999992</v>
      </c>
      <c r="AK82" s="205" t="s">
        <v>28</v>
      </c>
      <c r="AL82" s="9">
        <f>$B$2</f>
        <v>6.0220000000000002</v>
      </c>
      <c r="AM82" s="11">
        <f>AM80*(AL82-AL81)/((AL80-AL81))+AM81*(AL82-AL80)/((AL81-AL80))</f>
        <v>23.638518518518516</v>
      </c>
      <c r="AN82" s="205" t="s">
        <v>28</v>
      </c>
      <c r="AO82" s="9">
        <f>$B$2</f>
        <v>6.0220000000000002</v>
      </c>
      <c r="AP82" s="11">
        <f>AP80*(AO82-AO81)/((AO80-AO81))+AP81*(AO82-AO80)/((AO81-AO80))</f>
        <v>80.425044</v>
      </c>
      <c r="AQ82" s="205" t="s">
        <v>28</v>
      </c>
      <c r="AR82" s="9">
        <f>$B$2</f>
        <v>6.0220000000000002</v>
      </c>
      <c r="AS82" s="11">
        <f>AS80*(AR82-AR81)/((AR80-AR81))+AS81*(AR82-AR80)/((AR81-AR80))</f>
        <v>77.854567999999986</v>
      </c>
    </row>
    <row r="83" spans="1:45">
      <c r="A83" s="205" t="s">
        <v>25</v>
      </c>
      <c r="B83" s="205">
        <f>COS(RADIANS(B82))</f>
        <v>0.65526833938609963</v>
      </c>
      <c r="D83"/>
      <c r="E83" s="207" t="s">
        <v>6</v>
      </c>
      <c r="F83" s="207" t="s">
        <v>14</v>
      </c>
      <c r="G83" s="14" t="s">
        <v>15</v>
      </c>
      <c r="I83" s="205">
        <v>60</v>
      </c>
      <c r="J83" s="205">
        <v>136.52000000000001</v>
      </c>
      <c r="K83" s="205">
        <f>(630-442)/8*4/1.2</f>
        <v>78.333333333333343</v>
      </c>
      <c r="L83" s="205">
        <v>140.74</v>
      </c>
      <c r="M83" s="205">
        <v>132.25</v>
      </c>
      <c r="N83" s="17"/>
      <c r="O83" s="205" t="s">
        <v>10</v>
      </c>
      <c r="P83" s="205">
        <v>-15</v>
      </c>
      <c r="Q83" s="205">
        <f>J89</f>
        <v>123.39</v>
      </c>
      <c r="R83" s="205" t="s">
        <v>10</v>
      </c>
      <c r="S83" s="205">
        <v>-15</v>
      </c>
      <c r="T83" s="205">
        <f>K89</f>
        <v>72.083333333333343</v>
      </c>
      <c r="U83" s="205" t="s">
        <v>10</v>
      </c>
      <c r="V83" s="205">
        <v>-15</v>
      </c>
      <c r="W83" s="205">
        <f>L89</f>
        <v>127.38</v>
      </c>
      <c r="X83" s="205" t="s">
        <v>10</v>
      </c>
      <c r="Y83" s="205">
        <v>-15</v>
      </c>
      <c r="Z83" s="205">
        <f>M89</f>
        <v>119.37</v>
      </c>
      <c r="AH83" s="205"/>
      <c r="AI83" s="205"/>
      <c r="AJ83" s="205"/>
      <c r="AK83" s="205"/>
      <c r="AL83" s="205"/>
      <c r="AM83" s="205"/>
      <c r="AN83" s="205"/>
      <c r="AO83" s="205"/>
      <c r="AP83" s="205"/>
      <c r="AQ83" s="205"/>
      <c r="AR83" s="205"/>
      <c r="AS83" s="205"/>
    </row>
    <row r="84" spans="1:45">
      <c r="A84" s="205" t="s">
        <v>26</v>
      </c>
      <c r="B84" s="205">
        <f>B5</f>
        <v>-1.8784359062401523</v>
      </c>
      <c r="D84" s="205">
        <v>60</v>
      </c>
      <c r="E84" s="205">
        <f>J73</f>
        <v>120.43</v>
      </c>
      <c r="F84" s="205">
        <v>120.61000000000001</v>
      </c>
      <c r="G84" s="205">
        <v>120.25</v>
      </c>
      <c r="I84" s="205">
        <v>50</v>
      </c>
      <c r="J84" s="205">
        <v>117.11</v>
      </c>
      <c r="K84" s="205">
        <f>(630-479)/8*4/1.2</f>
        <v>62.916666666666671</v>
      </c>
      <c r="L84" s="205">
        <v>120.61</v>
      </c>
      <c r="M84" s="205">
        <v>113.59</v>
      </c>
      <c r="N84" s="17"/>
      <c r="O84" s="205" t="s">
        <v>10</v>
      </c>
      <c r="P84" s="205">
        <v>-20</v>
      </c>
      <c r="Q84" s="205">
        <f>J94</f>
        <v>128.72</v>
      </c>
      <c r="R84" s="205" t="s">
        <v>10</v>
      </c>
      <c r="S84" s="205">
        <v>-20</v>
      </c>
      <c r="T84" s="205">
        <f>K94</f>
        <v>80.476190476190482</v>
      </c>
      <c r="U84" s="205" t="s">
        <v>10</v>
      </c>
      <c r="V84" s="205">
        <v>-20</v>
      </c>
      <c r="W84" s="205">
        <f>L94</f>
        <v>133.16</v>
      </c>
      <c r="X84" s="205" t="s">
        <v>10</v>
      </c>
      <c r="Y84" s="205">
        <v>-20</v>
      </c>
      <c r="Z84" s="205">
        <f>M94</f>
        <v>124.23</v>
      </c>
      <c r="AH84" s="205"/>
      <c r="AI84" s="205"/>
      <c r="AJ84" s="205"/>
      <c r="AK84" s="205"/>
      <c r="AL84" s="205"/>
      <c r="AM84" s="205"/>
      <c r="AN84" s="205"/>
      <c r="AO84" s="205"/>
      <c r="AP84" s="205"/>
      <c r="AQ84" s="205"/>
      <c r="AR84" s="205"/>
      <c r="AS84" s="205"/>
    </row>
    <row r="85" spans="1:45">
      <c r="D85" s="205">
        <v>50</v>
      </c>
      <c r="E85" s="205">
        <f>J74</f>
        <v>99.19</v>
      </c>
      <c r="F85" s="205">
        <v>99.32</v>
      </c>
      <c r="G85" s="205">
        <v>99.05</v>
      </c>
      <c r="I85" s="205">
        <v>40</v>
      </c>
      <c r="J85" s="205">
        <v>99.01</v>
      </c>
      <c r="K85" s="205">
        <f>(630-506)/8*4/1.2</f>
        <v>51.666666666666671</v>
      </c>
      <c r="L85" s="205">
        <v>101.95</v>
      </c>
      <c r="M85" s="205">
        <v>96.05</v>
      </c>
      <c r="N85" s="13"/>
      <c r="O85" s="205" t="s">
        <v>10</v>
      </c>
      <c r="P85" s="205">
        <v>-25</v>
      </c>
      <c r="Q85" s="205">
        <f>J99</f>
        <v>133.36000000000001</v>
      </c>
      <c r="R85" s="205" t="s">
        <v>10</v>
      </c>
      <c r="S85" s="205">
        <v>-25</v>
      </c>
      <c r="T85" s="205">
        <f>K99</f>
        <v>88.571428571428584</v>
      </c>
      <c r="U85" s="205" t="s">
        <v>10</v>
      </c>
      <c r="V85" s="205">
        <v>-25</v>
      </c>
      <c r="W85" s="205">
        <f>L99</f>
        <v>138.24</v>
      </c>
      <c r="X85" s="205" t="s">
        <v>10</v>
      </c>
      <c r="Y85" s="205">
        <v>-25</v>
      </c>
      <c r="Z85" s="205">
        <f>M99</f>
        <v>128.43</v>
      </c>
      <c r="AH85" s="205"/>
      <c r="AI85" s="205"/>
      <c r="AJ85" s="205"/>
      <c r="AK85" s="205"/>
      <c r="AL85" s="205"/>
      <c r="AM85" s="205"/>
      <c r="AN85" s="205"/>
      <c r="AO85" s="205"/>
      <c r="AP85" s="205"/>
      <c r="AQ85" s="205"/>
      <c r="AR85" s="205"/>
      <c r="AS85" s="205"/>
    </row>
    <row r="86" spans="1:45">
      <c r="A86" s="205" t="s">
        <v>32</v>
      </c>
      <c r="B86" s="23">
        <f>$B$3*SIN(RADIANS($B$4))</f>
        <v>0.95798784374570456</v>
      </c>
      <c r="D86" s="205">
        <v>40</v>
      </c>
      <c r="E86" s="205">
        <f>J75</f>
        <v>79.709999999999994</v>
      </c>
      <c r="F86" s="205">
        <v>79.8</v>
      </c>
      <c r="G86" s="205">
        <v>79.62</v>
      </c>
      <c r="N86" s="13"/>
      <c r="O86" s="205" t="s">
        <v>11</v>
      </c>
      <c r="P86" s="9">
        <f>$B$2</f>
        <v>6.0220000000000002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80.385526858145568</v>
      </c>
      <c r="R86" s="205" t="s">
        <v>11</v>
      </c>
      <c r="S86" s="9">
        <f>$B$2</f>
        <v>6.0220000000000002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21.643663516987999</v>
      </c>
      <c r="U86" s="205" t="s">
        <v>11</v>
      </c>
      <c r="V86" s="9">
        <f>$B$2</f>
        <v>6.0220000000000002</v>
      </c>
      <c r="W86" s="205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81.855166569101641</v>
      </c>
      <c r="X86" s="205" t="s">
        <v>11</v>
      </c>
      <c r="Y86" s="9">
        <f>$B$2</f>
        <v>6.0220000000000002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79.032342218525429</v>
      </c>
    </row>
    <row r="87" spans="1:45">
      <c r="A87" s="205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207" t="s">
        <v>12</v>
      </c>
      <c r="R87" s="207"/>
      <c r="S87" s="207"/>
      <c r="T87" s="207" t="s">
        <v>13</v>
      </c>
      <c r="U87" s="207"/>
      <c r="V87" s="207"/>
      <c r="W87" s="207" t="s">
        <v>8</v>
      </c>
      <c r="X87" s="207"/>
      <c r="Y87" s="207"/>
      <c r="Z87" s="207" t="s">
        <v>9</v>
      </c>
      <c r="AJ87" s="207" t="s">
        <v>12</v>
      </c>
      <c r="AK87" s="207"/>
      <c r="AL87" s="207"/>
      <c r="AM87" s="207" t="s">
        <v>13</v>
      </c>
      <c r="AN87" s="207"/>
      <c r="AO87" s="207"/>
      <c r="AP87" s="207" t="s">
        <v>8</v>
      </c>
      <c r="AQ87" s="207"/>
      <c r="AR87" s="207"/>
      <c r="AS87" s="207" t="s">
        <v>9</v>
      </c>
    </row>
    <row r="88" spans="1:45">
      <c r="D88"/>
      <c r="F88" s="207" t="s">
        <v>38</v>
      </c>
      <c r="I88" s="205">
        <v>60</v>
      </c>
      <c r="J88" s="205">
        <v>142.4</v>
      </c>
      <c r="K88" s="205">
        <f>(630-419)/8*4/1.2</f>
        <v>87.916666666666671</v>
      </c>
      <c r="L88" s="205">
        <v>147.13</v>
      </c>
      <c r="M88" s="205">
        <v>137.61000000000001</v>
      </c>
      <c r="N88" s="13"/>
      <c r="O88" s="205" t="s">
        <v>10</v>
      </c>
      <c r="P88" s="205">
        <v>0</v>
      </c>
      <c r="Q88" s="205">
        <f>J75</f>
        <v>79.709999999999994</v>
      </c>
      <c r="R88" s="205" t="s">
        <v>10</v>
      </c>
      <c r="S88" s="205">
        <v>0</v>
      </c>
      <c r="T88" s="205">
        <f>K75</f>
        <v>30.74074074074074</v>
      </c>
      <c r="U88" s="205" t="s">
        <v>10</v>
      </c>
      <c r="V88" s="205">
        <v>0</v>
      </c>
      <c r="W88" s="205">
        <f>L75</f>
        <v>81.47</v>
      </c>
      <c r="X88" s="205" t="s">
        <v>10</v>
      </c>
      <c r="Y88" s="205">
        <v>0</v>
      </c>
      <c r="Z88" s="205">
        <f>M75</f>
        <v>77.95</v>
      </c>
      <c r="AH88" s="205" t="s">
        <v>27</v>
      </c>
      <c r="AI88" s="205">
        <v>0</v>
      </c>
      <c r="AJ88" s="205">
        <f>AC75</f>
        <v>79.709999999999994</v>
      </c>
      <c r="AK88" s="205" t="s">
        <v>27</v>
      </c>
      <c r="AL88" s="205">
        <v>0</v>
      </c>
      <c r="AM88" s="205">
        <f>AD75</f>
        <v>30.74074074074074</v>
      </c>
      <c r="AN88" s="205" t="s">
        <v>27</v>
      </c>
      <c r="AO88" s="205">
        <v>0</v>
      </c>
      <c r="AP88" s="205">
        <f>AE75</f>
        <v>81.47</v>
      </c>
      <c r="AQ88" s="205" t="s">
        <v>27</v>
      </c>
      <c r="AR88" s="205">
        <v>0</v>
      </c>
      <c r="AS88" s="205">
        <f>AF75</f>
        <v>77.95</v>
      </c>
    </row>
    <row r="89" spans="1:45">
      <c r="A89" s="205" t="s">
        <v>31</v>
      </c>
      <c r="B89" s="205" t="s">
        <v>35</v>
      </c>
      <c r="D89" s="205">
        <v>60</v>
      </c>
      <c r="E89" s="205">
        <f>E84</f>
        <v>120.43</v>
      </c>
      <c r="F89" s="11">
        <f>E84*((D84-(100/360))-D85)*((D84-(100/360))-D86)/((D84-D85)*(D84-D86))+E85*((D84-(100/360))-D84)*((D84-(100/360))-D86)/((D85-D84)*(D85-D86))+E86*((D84-(100/360))-D84)*((D84-(100/360))-D85)/((D86-D84)*(D86-D85))</f>
        <v>119.81623456790123</v>
      </c>
      <c r="G89" s="205">
        <v>120.25</v>
      </c>
      <c r="I89" s="205">
        <v>50</v>
      </c>
      <c r="J89" s="205">
        <v>123.39</v>
      </c>
      <c r="K89" s="205">
        <f>(630-457)/8*4/1.2</f>
        <v>72.083333333333343</v>
      </c>
      <c r="L89" s="205">
        <v>127.38</v>
      </c>
      <c r="M89" s="205">
        <v>119.37</v>
      </c>
      <c r="N89" s="13"/>
      <c r="O89" s="205" t="s">
        <v>10</v>
      </c>
      <c r="P89" s="205">
        <v>-5</v>
      </c>
      <c r="Q89" s="205">
        <f>J80</f>
        <v>90.92</v>
      </c>
      <c r="R89" s="205" t="s">
        <v>10</v>
      </c>
      <c r="S89" s="205">
        <v>-5</v>
      </c>
      <c r="T89" s="205">
        <f>K80</f>
        <v>41.851851851851855</v>
      </c>
      <c r="U89" s="205" t="s">
        <v>10</v>
      </c>
      <c r="V89" s="205">
        <v>-5</v>
      </c>
      <c r="W89" s="205">
        <f>L80</f>
        <v>93.32</v>
      </c>
      <c r="X89" s="205" t="s">
        <v>10</v>
      </c>
      <c r="Y89" s="205">
        <v>-5</v>
      </c>
      <c r="Z89" s="205">
        <f>M80</f>
        <v>88.51</v>
      </c>
      <c r="AH89" s="205" t="s">
        <v>27</v>
      </c>
      <c r="AI89" s="205">
        <v>5</v>
      </c>
      <c r="AJ89" s="205">
        <f>AC80</f>
        <v>56.54</v>
      </c>
      <c r="AK89" s="205" t="s">
        <v>27</v>
      </c>
      <c r="AL89" s="205">
        <v>5</v>
      </c>
      <c r="AM89" s="205">
        <f>AD80</f>
        <v>13.703703703703702</v>
      </c>
      <c r="AN89" s="205" t="s">
        <v>27</v>
      </c>
      <c r="AO89" s="205">
        <v>5</v>
      </c>
      <c r="AP89" s="205">
        <f>AE80</f>
        <v>57.1</v>
      </c>
      <c r="AQ89" s="205" t="s">
        <v>27</v>
      </c>
      <c r="AR89" s="205">
        <v>5</v>
      </c>
      <c r="AS89" s="205">
        <f>AF80</f>
        <v>56.32</v>
      </c>
    </row>
    <row r="90" spans="1:45">
      <c r="A90" s="22">
        <f>(F94*($E$8-E95)*($E$8-E96)/((E94-E95)*(E94-E96))+F95*($E$8-E94)*($E$8-E96)/((E95-E94)*(E95-E96))+F96*($E$8-E94)*($E$8-E95)/((E96-E94)*(E96-E95)))</f>
        <v>179.94574022430507</v>
      </c>
      <c r="B90" s="23">
        <f>(B86*A90+(A91*B84))/($E$8*(44/17.5))</f>
        <v>-0.2671472880096184</v>
      </c>
      <c r="D90" s="205">
        <v>50</v>
      </c>
      <c r="E90" s="205">
        <f>E85</f>
        <v>99.19</v>
      </c>
      <c r="F90" s="11">
        <f>E84*((D85-(100/360))-D85)*((D85-(100/360))-D86)/((D84-D85)*(D84-D86))+E85*((D85-(100/360))-D84)*((D85-(100/360))-D86)/((D85-D84)*(D85-D86))+E86*((D85-(100/360))-D84)*((D85-(100/360))-D85)/((D86-D84)*(D86-D85))</f>
        <v>98.625123456790135</v>
      </c>
      <c r="G90" s="205">
        <v>99.05</v>
      </c>
      <c r="I90" s="205">
        <v>40</v>
      </c>
      <c r="J90" s="205">
        <v>105.47</v>
      </c>
      <c r="K90" s="205">
        <f>(630-485)/8*4/1.2</f>
        <v>60.416666666666671</v>
      </c>
      <c r="L90" s="205">
        <v>108.9</v>
      </c>
      <c r="M90" s="205">
        <v>102.02</v>
      </c>
      <c r="N90" s="16"/>
      <c r="O90" s="205" t="s">
        <v>10</v>
      </c>
      <c r="P90" s="205">
        <v>-10</v>
      </c>
      <c r="Q90" s="205">
        <f>J85</f>
        <v>99.01</v>
      </c>
      <c r="R90" s="205" t="s">
        <v>10</v>
      </c>
      <c r="S90" s="205">
        <v>-10</v>
      </c>
      <c r="T90" s="205">
        <f>K85</f>
        <v>51.666666666666671</v>
      </c>
      <c r="U90" s="205" t="s">
        <v>10</v>
      </c>
      <c r="V90" s="205">
        <v>-10</v>
      </c>
      <c r="W90" s="205">
        <f>L85</f>
        <v>101.95</v>
      </c>
      <c r="X90" s="205" t="s">
        <v>10</v>
      </c>
      <c r="Y90" s="205">
        <v>-10</v>
      </c>
      <c r="Z90" s="205">
        <f>M85</f>
        <v>96.05</v>
      </c>
      <c r="AH90" s="205" t="s">
        <v>28</v>
      </c>
      <c r="AI90" s="9">
        <f>$B$2</f>
        <v>6.0220000000000002</v>
      </c>
      <c r="AJ90" s="11">
        <f>AJ88*(AI90-AI89)/((AI88-AI89))+AJ89*(AI90-AI88)/((AI89-AI88))</f>
        <v>51.804052000000006</v>
      </c>
      <c r="AK90" s="205" t="s">
        <v>28</v>
      </c>
      <c r="AL90" s="9">
        <f>$B$2</f>
        <v>6.0220000000000002</v>
      </c>
      <c r="AM90" s="11">
        <f>AM88*(AL90-AL89)/((AL88-AL89))+AM89*(AL90-AL88)/((AL89-AL88))</f>
        <v>10.22133333333333</v>
      </c>
      <c r="AN90" s="205" t="s">
        <v>28</v>
      </c>
      <c r="AO90" s="9">
        <f>$B$2</f>
        <v>6.0220000000000002</v>
      </c>
      <c r="AP90" s="11">
        <f>AP88*(AO90-AO89)/((AO88-AO89))+AP89*(AO90-AO88)/((AO89-AO88))</f>
        <v>52.118772</v>
      </c>
      <c r="AQ90" s="205" t="s">
        <v>28</v>
      </c>
      <c r="AR90" s="9">
        <f>$B$2</f>
        <v>6.0220000000000002</v>
      </c>
      <c r="AS90" s="11">
        <f>AS88*(AR90-AR89)/((AR88-AR89))+AS89*(AR90-AR88)/((AR89-AR88))</f>
        <v>51.898827999999995</v>
      </c>
    </row>
    <row r="91" spans="1:45">
      <c r="A91" s="22">
        <f>A90*1</f>
        <v>179.94574022430507</v>
      </c>
      <c r="D91" s="205">
        <v>40</v>
      </c>
      <c r="E91" s="205">
        <f>E86</f>
        <v>79.709999999999994</v>
      </c>
      <c r="F91" s="11">
        <f>E84*((D86-(100/360))-D85)*((D86-(100/360))-D86)/((D84-D85)*(D84-D86))+E85*((D86-(100/360))-D84)*((D86-(100/360))-D86)/((D85-D84)*(D85-D86))+E86*((D86-(100/360))-D84)*((D86-(100/360))-D85)/((D86-D84)*(D86-D85))</f>
        <v>79.194012345678999</v>
      </c>
      <c r="G91" s="205">
        <v>79.62</v>
      </c>
      <c r="N91" s="16"/>
      <c r="O91" s="205" t="s">
        <v>10</v>
      </c>
      <c r="P91" s="205">
        <v>-15</v>
      </c>
      <c r="Q91" s="205">
        <f>J90</f>
        <v>105.47</v>
      </c>
      <c r="R91" s="205" t="s">
        <v>10</v>
      </c>
      <c r="S91" s="205">
        <v>-15</v>
      </c>
      <c r="T91" s="205">
        <f>K90</f>
        <v>60.416666666666671</v>
      </c>
      <c r="U91" s="205" t="s">
        <v>10</v>
      </c>
      <c r="V91" s="205">
        <v>-15</v>
      </c>
      <c r="W91" s="205">
        <f>L90</f>
        <v>108.9</v>
      </c>
      <c r="X91" s="205" t="s">
        <v>10</v>
      </c>
      <c r="Y91" s="205">
        <v>-15</v>
      </c>
      <c r="Z91" s="205">
        <f>M90</f>
        <v>102.02</v>
      </c>
      <c r="AH91" s="205"/>
      <c r="AI91" s="205"/>
      <c r="AJ91" s="205"/>
      <c r="AK91" s="205"/>
      <c r="AL91" s="205"/>
      <c r="AM91" s="205"/>
      <c r="AN91" s="205"/>
      <c r="AO91" s="205"/>
      <c r="AP91" s="205"/>
      <c r="AQ91" s="205"/>
      <c r="AR91" s="205"/>
      <c r="AS91" s="205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205" t="s">
        <v>10</v>
      </c>
      <c r="P92" s="205">
        <v>-20</v>
      </c>
      <c r="Q92" s="205">
        <f>J95</f>
        <v>110.89</v>
      </c>
      <c r="R92" s="205" t="s">
        <v>10</v>
      </c>
      <c r="S92" s="205">
        <v>-20</v>
      </c>
      <c r="T92" s="205">
        <f>K95</f>
        <v>68.571428571428584</v>
      </c>
      <c r="U92" s="205" t="s">
        <v>10</v>
      </c>
      <c r="V92" s="205">
        <v>-20</v>
      </c>
      <c r="W92" s="205">
        <f>L95</f>
        <v>114.78</v>
      </c>
      <c r="X92" s="205" t="s">
        <v>10</v>
      </c>
      <c r="Y92" s="205">
        <v>-20</v>
      </c>
      <c r="Z92" s="205">
        <f>M95</f>
        <v>106.98</v>
      </c>
      <c r="AH92" s="205"/>
      <c r="AI92" s="205"/>
      <c r="AJ92" s="205"/>
      <c r="AK92" s="205"/>
      <c r="AL92" s="205"/>
      <c r="AM92" s="205"/>
      <c r="AN92" s="205"/>
      <c r="AO92" s="205"/>
      <c r="AP92" s="205"/>
      <c r="AQ92" s="205"/>
      <c r="AR92" s="205"/>
      <c r="AS92" s="205"/>
    </row>
    <row r="93" spans="1:45">
      <c r="A93" s="205" t="s">
        <v>36</v>
      </c>
      <c r="B93" s="23">
        <f>$B$3*SIN(RADIANS($B$4+B90*0.707))</f>
        <v>0.95892809017834957</v>
      </c>
      <c r="D93"/>
      <c r="E93" s="207" t="s">
        <v>6</v>
      </c>
      <c r="F93" s="207" t="s">
        <v>7</v>
      </c>
      <c r="G93" s="207" t="s">
        <v>29</v>
      </c>
      <c r="H93" s="207" t="s">
        <v>30</v>
      </c>
      <c r="I93" s="205">
        <v>60</v>
      </c>
      <c r="J93" s="205">
        <v>147.44999999999999</v>
      </c>
      <c r="K93" s="205">
        <f>(630-427)/7*4/1.2</f>
        <v>96.666666666666671</v>
      </c>
      <c r="L93" s="205">
        <v>152.65</v>
      </c>
      <c r="M93" s="205">
        <v>142.19</v>
      </c>
      <c r="O93" s="205" t="s">
        <v>10</v>
      </c>
      <c r="P93" s="205">
        <v>-25</v>
      </c>
      <c r="Q93" s="205">
        <f>J100</f>
        <v>115.59</v>
      </c>
      <c r="R93" s="205" t="s">
        <v>10</v>
      </c>
      <c r="S93" s="205">
        <v>-25</v>
      </c>
      <c r="T93" s="205">
        <f>K100</f>
        <v>76.19047619047619</v>
      </c>
      <c r="U93" s="205" t="s">
        <v>10</v>
      </c>
      <c r="V93" s="205">
        <v>-25</v>
      </c>
      <c r="W93" s="205">
        <f>L100</f>
        <v>119.89</v>
      </c>
      <c r="X93" s="205" t="s">
        <v>10</v>
      </c>
      <c r="Y93" s="205">
        <v>-25</v>
      </c>
      <c r="Z93" s="205">
        <f>M100</f>
        <v>111.25</v>
      </c>
      <c r="AH93" s="205"/>
      <c r="AI93" s="205"/>
      <c r="AJ93" s="205"/>
      <c r="AK93" s="205"/>
      <c r="AL93" s="205"/>
      <c r="AM93" s="205"/>
      <c r="AN93" s="205"/>
      <c r="AO93" s="205"/>
      <c r="AP93" s="205"/>
      <c r="AQ93" s="205"/>
      <c r="AR93" s="205"/>
      <c r="AS93" s="205"/>
    </row>
    <row r="94" spans="1:45">
      <c r="A94" s="205" t="s">
        <v>37</v>
      </c>
      <c r="B94" s="23">
        <f>$B$3*COS(RADIANS($B$4+B90*0.5))</f>
        <v>-0.2845746717427533</v>
      </c>
      <c r="D94" s="205">
        <v>60</v>
      </c>
      <c r="E94" s="205">
        <f>IF($B$2&gt;0,AJ74,Q78)</f>
        <v>104.84506400000001</v>
      </c>
      <c r="F94" s="205">
        <f>IF($B$2&gt;0,AM74,T78)</f>
        <v>39.345481481481478</v>
      </c>
      <c r="G94" s="205">
        <f>IF($B$2&gt;0,AP74,W78)</f>
        <v>106.93358800000001</v>
      </c>
      <c r="H94" s="22">
        <f>IF($B$2&gt;0,AS74,Z78)</f>
        <v>102.72654</v>
      </c>
      <c r="I94" s="205">
        <v>50</v>
      </c>
      <c r="J94" s="205">
        <v>128.72</v>
      </c>
      <c r="K94" s="205">
        <f>(630-461)/7*4/1.2</f>
        <v>80.476190476190482</v>
      </c>
      <c r="L94" s="205">
        <v>133.16</v>
      </c>
      <c r="M94" s="205">
        <v>124.23</v>
      </c>
      <c r="O94" s="205" t="s">
        <v>11</v>
      </c>
      <c r="P94" s="9">
        <f>$B$2</f>
        <v>6.0220000000000002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57.635498895053246</v>
      </c>
      <c r="R94" s="205" t="s">
        <v>11</v>
      </c>
      <c r="S94" s="9">
        <f>$B$2</f>
        <v>6.0220000000000002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16.669813024523165</v>
      </c>
      <c r="U94" s="205" t="s">
        <v>11</v>
      </c>
      <c r="V94" s="9">
        <f>$B$2</f>
        <v>6.0220000000000002</v>
      </c>
      <c r="W94" s="205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58.391838550561459</v>
      </c>
      <c r="X94" s="205" t="s">
        <v>11</v>
      </c>
      <c r="Y94" s="9">
        <f>$B$2</f>
        <v>6.0220000000000002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56.831702832162961</v>
      </c>
    </row>
    <row r="95" spans="1:45">
      <c r="D95" s="205">
        <v>50</v>
      </c>
      <c r="E95" s="205">
        <f>IF($B$2&gt;0,AJ82,Q86)</f>
        <v>79.148783999999992</v>
      </c>
      <c r="F95" s="205">
        <f>IF($B$2&gt;0,AM82,T86)</f>
        <v>23.638518518518516</v>
      </c>
      <c r="G95" s="205">
        <f>IF($B$2&gt;0,AP82,W86)</f>
        <v>80.425044</v>
      </c>
      <c r="H95" s="22">
        <f>IF($B$2&gt;0,AS82,Z86)</f>
        <v>77.854567999999986</v>
      </c>
      <c r="I95" s="205">
        <v>40</v>
      </c>
      <c r="J95" s="205">
        <v>110.89</v>
      </c>
      <c r="K95" s="205">
        <f>(630-486)/7*4/1.2</f>
        <v>68.571428571428584</v>
      </c>
      <c r="L95" s="205">
        <v>114.78</v>
      </c>
      <c r="M95" s="205">
        <v>106.98</v>
      </c>
    </row>
    <row r="96" spans="1:45">
      <c r="A96" s="235" t="s">
        <v>39</v>
      </c>
      <c r="B96" s="236"/>
      <c r="D96" s="205">
        <v>40</v>
      </c>
      <c r="E96" s="205">
        <f>IF($B$2&gt;0,AJ90,Q94)</f>
        <v>51.804052000000006</v>
      </c>
      <c r="F96" s="205">
        <f>IF($B$2&gt;0,AM90,T94)</f>
        <v>10.22133333333333</v>
      </c>
      <c r="G96" s="205">
        <f>IF($B$2&gt;0,AP90,W94)</f>
        <v>52.118772</v>
      </c>
      <c r="H96" s="22">
        <f>IF($B$2&gt;0,AS90,Z94)</f>
        <v>51.898827999999995</v>
      </c>
    </row>
    <row r="97" spans="1:26">
      <c r="A97" s="205">
        <f>F89*(E81-E90)*(E81-E91)/((E89-E90)*(E89-E91))+F90*(E81-E89)*(E81-E91)/((E90-E89)*(E90-E91))+F91*(E81-E89)*(E81-E90)/((E91-E89)*(E91-E90))</f>
        <v>257.17941189191606</v>
      </c>
      <c r="B97" s="205">
        <f>G89*(E81-E90)*(E81-E91)/((E89-E90)*(E89-E91))+G90*(E81-E89)*(E81-E91)/((E90-E89)*(E90-E91))+G91*(E81-E89)*(E81-E90)/((E91-E89)*(E91-E90))</f>
        <v>257.92588254153861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207"/>
      <c r="Z97" s="207"/>
    </row>
    <row r="98" spans="1:26">
      <c r="D98"/>
      <c r="E98" s="235" t="s">
        <v>232</v>
      </c>
      <c r="F98" s="236"/>
      <c r="G98" s="12"/>
      <c r="H98" s="12"/>
      <c r="I98" s="205">
        <v>60</v>
      </c>
      <c r="J98" s="205">
        <v>151.80000000000001</v>
      </c>
      <c r="K98" s="205">
        <f>(630-410)/7*4/1.2</f>
        <v>104.76190476190476</v>
      </c>
      <c r="L98" s="205">
        <v>157.53</v>
      </c>
      <c r="M98" s="205">
        <v>146.16999999999999</v>
      </c>
    </row>
    <row r="99" spans="1:26">
      <c r="A99" s="205" t="s">
        <v>41</v>
      </c>
      <c r="B99" s="205" t="s">
        <v>42</v>
      </c>
      <c r="D99"/>
      <c r="E99" s="205">
        <v>60</v>
      </c>
      <c r="F99" s="11">
        <f>E94*(B94-9)*(B94--9)/((0-9)*(0--9))+G94*(B94-0)*(B94--9)/((9-0)*(9--9))+H94*(B94-0)*(B94-9)/((-9-0)*(-9-9))</f>
        <v>104.77853681966194</v>
      </c>
      <c r="G99" s="12"/>
      <c r="H99" s="12"/>
      <c r="I99" s="205">
        <v>50</v>
      </c>
      <c r="J99" s="205">
        <v>133.36000000000001</v>
      </c>
      <c r="K99" s="205">
        <f>(630-444)/7*4/1.2</f>
        <v>88.571428571428584</v>
      </c>
      <c r="L99" s="205">
        <v>138.24</v>
      </c>
      <c r="M99" s="205">
        <v>128.43</v>
      </c>
    </row>
    <row r="100" spans="1:26">
      <c r="A100" s="23">
        <f>E99*(E81-F100)*(E81-F101)/((F99-F100)*(F99-F101))+E100*(E81-F99)*(E81-F101)/((F100-F99)*(F100-F101))+E101*(E81-F99)*(E81-F100)/((F101-F99)*(F101-F100))</f>
        <v>131.76912861068161</v>
      </c>
      <c r="B100" s="24">
        <f>(F94*(A100-D95)*(A100-D96)/((D94-D95)*(D94-D96))+F95*(A100-D94)*(A100-D96)/((D95-D94)*(D95-D96))+F96*(A100-D94)*(A100-D95)/((D96-D94)*(D96-D95)))*(B93+(B84*8/9*(A91/A90))*(A100/100))</f>
        <v>-272.15710698063674</v>
      </c>
      <c r="D100"/>
      <c r="E100" s="205">
        <v>50</v>
      </c>
      <c r="F100" s="11">
        <f>E95*(B94-9)*(B94--9)/((0-9)*(0--9))+G95*(B94-0)*(B94--9)/((9-0)*(9--9))+H95*(B94-0)*(B94-9)/((-9-0)*(-9-9))</f>
        <v>79.108136559250298</v>
      </c>
      <c r="G100" s="12"/>
      <c r="H100" s="12"/>
      <c r="I100" s="205">
        <v>40</v>
      </c>
      <c r="J100" s="205">
        <v>115.59</v>
      </c>
      <c r="K100" s="205">
        <f>(630-470)/7*4/1.2</f>
        <v>76.19047619047619</v>
      </c>
      <c r="L100" s="205">
        <v>119.89</v>
      </c>
      <c r="M100" s="205">
        <v>111.25</v>
      </c>
    </row>
    <row r="101" spans="1:26">
      <c r="A101" s="205" t="s">
        <v>44</v>
      </c>
      <c r="B101" s="205" t="s">
        <v>43</v>
      </c>
      <c r="D101"/>
      <c r="E101" s="205">
        <v>40</v>
      </c>
      <c r="F101" s="11">
        <f>E96*(B94-9)*(B94--9)/((0-9)*(0--9))+G96*(B94-0)*(B94--9)/((9-0)*(9--9))+H96*(B94-0)*(B94-9)/((-9-0)*(-9-9))</f>
        <v>51.800779454847152</v>
      </c>
    </row>
    <row r="102" spans="1:26">
      <c r="A102" s="25">
        <f>(360-ROUNDDOWN((1-(A100/100))*360,0))*256/360</f>
        <v>337.06666666666666</v>
      </c>
      <c r="B102" s="11">
        <f>MOD((A100/100)*-360,1)*-(($E$10-A97)/($E$10-B97))+11</f>
        <v>5.755596137525143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257.2091457263441</v>
      </c>
    </row>
    <row r="103" spans="1:26">
      <c r="D103"/>
      <c r="P103" s="14"/>
      <c r="T103" s="14"/>
    </row>
    <row r="104" spans="1:26">
      <c r="D104"/>
      <c r="P104" s="14"/>
      <c r="T104" s="14"/>
    </row>
    <row r="105" spans="1:26">
      <c r="D105"/>
      <c r="P105" s="14"/>
      <c r="T105" s="14"/>
    </row>
    <row r="106" spans="1:26">
      <c r="D106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>
      <c r="D107"/>
    </row>
    <row r="108" spans="1:26" ht="15" customHeight="1">
      <c r="D108"/>
    </row>
    <row r="109" spans="1:26" ht="15" customHeight="1">
      <c r="D109"/>
    </row>
    <row r="110" spans="1:26" ht="15" customHeight="1">
      <c r="D110"/>
    </row>
    <row r="111" spans="1:26">
      <c r="D111"/>
    </row>
    <row r="112" spans="1:26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26">
      <c r="D129"/>
    </row>
    <row r="130" spans="4:26">
      <c r="D130"/>
    </row>
    <row r="131" spans="4:26">
      <c r="D131"/>
    </row>
    <row r="132" spans="4:26">
      <c r="D132"/>
    </row>
    <row r="133" spans="4:26">
      <c r="D133"/>
    </row>
    <row r="134" spans="4:26">
      <c r="D134"/>
    </row>
    <row r="135" spans="4:26">
      <c r="D135"/>
    </row>
    <row r="136" spans="4:26">
      <c r="D136"/>
    </row>
    <row r="137" spans="4:26">
      <c r="D137"/>
    </row>
    <row r="138" spans="4:26">
      <c r="D138"/>
      <c r="P138" s="14"/>
      <c r="T138" s="14"/>
    </row>
    <row r="139" spans="4:26">
      <c r="D139"/>
      <c r="P139" s="14"/>
      <c r="T139" s="14"/>
    </row>
    <row r="140" spans="4:26">
      <c r="D140"/>
      <c r="P140" s="14"/>
      <c r="T140" s="14"/>
    </row>
    <row r="141" spans="4:26">
      <c r="D141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4:26">
      <c r="D142"/>
    </row>
    <row r="143" spans="4:26" ht="15" customHeight="1">
      <c r="D143"/>
    </row>
    <row r="144" spans="4:26" ht="15" customHeight="1">
      <c r="D144"/>
    </row>
    <row r="145" spans="4:4" ht="15" customHeight="1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 ht="15" customHeight="1">
      <c r="D178"/>
    </row>
    <row r="179" spans="4:4" ht="15" customHeight="1">
      <c r="D179"/>
    </row>
    <row r="180" spans="4:4" ht="15" customHeight="1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</sheetData>
  <mergeCells count="12">
    <mergeCell ref="E98:F98"/>
    <mergeCell ref="E1:F1"/>
    <mergeCell ref="D7:F7"/>
    <mergeCell ref="A26:B26"/>
    <mergeCell ref="E27:F27"/>
    <mergeCell ref="F38:H40"/>
    <mergeCell ref="D43:F43"/>
    <mergeCell ref="A61:B61"/>
    <mergeCell ref="E63:F63"/>
    <mergeCell ref="F73:H75"/>
    <mergeCell ref="D78:F78"/>
    <mergeCell ref="A96:B96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S207"/>
  <sheetViews>
    <sheetView zoomScaleNormal="100" workbookViewId="0">
      <selection activeCell="B33" sqref="B33"/>
    </sheetView>
  </sheetViews>
  <sheetFormatPr defaultRowHeight="15"/>
  <cols>
    <col min="1" max="2" width="9.85546875" customWidth="1"/>
    <col min="4" max="4" width="10" style="1" customWidth="1"/>
    <col min="6" max="6" width="12.7109375" bestFit="1" customWidth="1"/>
  </cols>
  <sheetData>
    <row r="1" spans="1:45">
      <c r="A1" s="7" t="s">
        <v>0</v>
      </c>
      <c r="B1" s="26">
        <f>Plan1!B1</f>
        <v>246.59</v>
      </c>
      <c r="E1" s="237" t="s">
        <v>139</v>
      </c>
      <c r="F1" s="237"/>
      <c r="G1" s="101"/>
      <c r="H1" s="101"/>
      <c r="Q1" s="1" t="s">
        <v>12</v>
      </c>
      <c r="R1" s="1"/>
      <c r="S1" s="1"/>
      <c r="T1" s="1" t="s">
        <v>13</v>
      </c>
      <c r="U1" s="1"/>
      <c r="V1" s="1"/>
      <c r="W1" s="1" t="s">
        <v>8</v>
      </c>
      <c r="X1" s="1"/>
      <c r="Y1" s="1"/>
      <c r="Z1" s="1" t="s">
        <v>9</v>
      </c>
      <c r="AJ1" s="1" t="s">
        <v>12</v>
      </c>
      <c r="AK1" s="1"/>
      <c r="AL1" s="1"/>
      <c r="AM1" s="1" t="s">
        <v>13</v>
      </c>
      <c r="AN1" s="1"/>
      <c r="AO1" s="1"/>
      <c r="AP1" s="1" t="s">
        <v>8</v>
      </c>
      <c r="AQ1" s="1"/>
      <c r="AR1" s="1"/>
      <c r="AS1" s="1" t="s">
        <v>9</v>
      </c>
    </row>
    <row r="2" spans="1:45">
      <c r="A2" s="7" t="s">
        <v>1</v>
      </c>
      <c r="B2" s="27">
        <f>Plan1!B2</f>
        <v>6.0220000000000002</v>
      </c>
      <c r="E2" s="100" t="s">
        <v>45</v>
      </c>
      <c r="F2" s="24">
        <f>IF(A30&gt;80,A30,IF(A65&gt;60,A65,IF(A100&gt;40,A100)))</f>
        <v>104.39682025975253</v>
      </c>
      <c r="G2" s="13"/>
      <c r="H2">
        <f>IF(A30&gt;80,A30,IF(A65&gt;60,A65,IF(A100&gt;40,A100)))</f>
        <v>104.39682025975253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100" t="s">
        <v>10</v>
      </c>
      <c r="P2" s="100">
        <v>0</v>
      </c>
      <c r="Q2" s="100">
        <f>J3</f>
        <v>246.67</v>
      </c>
      <c r="R2" s="100" t="s">
        <v>10</v>
      </c>
      <c r="S2" s="100">
        <v>0</v>
      </c>
      <c r="T2" s="100">
        <f>K3</f>
        <v>214.81481481481481</v>
      </c>
      <c r="U2" s="100" t="s">
        <v>10</v>
      </c>
      <c r="V2" s="100">
        <v>0</v>
      </c>
      <c r="W2" s="100">
        <f>L3</f>
        <v>256.85000000000002</v>
      </c>
      <c r="X2" s="100" t="s">
        <v>10</v>
      </c>
      <c r="Y2" s="100">
        <v>0</v>
      </c>
      <c r="Z2" s="100">
        <f>M3</f>
        <v>236.19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110" t="s">
        <v>27</v>
      </c>
      <c r="AI2" s="110">
        <v>0</v>
      </c>
      <c r="AJ2" s="110">
        <f>AC3</f>
        <v>246.67</v>
      </c>
      <c r="AK2" s="110" t="s">
        <v>27</v>
      </c>
      <c r="AL2" s="191">
        <v>0</v>
      </c>
      <c r="AM2" s="110">
        <f>AD3</f>
        <v>214.81481481481481</v>
      </c>
      <c r="AN2" s="110" t="s">
        <v>27</v>
      </c>
      <c r="AO2" s="191">
        <v>0</v>
      </c>
      <c r="AP2" s="110">
        <f>AE3</f>
        <v>256.85000000000002</v>
      </c>
      <c r="AQ2" s="110" t="s">
        <v>27</v>
      </c>
      <c r="AR2" s="191">
        <v>0</v>
      </c>
      <c r="AS2" s="110">
        <f>AF3</f>
        <v>236.19</v>
      </c>
    </row>
    <row r="3" spans="1:45">
      <c r="A3" s="7" t="s">
        <v>2</v>
      </c>
      <c r="B3" s="27">
        <f>Plan1!B3</f>
        <v>1</v>
      </c>
      <c r="E3" s="100" t="s">
        <v>140</v>
      </c>
      <c r="F3" s="24">
        <f>IF(A30&gt;80,B30,IF(A65&gt;60,B65,IF(A100&gt;40,B100)))</f>
        <v>-239.70690503142035</v>
      </c>
      <c r="G3" s="13"/>
      <c r="H3" s="13" t="s">
        <v>164</v>
      </c>
      <c r="I3" s="186">
        <v>100</v>
      </c>
      <c r="J3" s="186">
        <v>246.67</v>
      </c>
      <c r="K3" s="203">
        <f>(630-50)/9*4/1.2</f>
        <v>214.81481481481481</v>
      </c>
      <c r="L3" s="186">
        <v>256.85000000000002</v>
      </c>
      <c r="M3" s="186">
        <v>236.19</v>
      </c>
      <c r="O3" s="100" t="s">
        <v>10</v>
      </c>
      <c r="P3" s="100">
        <v>-5</v>
      </c>
      <c r="Q3" s="100">
        <f>J8</f>
        <v>250.05</v>
      </c>
      <c r="R3" s="100" t="s">
        <v>10</v>
      </c>
      <c r="S3" s="100">
        <v>-5</v>
      </c>
      <c r="T3" s="100">
        <f>K8</f>
        <v>225.18518518518519</v>
      </c>
      <c r="U3" s="100" t="s">
        <v>10</v>
      </c>
      <c r="V3" s="100">
        <v>-5</v>
      </c>
      <c r="W3" s="100">
        <f>L8</f>
        <v>260.77</v>
      </c>
      <c r="X3" s="100" t="s">
        <v>10</v>
      </c>
      <c r="Y3" s="100">
        <v>-5</v>
      </c>
      <c r="Z3" s="100">
        <f>M8</f>
        <v>239.01</v>
      </c>
      <c r="AA3" s="104">
        <v>252</v>
      </c>
      <c r="AB3" s="100">
        <v>100</v>
      </c>
      <c r="AC3" s="100">
        <f>J3</f>
        <v>246.67</v>
      </c>
      <c r="AD3" s="100">
        <f t="shared" ref="AD3:AF5" si="0">K3</f>
        <v>214.81481481481481</v>
      </c>
      <c r="AE3" s="100">
        <f t="shared" si="0"/>
        <v>256.85000000000002</v>
      </c>
      <c r="AF3" s="100">
        <f t="shared" si="0"/>
        <v>236.19</v>
      </c>
      <c r="AH3" s="110" t="s">
        <v>27</v>
      </c>
      <c r="AI3" s="110">
        <v>5</v>
      </c>
      <c r="AJ3" s="110">
        <f>AC8</f>
        <v>242.88</v>
      </c>
      <c r="AK3" s="110" t="s">
        <v>27</v>
      </c>
      <c r="AL3" s="191">
        <v>5</v>
      </c>
      <c r="AM3" s="110">
        <f>AD8</f>
        <v>202.96296296296296</v>
      </c>
      <c r="AN3" s="110" t="s">
        <v>27</v>
      </c>
      <c r="AO3" s="191">
        <v>5</v>
      </c>
      <c r="AP3" s="110">
        <f>AE8</f>
        <v>252.48</v>
      </c>
      <c r="AQ3" s="110" t="s">
        <v>27</v>
      </c>
      <c r="AR3" s="191">
        <v>5</v>
      </c>
      <c r="AS3" s="110">
        <f>AF8</f>
        <v>232.99</v>
      </c>
    </row>
    <row r="4" spans="1:45" ht="15" customHeight="1">
      <c r="A4" s="7" t="s">
        <v>3</v>
      </c>
      <c r="B4" s="28">
        <f>Plan1!B4</f>
        <v>106.667</v>
      </c>
      <c r="E4" s="100" t="s">
        <v>127</v>
      </c>
      <c r="F4" s="25">
        <f>IF(A30&gt;80,A32,IF(A65&gt;60,A67,IF(A100&gt;40,A102)))</f>
        <v>287.5</v>
      </c>
      <c r="G4" s="135"/>
      <c r="H4" s="135" t="s">
        <v>165</v>
      </c>
      <c r="I4" s="186">
        <v>90</v>
      </c>
      <c r="J4" s="186">
        <v>212.92</v>
      </c>
      <c r="K4" s="203">
        <f>(630-238)/9*4/1.2</f>
        <v>145.18518518518519</v>
      </c>
      <c r="L4" s="186">
        <v>219.97</v>
      </c>
      <c r="M4" s="186">
        <v>205.72</v>
      </c>
      <c r="N4" s="16"/>
      <c r="O4" s="100" t="s">
        <v>10</v>
      </c>
      <c r="P4" s="100">
        <v>-10</v>
      </c>
      <c r="Q4" s="100">
        <f>J13</f>
        <v>253.1</v>
      </c>
      <c r="R4" s="100" t="s">
        <v>10</v>
      </c>
      <c r="S4" s="100">
        <v>-10</v>
      </c>
      <c r="T4" s="100">
        <f>K13</f>
        <v>235</v>
      </c>
      <c r="U4" s="100" t="s">
        <v>10</v>
      </c>
      <c r="V4" s="100">
        <v>-10</v>
      </c>
      <c r="W4" s="100">
        <f>L13</f>
        <v>264.32</v>
      </c>
      <c r="X4" s="100" t="s">
        <v>10</v>
      </c>
      <c r="Y4" s="100">
        <v>-10</v>
      </c>
      <c r="Z4" s="100">
        <f>M13</f>
        <v>241.54</v>
      </c>
      <c r="AA4" s="104">
        <v>303</v>
      </c>
      <c r="AB4" s="100">
        <v>90</v>
      </c>
      <c r="AC4" s="100">
        <f t="shared" ref="AC4:AC5" si="1">J4</f>
        <v>212.92</v>
      </c>
      <c r="AD4" s="100">
        <f t="shared" si="0"/>
        <v>145.18518518518519</v>
      </c>
      <c r="AE4" s="100">
        <f t="shared" si="0"/>
        <v>219.97</v>
      </c>
      <c r="AF4" s="100">
        <f t="shared" si="0"/>
        <v>205.72</v>
      </c>
      <c r="AH4" s="110" t="s">
        <v>27</v>
      </c>
      <c r="AI4" s="110">
        <v>10</v>
      </c>
      <c r="AJ4" s="110">
        <f>AC13</f>
        <v>238.55</v>
      </c>
      <c r="AK4" s="110" t="s">
        <v>27</v>
      </c>
      <c r="AL4" s="191">
        <v>10</v>
      </c>
      <c r="AM4" s="110">
        <f>AD13</f>
        <v>190.74074074074073</v>
      </c>
      <c r="AN4" s="110" t="s">
        <v>27</v>
      </c>
      <c r="AO4" s="191">
        <v>10</v>
      </c>
      <c r="AP4" s="110">
        <f>AE13</f>
        <v>247.52</v>
      </c>
      <c r="AQ4" s="110" t="s">
        <v>27</v>
      </c>
      <c r="AR4" s="191">
        <v>10</v>
      </c>
      <c r="AS4" s="110">
        <f>AF13</f>
        <v>229.31</v>
      </c>
    </row>
    <row r="5" spans="1:45" ht="15" customHeight="1">
      <c r="A5" s="7" t="s">
        <v>4</v>
      </c>
      <c r="B5" s="7">
        <f>Plan1!B5</f>
        <v>-1.8784359062401523</v>
      </c>
      <c r="C5" s="2"/>
      <c r="E5" s="100" t="s">
        <v>128</v>
      </c>
      <c r="F5" s="11">
        <f>IF(A30&gt;80,B32,IF(A65&gt;60,B67,IF(A100&gt;40,B102)))</f>
        <v>10.742381450105473</v>
      </c>
      <c r="G5" s="135"/>
      <c r="H5" s="135" t="s">
        <v>166</v>
      </c>
      <c r="I5" s="186">
        <v>80</v>
      </c>
      <c r="J5" s="186">
        <v>180.63</v>
      </c>
      <c r="K5" s="203">
        <f>(630-364)/9*4/1.2</f>
        <v>98.518518518518533</v>
      </c>
      <c r="L5" s="186">
        <v>185.55</v>
      </c>
      <c r="M5" s="186">
        <v>175.63</v>
      </c>
      <c r="N5" s="16"/>
      <c r="O5" s="100" t="s">
        <v>10</v>
      </c>
      <c r="P5" s="100">
        <v>-15</v>
      </c>
      <c r="Q5" s="100">
        <f>J18</f>
        <v>255.87</v>
      </c>
      <c r="R5" s="100" t="s">
        <v>10</v>
      </c>
      <c r="S5" s="100">
        <v>-15</v>
      </c>
      <c r="T5" s="100">
        <f>K18</f>
        <v>244.58333333333334</v>
      </c>
      <c r="U5" s="100" t="s">
        <v>10</v>
      </c>
      <c r="V5" s="100">
        <v>-15</v>
      </c>
      <c r="W5" s="100">
        <f>L18</f>
        <v>267.57</v>
      </c>
      <c r="X5" s="100" t="s">
        <v>10</v>
      </c>
      <c r="Y5" s="100">
        <v>-15</v>
      </c>
      <c r="Z5" s="100">
        <f>M18</f>
        <v>243.81</v>
      </c>
      <c r="AA5" s="104">
        <v>227.51</v>
      </c>
      <c r="AB5" s="100">
        <v>80</v>
      </c>
      <c r="AC5" s="100">
        <f t="shared" si="1"/>
        <v>180.63</v>
      </c>
      <c r="AD5" s="100">
        <f t="shared" si="0"/>
        <v>98.518518518518533</v>
      </c>
      <c r="AE5" s="100">
        <f t="shared" si="0"/>
        <v>185.55</v>
      </c>
      <c r="AF5" s="100">
        <f t="shared" si="0"/>
        <v>175.63</v>
      </c>
      <c r="AH5" s="110" t="s">
        <v>27</v>
      </c>
      <c r="AI5" s="110">
        <v>15</v>
      </c>
      <c r="AJ5" s="110">
        <f>AC18</f>
        <v>233.5</v>
      </c>
      <c r="AK5" s="110" t="s">
        <v>27</v>
      </c>
      <c r="AL5" s="191">
        <v>15</v>
      </c>
      <c r="AM5" s="110">
        <f>AD18</f>
        <v>178.14814814814815</v>
      </c>
      <c r="AN5" s="110" t="s">
        <v>27</v>
      </c>
      <c r="AO5" s="191">
        <v>15</v>
      </c>
      <c r="AP5" s="110">
        <f>AE18</f>
        <v>241.76</v>
      </c>
      <c r="AQ5" s="110" t="s">
        <v>27</v>
      </c>
      <c r="AR5" s="191">
        <v>15</v>
      </c>
      <c r="AS5" s="110">
        <f>AF18</f>
        <v>224.96</v>
      </c>
    </row>
    <row r="6" spans="1:45" ht="15" customHeight="1">
      <c r="A6" s="7" t="s">
        <v>5</v>
      </c>
      <c r="B6" s="29">
        <f>Plan1!B6</f>
        <v>0.85</v>
      </c>
      <c r="C6" s="6"/>
      <c r="F6" s="101"/>
      <c r="G6" s="135"/>
      <c r="H6" s="135" t="s">
        <v>167</v>
      </c>
      <c r="N6" s="16"/>
      <c r="O6" s="100" t="s">
        <v>10</v>
      </c>
      <c r="P6" s="100">
        <v>-20</v>
      </c>
      <c r="Q6" s="100">
        <f>J23</f>
        <v>258.41000000000003</v>
      </c>
      <c r="R6" s="100" t="s">
        <v>10</v>
      </c>
      <c r="S6" s="100">
        <v>-20</v>
      </c>
      <c r="T6" s="100">
        <f>K23</f>
        <v>253.33333333333334</v>
      </c>
      <c r="U6" s="100" t="s">
        <v>10</v>
      </c>
      <c r="V6" s="100">
        <v>-20</v>
      </c>
      <c r="W6" s="100">
        <f>L23</f>
        <v>270.57</v>
      </c>
      <c r="X6" s="100" t="s">
        <v>10</v>
      </c>
      <c r="Y6" s="100">
        <v>-20</v>
      </c>
      <c r="Z6" s="100">
        <f>M23</f>
        <v>245.88</v>
      </c>
      <c r="AA6" s="104">
        <v>202.97</v>
      </c>
      <c r="AH6" s="110" t="s">
        <v>28</v>
      </c>
      <c r="AI6" s="9">
        <f>$B$2</f>
        <v>6.0220000000000002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242.04473138176448</v>
      </c>
      <c r="AK6" s="110" t="s">
        <v>28</v>
      </c>
      <c r="AL6" s="9">
        <f>$B$2</f>
        <v>6.0220000000000002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200.4948556740741</v>
      </c>
      <c r="AN6" s="110" t="s">
        <v>28</v>
      </c>
      <c r="AO6" s="9">
        <f>$B$2</f>
        <v>6.0220000000000002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251.52100419925853</v>
      </c>
      <c r="AQ6" s="110" t="s">
        <v>28</v>
      </c>
      <c r="AR6" s="9">
        <f>$B$2</f>
        <v>6.0220000000000002</v>
      </c>
      <c r="AS6" s="11">
        <f>AS2*(AR6-AR3)*(AR6-AR4)*(AR6-AR5)/((AR2-AR3)*(AR2-AR4)*(AR2-AR5))+AS3*(AR6-AR2)*(AR6-AR4)*(AR6-AR5)/((AR3-AR2)*(AR3-AR4)*(AR3-AR5))+AS4*(AR6-AR2)*(AR6-AR3)*(AR6-AR5)/((AR4-AR2)*(AR4-AR3)*(AR4-AR5))+AS5*(AR6-AR2)*(AR6-AR3)*(AR6-AR4)/((AR5-AR2)*(AR5-AR3)*(AR5-AR4))</f>
        <v>232.28303919639586</v>
      </c>
    </row>
    <row r="7" spans="1:45">
      <c r="D7" s="238" t="s">
        <v>46</v>
      </c>
      <c r="E7" s="238"/>
      <c r="F7" s="238"/>
      <c r="G7" s="136"/>
      <c r="H7" s="136" t="s">
        <v>168</v>
      </c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100" t="s">
        <v>10</v>
      </c>
      <c r="P7" s="100">
        <v>-25</v>
      </c>
      <c r="Q7" s="100">
        <f>J28</f>
        <v>260.75</v>
      </c>
      <c r="R7" s="100" t="s">
        <v>10</v>
      </c>
      <c r="S7" s="100">
        <v>-25</v>
      </c>
      <c r="T7" s="100">
        <f>K28</f>
        <v>261.90476190476193</v>
      </c>
      <c r="U7" s="100" t="s">
        <v>10</v>
      </c>
      <c r="V7" s="100">
        <v>-25</v>
      </c>
      <c r="W7" s="100">
        <f>L28</f>
        <v>273.35000000000002</v>
      </c>
      <c r="X7" s="100" t="s">
        <v>10</v>
      </c>
      <c r="Y7" s="100">
        <v>-25</v>
      </c>
      <c r="Z7" s="100">
        <f>M28</f>
        <v>247.77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</row>
    <row r="8" spans="1:45">
      <c r="D8" s="5"/>
      <c r="E8" s="26">
        <f>$B$1</f>
        <v>246.59</v>
      </c>
      <c r="I8" s="186">
        <v>100</v>
      </c>
      <c r="J8" s="186">
        <v>250.05</v>
      </c>
      <c r="K8" s="203">
        <f>(630-22)/9*4/1.2</f>
        <v>225.18518518518519</v>
      </c>
      <c r="L8" s="186">
        <v>260.77</v>
      </c>
      <c r="M8" s="186">
        <v>239.01</v>
      </c>
      <c r="N8" s="13"/>
      <c r="O8" s="100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242.12118600177575</v>
      </c>
      <c r="R8" s="100" t="s">
        <v>11</v>
      </c>
      <c r="S8" s="9">
        <f>$B$2</f>
        <v>6.0220000000000002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196.36192020818845</v>
      </c>
      <c r="U8" s="100" t="s">
        <v>11</v>
      </c>
      <c r="V8" s="9">
        <f>$B$2</f>
        <v>6.0220000000000002</v>
      </c>
      <c r="W8" s="100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251.50851744991502</v>
      </c>
      <c r="X8" s="100" t="s">
        <v>11</v>
      </c>
      <c r="Y8" s="9">
        <f>$B$2</f>
        <v>6.0220000000000002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232.51938607121383</v>
      </c>
      <c r="AA8" s="104">
        <v>234.82</v>
      </c>
      <c r="AB8" s="191">
        <v>100</v>
      </c>
      <c r="AC8" s="110">
        <v>242.88</v>
      </c>
      <c r="AD8" s="204">
        <f>(630-82)/9*4/1.2</f>
        <v>202.96296296296296</v>
      </c>
      <c r="AE8" s="110">
        <v>252.48</v>
      </c>
      <c r="AF8" s="110">
        <v>232.99</v>
      </c>
    </row>
    <row r="9" spans="1:45">
      <c r="A9" s="4">
        <f>0*($B$6-0.9)*($B$6-0.8)/((1-0.9)*(1-0.8))+7.7*($B$6-1)*($B$6-0.8)/((0.9-1)*(0.9-0.8))+16.19*($B$6-1)*($B$6-0.9)/((0.8-1)*(0.8-0.9))+$B$1</f>
        <v>258.43625000000003</v>
      </c>
      <c r="D9" s="5"/>
      <c r="E9" s="26">
        <f>A9</f>
        <v>258.43625000000003</v>
      </c>
      <c r="I9" s="186">
        <v>90</v>
      </c>
      <c r="J9" s="186">
        <v>218</v>
      </c>
      <c r="K9" s="203">
        <f>(630-207)/9*4/1.2</f>
        <v>156.66666666666669</v>
      </c>
      <c r="L9" s="186">
        <v>225.64</v>
      </c>
      <c r="M9" s="186">
        <v>210.2</v>
      </c>
      <c r="N9" s="13"/>
      <c r="Q9" s="1" t="s">
        <v>12</v>
      </c>
      <c r="R9" s="1"/>
      <c r="S9" s="1"/>
      <c r="T9" s="1" t="s">
        <v>13</v>
      </c>
      <c r="U9" s="1"/>
      <c r="V9" s="1"/>
      <c r="W9" s="1" t="s">
        <v>8</v>
      </c>
      <c r="X9" s="1"/>
      <c r="Y9" s="1"/>
      <c r="Z9" s="1" t="s">
        <v>9</v>
      </c>
      <c r="AA9" s="104">
        <v>208.22</v>
      </c>
      <c r="AB9" s="191">
        <v>90</v>
      </c>
      <c r="AC9" s="110">
        <v>206.9</v>
      </c>
      <c r="AD9" s="204">
        <f>(630-273)/9*4/1.2</f>
        <v>132.22222222222223</v>
      </c>
      <c r="AE9" s="110">
        <v>213.2</v>
      </c>
      <c r="AF9" s="110">
        <v>200.37</v>
      </c>
      <c r="AJ9" s="1" t="s">
        <v>12</v>
      </c>
      <c r="AK9" s="1"/>
      <c r="AL9" s="1"/>
      <c r="AM9" s="1" t="s">
        <v>13</v>
      </c>
      <c r="AN9" s="1"/>
      <c r="AO9" s="1"/>
      <c r="AP9" s="1" t="s">
        <v>8</v>
      </c>
      <c r="AQ9" s="1"/>
      <c r="AR9" s="1"/>
      <c r="AS9" s="1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258.01130436607599</v>
      </c>
      <c r="I10" s="186">
        <v>80</v>
      </c>
      <c r="J10" s="186">
        <v>187.7</v>
      </c>
      <c r="K10" s="203">
        <f>(630-332)/9*4/1.2</f>
        <v>110.37037037037038</v>
      </c>
      <c r="L10" s="186">
        <v>193.25</v>
      </c>
      <c r="M10" s="186">
        <v>182.08</v>
      </c>
      <c r="N10" s="13"/>
      <c r="O10" s="100" t="s">
        <v>10</v>
      </c>
      <c r="P10" s="100">
        <v>0</v>
      </c>
      <c r="Q10" s="100">
        <f>J4</f>
        <v>212.92</v>
      </c>
      <c r="R10" s="100" t="s">
        <v>10</v>
      </c>
      <c r="S10" s="100">
        <v>0</v>
      </c>
      <c r="T10" s="100">
        <f>K4</f>
        <v>145.18518518518519</v>
      </c>
      <c r="U10" s="100" t="s">
        <v>10</v>
      </c>
      <c r="V10" s="100">
        <v>0</v>
      </c>
      <c r="W10" s="100">
        <f>L4</f>
        <v>219.97</v>
      </c>
      <c r="X10" s="100" t="s">
        <v>10</v>
      </c>
      <c r="Y10" s="100">
        <v>0</v>
      </c>
      <c r="Z10" s="100">
        <f>M4</f>
        <v>205.72</v>
      </c>
      <c r="AA10" s="104">
        <v>175.89</v>
      </c>
      <c r="AB10" s="191">
        <v>80</v>
      </c>
      <c r="AC10" s="191">
        <v>171.62</v>
      </c>
      <c r="AD10" s="204">
        <f>(630-402)/9*4/1.2</f>
        <v>84.444444444444443</v>
      </c>
      <c r="AE10" s="191">
        <v>175.82</v>
      </c>
      <c r="AF10" s="191">
        <v>167.35</v>
      </c>
      <c r="AH10" s="110" t="s">
        <v>27</v>
      </c>
      <c r="AI10" s="191">
        <v>0</v>
      </c>
      <c r="AJ10" s="110">
        <f>AC4</f>
        <v>212.92</v>
      </c>
      <c r="AK10" s="110" t="s">
        <v>27</v>
      </c>
      <c r="AL10" s="191">
        <v>0</v>
      </c>
      <c r="AM10" s="110">
        <f>AD4</f>
        <v>145.18518518518519</v>
      </c>
      <c r="AN10" s="110" t="s">
        <v>27</v>
      </c>
      <c r="AO10" s="191">
        <v>0</v>
      </c>
      <c r="AP10" s="110">
        <f>AE4</f>
        <v>219.97</v>
      </c>
      <c r="AQ10" s="110" t="s">
        <v>27</v>
      </c>
      <c r="AR10" s="191">
        <v>0</v>
      </c>
      <c r="AS10" s="110">
        <f>AF4</f>
        <v>205.72</v>
      </c>
    </row>
    <row r="11" spans="1:45">
      <c r="A11" s="100" t="s">
        <v>23</v>
      </c>
      <c r="B11" s="100">
        <f>Plan1!$B$17</f>
        <v>86</v>
      </c>
      <c r="N11" s="13"/>
      <c r="O11" s="100" t="s">
        <v>10</v>
      </c>
      <c r="P11" s="100">
        <v>-5</v>
      </c>
      <c r="Q11" s="100">
        <f>J9</f>
        <v>218</v>
      </c>
      <c r="R11" s="100" t="s">
        <v>10</v>
      </c>
      <c r="S11" s="100">
        <v>-5</v>
      </c>
      <c r="T11" s="100">
        <f>K9</f>
        <v>156.66666666666669</v>
      </c>
      <c r="U11" s="100" t="s">
        <v>10</v>
      </c>
      <c r="V11" s="100">
        <v>-5</v>
      </c>
      <c r="W11" s="100">
        <f>L9</f>
        <v>225.64</v>
      </c>
      <c r="X11" s="100" t="s">
        <v>10</v>
      </c>
      <c r="Y11" s="100">
        <v>-5</v>
      </c>
      <c r="Z11" s="100">
        <f>M9</f>
        <v>210.2</v>
      </c>
      <c r="AA11" s="104">
        <v>219.63</v>
      </c>
      <c r="AH11" s="110" t="s">
        <v>27</v>
      </c>
      <c r="AI11" s="191">
        <v>5</v>
      </c>
      <c r="AJ11" s="110">
        <f>AC9</f>
        <v>206.9</v>
      </c>
      <c r="AK11" s="110" t="s">
        <v>27</v>
      </c>
      <c r="AL11" s="191">
        <v>5</v>
      </c>
      <c r="AM11" s="110">
        <f>AD9</f>
        <v>132.22222222222223</v>
      </c>
      <c r="AN11" s="110" t="s">
        <v>27</v>
      </c>
      <c r="AO11" s="191">
        <v>5</v>
      </c>
      <c r="AP11" s="110">
        <f>AE9</f>
        <v>213.2</v>
      </c>
      <c r="AQ11" s="110" t="s">
        <v>27</v>
      </c>
      <c r="AR11" s="191">
        <v>5</v>
      </c>
      <c r="AS11" s="110">
        <f>AF9</f>
        <v>200.37</v>
      </c>
    </row>
    <row r="12" spans="1:45">
      <c r="A12" s="100" t="s">
        <v>24</v>
      </c>
      <c r="B12" s="100">
        <f>Plan1!$B$18</f>
        <v>49.06</v>
      </c>
      <c r="D12"/>
      <c r="E12" s="1" t="s">
        <v>6</v>
      </c>
      <c r="F12" s="1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100" t="s">
        <v>10</v>
      </c>
      <c r="P12" s="100">
        <v>-10</v>
      </c>
      <c r="Q12" s="100">
        <f>J14</f>
        <v>222.41</v>
      </c>
      <c r="R12" s="100" t="s">
        <v>10</v>
      </c>
      <c r="S12" s="100">
        <v>-10</v>
      </c>
      <c r="T12" s="100">
        <f>K14</f>
        <v>167.5</v>
      </c>
      <c r="U12" s="100" t="s">
        <v>10</v>
      </c>
      <c r="V12" s="100">
        <v>-10</v>
      </c>
      <c r="W12" s="100">
        <f>L14</f>
        <v>230.59</v>
      </c>
      <c r="X12" s="100" t="s">
        <v>10</v>
      </c>
      <c r="Y12" s="100">
        <v>-10</v>
      </c>
      <c r="Z12" s="100">
        <f>M14</f>
        <v>214.06</v>
      </c>
      <c r="AA12" s="104">
        <v>197.35</v>
      </c>
      <c r="AB12" s="15">
        <v>10</v>
      </c>
      <c r="AC12" s="7" t="s">
        <v>6</v>
      </c>
      <c r="AD12" s="7" t="s">
        <v>7</v>
      </c>
      <c r="AE12" s="7" t="s">
        <v>8</v>
      </c>
      <c r="AF12" s="7" t="s">
        <v>9</v>
      </c>
      <c r="AH12" s="110" t="s">
        <v>27</v>
      </c>
      <c r="AI12" s="191">
        <v>10</v>
      </c>
      <c r="AJ12" s="110">
        <f>AC14</f>
        <v>199.46</v>
      </c>
      <c r="AK12" s="110" t="s">
        <v>27</v>
      </c>
      <c r="AL12" s="191">
        <v>10</v>
      </c>
      <c r="AM12" s="110">
        <f>AD14</f>
        <v>117.77777777777779</v>
      </c>
      <c r="AN12" s="110" t="s">
        <v>27</v>
      </c>
      <c r="AO12" s="191">
        <v>10</v>
      </c>
      <c r="AP12" s="110">
        <f>AE14</f>
        <v>205.1</v>
      </c>
      <c r="AQ12" s="110" t="s">
        <v>27</v>
      </c>
      <c r="AR12" s="191">
        <v>10</v>
      </c>
      <c r="AS12" s="110">
        <f>AF14</f>
        <v>193.69</v>
      </c>
    </row>
    <row r="13" spans="1:45">
      <c r="A13" s="100" t="s">
        <v>25</v>
      </c>
      <c r="B13" s="100">
        <f>COS(RADIANS(B12))</f>
        <v>0.65526833938609963</v>
      </c>
      <c r="D13" s="186">
        <v>100</v>
      </c>
      <c r="E13" s="100">
        <f>J3</f>
        <v>246.67</v>
      </c>
      <c r="F13" s="186">
        <v>247.23</v>
      </c>
      <c r="G13" s="186">
        <v>246.06</v>
      </c>
      <c r="I13" s="186">
        <v>100</v>
      </c>
      <c r="J13" s="186">
        <v>253.1</v>
      </c>
      <c r="K13" s="203">
        <f>(630-66)/8*4/1.2</f>
        <v>235</v>
      </c>
      <c r="L13" s="186">
        <v>264.32</v>
      </c>
      <c r="M13" s="186">
        <v>241.54</v>
      </c>
      <c r="N13" s="17"/>
      <c r="O13" s="100" t="s">
        <v>10</v>
      </c>
      <c r="P13" s="100">
        <v>-15</v>
      </c>
      <c r="Q13" s="100">
        <f>J19</f>
        <v>226.31</v>
      </c>
      <c r="R13" s="100" t="s">
        <v>10</v>
      </c>
      <c r="S13" s="100">
        <v>-15</v>
      </c>
      <c r="T13" s="100">
        <f>K19</f>
        <v>177.08333333333334</v>
      </c>
      <c r="U13" s="100" t="s">
        <v>10</v>
      </c>
      <c r="V13" s="100">
        <v>-15</v>
      </c>
      <c r="W13" s="100">
        <f>L19</f>
        <v>234.99</v>
      </c>
      <c r="X13" s="100" t="s">
        <v>10</v>
      </c>
      <c r="Y13" s="100">
        <v>-15</v>
      </c>
      <c r="Z13" s="100">
        <f>M19</f>
        <v>217.45</v>
      </c>
      <c r="AA13" s="104">
        <v>169.39</v>
      </c>
      <c r="AB13" s="191">
        <v>100</v>
      </c>
      <c r="AC13" s="191">
        <v>238.55</v>
      </c>
      <c r="AD13" s="204">
        <f>(630-115)/9*4/1.2</f>
        <v>190.74074074074073</v>
      </c>
      <c r="AE13" s="191">
        <v>247.52</v>
      </c>
      <c r="AF13" s="191">
        <v>229.31</v>
      </c>
      <c r="AH13" s="110" t="s">
        <v>27</v>
      </c>
      <c r="AI13" s="191">
        <v>15</v>
      </c>
      <c r="AJ13" s="110">
        <f>AC19</f>
        <v>189.46</v>
      </c>
      <c r="AK13" s="110" t="s">
        <v>27</v>
      </c>
      <c r="AL13" s="191">
        <v>15</v>
      </c>
      <c r="AM13" s="110">
        <f>AD19</f>
        <v>105.18518518518519</v>
      </c>
      <c r="AN13" s="110" t="s">
        <v>27</v>
      </c>
      <c r="AO13" s="191">
        <v>15</v>
      </c>
      <c r="AP13" s="110">
        <f>AE19</f>
        <v>194.16</v>
      </c>
      <c r="AQ13" s="110" t="s">
        <v>27</v>
      </c>
      <c r="AR13" s="191">
        <v>15</v>
      </c>
      <c r="AS13" s="110">
        <f>AF19</f>
        <v>184.64</v>
      </c>
    </row>
    <row r="14" spans="1:45">
      <c r="A14" s="100" t="s">
        <v>26</v>
      </c>
      <c r="B14" s="109">
        <f>B5</f>
        <v>-1.8784359062401523</v>
      </c>
      <c r="C14">
        <f>IF(Plan1!E16=4,Plan1!E17,Plan1!B19)</f>
        <v>1.8784359062401523</v>
      </c>
      <c r="D14" s="186">
        <v>90</v>
      </c>
      <c r="E14" s="100">
        <f>J4</f>
        <v>212.92</v>
      </c>
      <c r="F14" s="186">
        <v>213.38</v>
      </c>
      <c r="G14" s="186">
        <v>212.42</v>
      </c>
      <c r="I14" s="186">
        <v>90</v>
      </c>
      <c r="J14" s="186">
        <v>222.41</v>
      </c>
      <c r="K14" s="203">
        <f>(630-228)/8*4/1.2</f>
        <v>167.5</v>
      </c>
      <c r="L14" s="186">
        <v>230.59</v>
      </c>
      <c r="M14" s="186">
        <v>214.06</v>
      </c>
      <c r="N14" s="17"/>
      <c r="O14" s="100" t="s">
        <v>10</v>
      </c>
      <c r="P14" s="100">
        <v>-20</v>
      </c>
      <c r="Q14" s="100">
        <f>J24</f>
        <v>229.8</v>
      </c>
      <c r="R14" s="100" t="s">
        <v>10</v>
      </c>
      <c r="S14" s="100">
        <v>-20</v>
      </c>
      <c r="T14" s="100">
        <f>K24</f>
        <v>186.25</v>
      </c>
      <c r="U14" s="100" t="s">
        <v>10</v>
      </c>
      <c r="V14" s="100">
        <v>-20</v>
      </c>
      <c r="W14" s="100">
        <f>L24</f>
        <v>238.96</v>
      </c>
      <c r="X14" s="100" t="s">
        <v>10</v>
      </c>
      <c r="Y14" s="100">
        <v>-20</v>
      </c>
      <c r="Z14" s="100">
        <f>M24</f>
        <v>220.45</v>
      </c>
      <c r="AB14" s="191">
        <v>90</v>
      </c>
      <c r="AC14" s="191">
        <v>199.46</v>
      </c>
      <c r="AD14" s="204">
        <f>(630-312)/9*4/1.2</f>
        <v>117.77777777777779</v>
      </c>
      <c r="AE14" s="191">
        <v>205.1</v>
      </c>
      <c r="AF14" s="191">
        <v>193.69</v>
      </c>
      <c r="AH14" s="110" t="s">
        <v>28</v>
      </c>
      <c r="AI14" s="9">
        <f>$B$2</f>
        <v>6.0220000000000002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205.53193811117504</v>
      </c>
      <c r="AK14" s="110" t="s">
        <v>28</v>
      </c>
      <c r="AL14" s="9">
        <f>$B$2</f>
        <v>6.0220000000000002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129.28142623399111</v>
      </c>
      <c r="AN14" s="110" t="s">
        <v>28</v>
      </c>
      <c r="AO14" s="9">
        <f>$B$2</f>
        <v>6.0220000000000002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211.70179423413538</v>
      </c>
      <c r="AQ14" s="110" t="s">
        <v>28</v>
      </c>
      <c r="AR14" s="9">
        <f>$B$2</f>
        <v>6.0220000000000002</v>
      </c>
      <c r="AS14" s="11">
        <f>AS10*(AR14-AR11)*(AR14-AR12)*(AR14-AR13)/((AR10-AR11)*(AR10-AR12)*(AR10-AR13))+AS11*(AR14-AR10)*(AR14-AR12)*(AR14-AR13)/((AR11-AR10)*(AR11-AR12)*(AR11-AR13))+AS12*(AR14-AR10)*(AR14-AR11)*(AR14-AR13)/((AR12-AR10)*(AR12-AR11)*(AR12-AR13))+AS13*(AR14-AR10)*(AR14-AR11)*(AR14-AR12)/((AR13-AR10)*(AR13-AR11)*(AR13-AR12))</f>
        <v>199.14669984406143</v>
      </c>
    </row>
    <row r="15" spans="1:45">
      <c r="D15" s="186">
        <v>80</v>
      </c>
      <c r="E15" s="100">
        <f>J5</f>
        <v>180.63</v>
      </c>
      <c r="F15" s="186">
        <v>180.98999999999998</v>
      </c>
      <c r="G15" s="186">
        <v>180.24</v>
      </c>
      <c r="I15" s="186">
        <v>80</v>
      </c>
      <c r="J15" s="186">
        <v>193.58</v>
      </c>
      <c r="K15" s="203">
        <f>(630-339)/8*4/1.2</f>
        <v>121.25</v>
      </c>
      <c r="L15" s="186">
        <v>199.68</v>
      </c>
      <c r="M15" s="186">
        <v>187.38</v>
      </c>
      <c r="N15" s="13"/>
      <c r="O15" s="100" t="s">
        <v>10</v>
      </c>
      <c r="P15" s="100">
        <v>-25</v>
      </c>
      <c r="Q15" s="100">
        <f>J29</f>
        <v>232.97</v>
      </c>
      <c r="R15" s="100" t="s">
        <v>10</v>
      </c>
      <c r="S15" s="100">
        <v>-25</v>
      </c>
      <c r="T15" s="100">
        <f>K29</f>
        <v>195.23809523809524</v>
      </c>
      <c r="U15" s="100" t="s">
        <v>10</v>
      </c>
      <c r="V15" s="100">
        <v>-25</v>
      </c>
      <c r="W15" s="100">
        <f>L29</f>
        <v>242.58</v>
      </c>
      <c r="X15" s="100" t="s">
        <v>10</v>
      </c>
      <c r="Y15" s="100">
        <v>-25</v>
      </c>
      <c r="Z15" s="100">
        <f>M29</f>
        <v>223.16</v>
      </c>
      <c r="AA15" s="1">
        <f>AA2-390</f>
        <v>-195</v>
      </c>
      <c r="AB15" s="191">
        <v>80</v>
      </c>
      <c r="AC15" s="191">
        <v>158.72999999999999</v>
      </c>
      <c r="AD15" s="204">
        <f>(630-448)/9*4/1.2</f>
        <v>67.407407407407405</v>
      </c>
      <c r="AE15" s="191">
        <v>162.01</v>
      </c>
      <c r="AF15" s="191">
        <v>155.38999999999999</v>
      </c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</row>
    <row r="16" spans="1:45">
      <c r="A16" s="100" t="s">
        <v>32</v>
      </c>
      <c r="B16" s="23">
        <f>$B$3*SIN(RADIANS($B$4))</f>
        <v>0.95798784374570456</v>
      </c>
      <c r="N16" s="13"/>
      <c r="O16" s="100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205.51837062024083</v>
      </c>
      <c r="R16" s="100" t="s">
        <v>11</v>
      </c>
      <c r="S16" s="9">
        <f>$B$2</f>
        <v>6.0220000000000002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136.63869128588755</v>
      </c>
      <c r="U16" s="100" t="s">
        <v>11</v>
      </c>
      <c r="V16" s="9">
        <f>$B$2</f>
        <v>6.0220000000000002</v>
      </c>
      <c r="W16" s="100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211.85417749156142</v>
      </c>
      <c r="X16" s="100" t="s">
        <v>11</v>
      </c>
      <c r="Y16" s="9">
        <f>$B$2</f>
        <v>6.0220000000000002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199.04460774892078</v>
      </c>
      <c r="AA16" s="1">
        <f>AA3-390</f>
        <v>-138</v>
      </c>
    </row>
    <row r="17" spans="1:45">
      <c r="A17" s="100" t="s">
        <v>33</v>
      </c>
      <c r="B17" s="23">
        <f>$B$3*COS(RADIANS($B$4))</f>
        <v>-0.28680880606329973</v>
      </c>
      <c r="D17"/>
      <c r="F17" s="1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1" t="s">
        <v>12</v>
      </c>
      <c r="R17" s="1"/>
      <c r="S17" s="1"/>
      <c r="T17" s="1" t="s">
        <v>13</v>
      </c>
      <c r="U17" s="1"/>
      <c r="V17" s="1"/>
      <c r="W17" s="1" t="s">
        <v>8</v>
      </c>
      <c r="X17" s="1"/>
      <c r="Y17" s="1"/>
      <c r="Z17" s="1" t="s">
        <v>9</v>
      </c>
      <c r="AA17" s="1">
        <f>AA4-390</f>
        <v>-87</v>
      </c>
      <c r="AB17" s="15">
        <v>15</v>
      </c>
      <c r="AC17" s="7" t="s">
        <v>6</v>
      </c>
      <c r="AD17" s="7" t="s">
        <v>7</v>
      </c>
      <c r="AE17" s="7" t="s">
        <v>8</v>
      </c>
      <c r="AF17" s="7" t="s">
        <v>9</v>
      </c>
      <c r="AJ17" s="1" t="s">
        <v>12</v>
      </c>
      <c r="AK17" s="1"/>
      <c r="AL17" s="1"/>
      <c r="AM17" s="1" t="s">
        <v>13</v>
      </c>
      <c r="AN17" s="1"/>
      <c r="AO17" s="1"/>
      <c r="AP17" s="1" t="s">
        <v>8</v>
      </c>
      <c r="AQ17" s="1"/>
      <c r="AR17" s="1"/>
      <c r="AS17" s="1" t="s">
        <v>9</v>
      </c>
    </row>
    <row r="18" spans="1:45">
      <c r="D18" s="186">
        <v>100</v>
      </c>
      <c r="E18" s="100">
        <f>E13</f>
        <v>246.67</v>
      </c>
      <c r="F18" s="11">
        <f>E13*((D13-(100/360))-D14)*((D13-(100/360))-D15)/((D13-D14)*(D13-D15))+E14*((D13-(100/360))-D13)*((D13-(100/360))-D15)/((D14-D13)*(D14-D15))+E15*((D13-(100/360))-D13)*((D13-(100/360))-D14)/((D15-D13)*(D15-D14))</f>
        <v>245.71278549382714</v>
      </c>
      <c r="G18" s="186">
        <v>246.06</v>
      </c>
      <c r="I18" s="186">
        <v>100</v>
      </c>
      <c r="J18" s="186">
        <v>255.87</v>
      </c>
      <c r="K18" s="203">
        <f>(630-43)/8*4/1.2</f>
        <v>244.58333333333334</v>
      </c>
      <c r="L18" s="186">
        <v>267.57</v>
      </c>
      <c r="M18" s="186">
        <v>243.81</v>
      </c>
      <c r="N18" s="13"/>
      <c r="O18" s="100" t="s">
        <v>10</v>
      </c>
      <c r="P18" s="100">
        <v>0</v>
      </c>
      <c r="Q18" s="100">
        <f>J5</f>
        <v>180.63</v>
      </c>
      <c r="R18" s="100" t="s">
        <v>10</v>
      </c>
      <c r="S18" s="100">
        <v>0</v>
      </c>
      <c r="T18" s="100">
        <f>K5</f>
        <v>98.518518518518533</v>
      </c>
      <c r="U18" s="100" t="s">
        <v>10</v>
      </c>
      <c r="V18" s="100">
        <v>0</v>
      </c>
      <c r="W18" s="100">
        <f>L5</f>
        <v>185.55</v>
      </c>
      <c r="X18" s="100" t="s">
        <v>10</v>
      </c>
      <c r="Y18" s="100">
        <v>0</v>
      </c>
      <c r="Z18" s="100">
        <f>M5</f>
        <v>175.63</v>
      </c>
      <c r="AB18" s="191">
        <v>100</v>
      </c>
      <c r="AC18" s="191">
        <v>233.5</v>
      </c>
      <c r="AD18" s="204">
        <f>(630-149)/9*4/1.2</f>
        <v>178.14814814814815</v>
      </c>
      <c r="AE18" s="191">
        <v>241.76</v>
      </c>
      <c r="AF18" s="191">
        <v>224.96</v>
      </c>
      <c r="AH18" s="110" t="s">
        <v>27</v>
      </c>
      <c r="AI18" s="191">
        <v>0</v>
      </c>
      <c r="AJ18" s="110">
        <f>AC5</f>
        <v>180.63</v>
      </c>
      <c r="AK18" s="110" t="s">
        <v>27</v>
      </c>
      <c r="AL18" s="191">
        <v>0</v>
      </c>
      <c r="AM18" s="110">
        <f>AD5</f>
        <v>98.518518518518533</v>
      </c>
      <c r="AN18" s="110" t="s">
        <v>27</v>
      </c>
      <c r="AO18" s="191">
        <v>0</v>
      </c>
      <c r="AP18" s="110">
        <f>AE5</f>
        <v>185.55</v>
      </c>
      <c r="AQ18" s="110" t="s">
        <v>27</v>
      </c>
      <c r="AR18" s="191">
        <v>0</v>
      </c>
      <c r="AS18" s="110">
        <f>AF5</f>
        <v>175.63</v>
      </c>
    </row>
    <row r="19" spans="1:45">
      <c r="A19" s="100" t="s">
        <v>31</v>
      </c>
      <c r="B19" s="100" t="s">
        <v>35</v>
      </c>
      <c r="D19" s="186">
        <v>90</v>
      </c>
      <c r="E19" s="100">
        <f>E14</f>
        <v>212.92</v>
      </c>
      <c r="F19" s="11">
        <f>E13*((D14-(100/360))-D14)*((D14-(100/360))-D15)/((D13-D14)*(D13-D15))+E14*((D14-(100/360))-D13)*((D14-(100/360))-D15)/((D14-D13)*(D14-D15))+E15*((D14-(100/360))-D13)*((D14-(100/360))-D14)/((D15-D13)*(D15-D14))</f>
        <v>212.00334104938275</v>
      </c>
      <c r="G19" s="186">
        <v>212.42</v>
      </c>
      <c r="I19" s="186">
        <v>90</v>
      </c>
      <c r="J19" s="186">
        <v>226.31</v>
      </c>
      <c r="K19" s="203">
        <f>(630-205)/8*4/1.2</f>
        <v>177.08333333333334</v>
      </c>
      <c r="L19" s="186">
        <v>234.99</v>
      </c>
      <c r="M19" s="186">
        <v>217.45</v>
      </c>
      <c r="N19" s="13"/>
      <c r="O19" s="100" t="s">
        <v>10</v>
      </c>
      <c r="P19" s="100">
        <v>-5</v>
      </c>
      <c r="Q19" s="100">
        <f>J10</f>
        <v>187.7</v>
      </c>
      <c r="R19" s="100" t="s">
        <v>10</v>
      </c>
      <c r="S19" s="100">
        <v>-5</v>
      </c>
      <c r="T19" s="100">
        <f>K10</f>
        <v>110.37037037037038</v>
      </c>
      <c r="U19" s="100" t="s">
        <v>10</v>
      </c>
      <c r="V19" s="100">
        <v>-5</v>
      </c>
      <c r="W19" s="100">
        <f>L10</f>
        <v>193.25</v>
      </c>
      <c r="X19" s="100" t="s">
        <v>10</v>
      </c>
      <c r="Y19" s="100">
        <v>-5</v>
      </c>
      <c r="Z19" s="100">
        <f>M10</f>
        <v>182.08</v>
      </c>
      <c r="AB19" s="191">
        <v>90</v>
      </c>
      <c r="AC19" s="191">
        <v>189.46</v>
      </c>
      <c r="AD19" s="204">
        <f>(630-346)/9*4/1.2</f>
        <v>105.18518518518519</v>
      </c>
      <c r="AE19" s="191">
        <v>194.16</v>
      </c>
      <c r="AF19" s="191">
        <v>184.64</v>
      </c>
      <c r="AH19" s="110" t="s">
        <v>27</v>
      </c>
      <c r="AI19" s="191">
        <v>5</v>
      </c>
      <c r="AJ19" s="110">
        <f>AC10</f>
        <v>171.62</v>
      </c>
      <c r="AK19" s="110" t="s">
        <v>27</v>
      </c>
      <c r="AL19" s="191">
        <v>5</v>
      </c>
      <c r="AM19" s="110">
        <f>AD10</f>
        <v>84.444444444444443</v>
      </c>
      <c r="AN19" s="110" t="s">
        <v>27</v>
      </c>
      <c r="AO19" s="191">
        <v>5</v>
      </c>
      <c r="AP19" s="110">
        <f>AE10</f>
        <v>175.82</v>
      </c>
      <c r="AQ19" s="110" t="s">
        <v>27</v>
      </c>
      <c r="AR19" s="191">
        <v>5</v>
      </c>
      <c r="AS19" s="110">
        <f>AF10</f>
        <v>167.35</v>
      </c>
    </row>
    <row r="20" spans="1:45">
      <c r="A20" s="22">
        <f>(F23*($E$8-E24)*($E$8-E25)/((E23-E24)*(E23-E25))+F24*($E$8-E23)*($E$8-E25)/((E24-E23)*(E24-E25))+F25*($E$8-E23)*($E$8-E24)/((E25-E23)*(E25-E24)))</f>
        <v>210.94516492459232</v>
      </c>
      <c r="B20" s="23">
        <f>(B16*A20+(A21*B14))/($E$8*(44/17.5))</f>
        <v>-0.31316900671336328</v>
      </c>
      <c r="D20" s="186">
        <v>80</v>
      </c>
      <c r="E20" s="100">
        <f>E15</f>
        <v>180.63</v>
      </c>
      <c r="F20" s="11">
        <f>E13*((D15-(100/360))-D14)*((D15-(100/360))-D15)/((D13-D14)*(D13-D15))+E14*((D15-(100/360))-D13)*((D15-(100/360))-D15)/((D14-D13)*(D14-D15))+E15*((D15-(100/360))-D13)*((D15-(100/360))-D14)/((D15-D13)*(D15-D14))</f>
        <v>179.75389660493829</v>
      </c>
      <c r="G20" s="186">
        <v>180.24</v>
      </c>
      <c r="I20" s="186">
        <v>80</v>
      </c>
      <c r="J20" s="186">
        <v>198.61</v>
      </c>
      <c r="K20" s="203">
        <f>(630-315)/8*4/1.2</f>
        <v>131.25</v>
      </c>
      <c r="L20" s="186">
        <v>205.22</v>
      </c>
      <c r="M20" s="186">
        <v>191.9</v>
      </c>
      <c r="N20" s="16"/>
      <c r="O20" s="100" t="s">
        <v>10</v>
      </c>
      <c r="P20" s="100">
        <v>-10</v>
      </c>
      <c r="Q20" s="100">
        <f>J15</f>
        <v>193.58</v>
      </c>
      <c r="R20" s="100" t="s">
        <v>10</v>
      </c>
      <c r="S20" s="100">
        <v>-10</v>
      </c>
      <c r="T20" s="100">
        <f>K15</f>
        <v>121.25</v>
      </c>
      <c r="U20" s="100" t="s">
        <v>10</v>
      </c>
      <c r="V20" s="100">
        <v>-10</v>
      </c>
      <c r="W20" s="100">
        <f>L15</f>
        <v>199.68</v>
      </c>
      <c r="X20" s="100" t="s">
        <v>10</v>
      </c>
      <c r="Y20" s="100">
        <v>-10</v>
      </c>
      <c r="Z20" s="100">
        <f>M15</f>
        <v>187.38</v>
      </c>
      <c r="AB20" s="191">
        <v>80</v>
      </c>
      <c r="AC20" s="191">
        <v>125.33</v>
      </c>
      <c r="AD20" s="191">
        <f>(630-532)/9*4/1.2</f>
        <v>36.296296296296298</v>
      </c>
      <c r="AE20" s="191">
        <v>125.05</v>
      </c>
      <c r="AF20" s="191">
        <v>124.91</v>
      </c>
      <c r="AH20" s="110" t="s">
        <v>27</v>
      </c>
      <c r="AI20" s="191">
        <v>10</v>
      </c>
      <c r="AJ20" s="110">
        <f>AC15</f>
        <v>158.72999999999999</v>
      </c>
      <c r="AK20" s="110" t="s">
        <v>27</v>
      </c>
      <c r="AL20" s="191">
        <v>10</v>
      </c>
      <c r="AM20" s="110">
        <f>AD15</f>
        <v>67.407407407407405</v>
      </c>
      <c r="AN20" s="110" t="s">
        <v>27</v>
      </c>
      <c r="AO20" s="191">
        <v>10</v>
      </c>
      <c r="AP20" s="110">
        <f>AE15</f>
        <v>162.01</v>
      </c>
      <c r="AQ20" s="110" t="s">
        <v>27</v>
      </c>
      <c r="AR20" s="191">
        <v>10</v>
      </c>
      <c r="AS20" s="110">
        <f>AF15</f>
        <v>155.38999999999999</v>
      </c>
    </row>
    <row r="21" spans="1:45">
      <c r="A21" s="22">
        <f>A20*1</f>
        <v>210.94516492459232</v>
      </c>
      <c r="N21" s="16"/>
      <c r="O21" s="100" t="s">
        <v>10</v>
      </c>
      <c r="P21" s="100">
        <v>-15</v>
      </c>
      <c r="Q21" s="100">
        <f>J20</f>
        <v>198.61</v>
      </c>
      <c r="R21" s="100" t="s">
        <v>10</v>
      </c>
      <c r="S21" s="100">
        <v>-15</v>
      </c>
      <c r="T21" s="100">
        <f>K20</f>
        <v>131.25</v>
      </c>
      <c r="U21" s="100" t="s">
        <v>10</v>
      </c>
      <c r="V21" s="100">
        <v>-15</v>
      </c>
      <c r="W21" s="100">
        <f>L20</f>
        <v>205.22</v>
      </c>
      <c r="X21" s="100" t="s">
        <v>10</v>
      </c>
      <c r="Y21" s="100">
        <v>-15</v>
      </c>
      <c r="Z21" s="100">
        <f>M20</f>
        <v>191.9</v>
      </c>
      <c r="AH21" s="110" t="s">
        <v>27</v>
      </c>
      <c r="AI21" s="191">
        <v>15</v>
      </c>
      <c r="AJ21" s="110">
        <f>AC20</f>
        <v>125.33</v>
      </c>
      <c r="AK21" s="110" t="s">
        <v>27</v>
      </c>
      <c r="AL21" s="191">
        <v>15</v>
      </c>
      <c r="AM21" s="110">
        <f>AD20</f>
        <v>36.296296296296298</v>
      </c>
      <c r="AN21" s="110" t="s">
        <v>27</v>
      </c>
      <c r="AO21" s="191">
        <v>15</v>
      </c>
      <c r="AP21" s="110">
        <f>AE20</f>
        <v>125.05</v>
      </c>
      <c r="AQ21" s="110" t="s">
        <v>27</v>
      </c>
      <c r="AR21" s="191">
        <v>15</v>
      </c>
      <c r="AS21" s="110">
        <f>AF20</f>
        <v>124.91</v>
      </c>
    </row>
    <row r="22" spans="1:45">
      <c r="D22"/>
      <c r="E22" s="1" t="s">
        <v>6</v>
      </c>
      <c r="F22" s="1" t="s">
        <v>7</v>
      </c>
      <c r="G22" s="1" t="s">
        <v>29</v>
      </c>
      <c r="H22" s="1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100" t="s">
        <v>10</v>
      </c>
      <c r="P22" s="100">
        <v>-20</v>
      </c>
      <c r="Q22" s="100">
        <f>J25</f>
        <v>203.03</v>
      </c>
      <c r="R22" s="100" t="s">
        <v>10</v>
      </c>
      <c r="S22" s="100">
        <v>-20</v>
      </c>
      <c r="T22" s="100">
        <f>K25</f>
        <v>140.41666666666669</v>
      </c>
      <c r="U22" s="100" t="s">
        <v>10</v>
      </c>
      <c r="V22" s="100">
        <v>-20</v>
      </c>
      <c r="W22" s="100">
        <f>L25</f>
        <v>210.12</v>
      </c>
      <c r="X22" s="100" t="s">
        <v>10</v>
      </c>
      <c r="Y22" s="100">
        <v>-20</v>
      </c>
      <c r="Z22" s="100">
        <f>M25</f>
        <v>195.83</v>
      </c>
      <c r="AH22" s="110" t="s">
        <v>28</v>
      </c>
      <c r="AI22" s="9">
        <f>$B$2</f>
        <v>6.0220000000000002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169.84362750315171</v>
      </c>
      <c r="AK22" s="110" t="s">
        <v>28</v>
      </c>
      <c r="AL22" s="9">
        <f>$B$2</f>
        <v>6.0220000000000002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81.565697797807402</v>
      </c>
      <c r="AN22" s="110" t="s">
        <v>28</v>
      </c>
      <c r="AO22" s="9">
        <f>$B$2</f>
        <v>6.0220000000000002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173.95149142200347</v>
      </c>
      <c r="AQ22" s="110" t="s">
        <v>28</v>
      </c>
      <c r="AR22" s="9">
        <f>$B$2</f>
        <v>6.0220000000000002</v>
      </c>
      <c r="AS22" s="11">
        <f>AS18*(AR22-AR19)*(AR22-AR20)*(AR22-AR21)/((AR18-AR19)*(AR18-AR20)*(AR18-AR21))+AS19*(AR22-AR18)*(AR22-AR20)*(AR22-AR21)/((AR19-AR18)*(AR19-AR20)*(AR19-AR21))+AS20*(AR22-AR18)*(AR22-AR19)*(AR22-AR21)/((AR20-AR18)*(AR20-AR19)*(AR20-AR21))+AS21*(AR22-AR18)*(AR22-AR19)*(AR22-AR20)/((AR21-AR18)*(AR21-AR19)*(AR21-AR20))</f>
        <v>165.68902578333822</v>
      </c>
    </row>
    <row r="23" spans="1:45">
      <c r="A23" s="100" t="s">
        <v>36</v>
      </c>
      <c r="B23" s="23">
        <f>$B$3*SIN(RADIANS($B$4+B20*0.707))</f>
        <v>0.95908901543124414</v>
      </c>
      <c r="D23" s="186">
        <v>100</v>
      </c>
      <c r="E23" s="100">
        <f>IF($B$2&gt;0,AJ6,Q8)</f>
        <v>242.04473138176448</v>
      </c>
      <c r="F23" s="100">
        <f>IF($B$2&gt;0,AM6,T8)</f>
        <v>200.4948556740741</v>
      </c>
      <c r="G23" s="100">
        <f>IF($B$2&gt;0,AP6,W8)</f>
        <v>251.52100419925853</v>
      </c>
      <c r="H23" s="22">
        <f>IF($B$2&gt;0,AS6,Z8)</f>
        <v>232.28303919639586</v>
      </c>
      <c r="I23" s="186">
        <v>100</v>
      </c>
      <c r="J23" s="186">
        <v>258.41000000000003</v>
      </c>
      <c r="K23" s="203">
        <f>(630-22)/8*4/1.2</f>
        <v>253.33333333333334</v>
      </c>
      <c r="L23" s="186">
        <v>270.57</v>
      </c>
      <c r="M23" s="186">
        <v>245.88</v>
      </c>
      <c r="O23" s="100" t="s">
        <v>10</v>
      </c>
      <c r="P23" s="100">
        <v>-25</v>
      </c>
      <c r="Q23" s="100">
        <f>J30</f>
        <v>206.96</v>
      </c>
      <c r="R23" s="100" t="s">
        <v>10</v>
      </c>
      <c r="S23" s="100">
        <v>-25</v>
      </c>
      <c r="T23" s="100">
        <f>K30</f>
        <v>135.71428571428572</v>
      </c>
      <c r="U23" s="100" t="s">
        <v>10</v>
      </c>
      <c r="V23" s="100">
        <v>-25</v>
      </c>
      <c r="W23" s="100">
        <f>L30</f>
        <v>214.5</v>
      </c>
      <c r="X23" s="100" t="s">
        <v>10</v>
      </c>
      <c r="Y23" s="100">
        <v>-25</v>
      </c>
      <c r="Z23" s="100">
        <f>M30</f>
        <v>199.3</v>
      </c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</row>
    <row r="24" spans="1:45">
      <c r="A24" s="100" t="s">
        <v>37</v>
      </c>
      <c r="B24" s="23">
        <f>$B$3*COS(RADIANS($B$4+B20*0.5))</f>
        <v>-0.28418963877733827</v>
      </c>
      <c r="D24" s="186">
        <v>90</v>
      </c>
      <c r="E24" s="100">
        <f>IF($B$2&gt;0,AJ14,Q16)</f>
        <v>205.53193811117504</v>
      </c>
      <c r="F24" s="100">
        <f>IF($B$2&gt;0,AM14,T16)</f>
        <v>129.28142623399111</v>
      </c>
      <c r="G24" s="100">
        <f>IF($B$2&gt;0,AP14,W16)</f>
        <v>211.70179423413538</v>
      </c>
      <c r="H24" s="22">
        <f>IF($B$2&gt;0,AS14,Z16)</f>
        <v>199.14669984406143</v>
      </c>
      <c r="I24" s="186">
        <v>90</v>
      </c>
      <c r="J24" s="186">
        <v>229.8</v>
      </c>
      <c r="K24" s="203">
        <f>(630-183)/8*4/1.2</f>
        <v>186.25</v>
      </c>
      <c r="L24" s="186">
        <v>238.96</v>
      </c>
      <c r="M24" s="186">
        <v>220.45</v>
      </c>
      <c r="O24" s="100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169.93506819315616</v>
      </c>
      <c r="R24" s="100" t="s">
        <v>11</v>
      </c>
      <c r="S24" s="9">
        <f>$B$2</f>
        <v>6.0220000000000002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102.97580419871838</v>
      </c>
      <c r="U24" s="100" t="s">
        <v>11</v>
      </c>
      <c r="V24" s="9">
        <f>$B$2</f>
        <v>6.0220000000000002</v>
      </c>
      <c r="W24" s="100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173.8576414095059</v>
      </c>
      <c r="X24" s="100" t="s">
        <v>11</v>
      </c>
      <c r="Y24" s="9">
        <f>$B$2</f>
        <v>6.0220000000000002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165.3559415355017</v>
      </c>
    </row>
    <row r="25" spans="1:45">
      <c r="D25" s="186">
        <v>80</v>
      </c>
      <c r="E25" s="100">
        <f>IF($B$2&gt;0,AJ22,Q24)</f>
        <v>169.84362750315171</v>
      </c>
      <c r="F25" s="100">
        <f>IF($B$2&gt;0,AM22,T24)</f>
        <v>81.565697797807402</v>
      </c>
      <c r="G25" s="100">
        <f>IF($B$2&gt;0,AP22,W24)</f>
        <v>173.95149142200347</v>
      </c>
      <c r="H25" s="22">
        <f>IF($B$2&gt;0,AS22,Z24)</f>
        <v>165.68902578333822</v>
      </c>
      <c r="I25" s="186">
        <v>80</v>
      </c>
      <c r="J25" s="186">
        <v>203.03</v>
      </c>
      <c r="K25" s="203">
        <f>(630-293)/8*4/1.2</f>
        <v>140.41666666666669</v>
      </c>
      <c r="L25" s="186">
        <v>210.12</v>
      </c>
      <c r="M25" s="186">
        <v>195.83</v>
      </c>
    </row>
    <row r="26" spans="1:45">
      <c r="A26" s="235" t="s">
        <v>39</v>
      </c>
      <c r="B26" s="236"/>
    </row>
    <row r="27" spans="1:45">
      <c r="A27" s="100">
        <f>F18*(E10-E19)*(E10-E20)/((E18-E19)*(E18-E20))+F19*(E10-E18)*(E10-E20)/((E19-E18)*(E19-E20))+F20*(E10-E18)*(E10-E19)/((E20-E18)*(E20-E19))</f>
        <v>257.04088236229029</v>
      </c>
      <c r="B27" s="100">
        <f>G18*(E10-E19)*(E10-E20)/((E18-E19)*(E18-E20))+G19*(E10-E18)*(E10-E20)/((E19-E18)*(E19-E20))+G20*(E10-E18)*(E10-E19)/((E20-E18)*(E20-E19))</f>
        <v>257.36548129035907</v>
      </c>
      <c r="D27"/>
      <c r="E27" s="235" t="s">
        <v>143</v>
      </c>
      <c r="F27" s="236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P27" s="98"/>
      <c r="R27" s="14"/>
      <c r="T27" s="1"/>
      <c r="V27" s="14"/>
      <c r="Y27" s="1"/>
      <c r="Z27" s="1"/>
      <c r="AA27" s="1"/>
      <c r="AB27" s="192"/>
      <c r="AC27" s="192"/>
      <c r="AD27" s="192"/>
      <c r="AE27" s="192"/>
      <c r="AF27" s="192"/>
    </row>
    <row r="28" spans="1:45">
      <c r="D28"/>
      <c r="E28" s="186">
        <v>100</v>
      </c>
      <c r="F28" s="11">
        <f>E23*(B24-9)*(B24--9)/((0-9)*(0--9))+G23*(B24-0)*(B24--9)/((9-0)*(9--9))+H23*(B24-0)*(B24-9)/((-9-0)*(-9-9))</f>
        <v>241.74085407026161</v>
      </c>
      <c r="G28" s="12"/>
      <c r="H28" s="12"/>
      <c r="I28" s="186">
        <v>100</v>
      </c>
      <c r="J28" s="186">
        <v>260.75</v>
      </c>
      <c r="K28" s="203">
        <f>(630-80)/7*4/1.2</f>
        <v>261.90476190476193</v>
      </c>
      <c r="L28" s="186">
        <v>273.35000000000002</v>
      </c>
      <c r="M28" s="186">
        <v>247.77</v>
      </c>
      <c r="P28" s="14"/>
      <c r="AA28" s="192"/>
      <c r="AB28" s="192"/>
      <c r="AC28" s="192"/>
      <c r="AD28" s="192"/>
      <c r="AE28" s="192"/>
      <c r="AF28" s="192"/>
    </row>
    <row r="29" spans="1:45">
      <c r="A29" s="100" t="s">
        <v>41</v>
      </c>
      <c r="B29" s="100" t="s">
        <v>42</v>
      </c>
      <c r="D29"/>
      <c r="E29" s="186">
        <v>90</v>
      </c>
      <c r="F29" s="11">
        <f>E24*(B24-9)*(B24--9)/((0-9)*(0--9))+G24*(B24-0)*(B24--9)/((9-0)*(9--9))+H24*(B24-0)*(B24-9)/((-9-0)*(-9-9))</f>
        <v>205.33360697089361</v>
      </c>
      <c r="G29" s="12"/>
      <c r="H29" s="12"/>
      <c r="I29" s="186">
        <v>90</v>
      </c>
      <c r="J29" s="186">
        <v>232.97</v>
      </c>
      <c r="K29" s="203">
        <f>(630-220)/7*4/1.2</f>
        <v>195.23809523809524</v>
      </c>
      <c r="L29" s="186">
        <v>242.58</v>
      </c>
      <c r="M29" s="186">
        <v>223.16</v>
      </c>
      <c r="P29" s="14"/>
      <c r="AA29" s="192"/>
      <c r="AB29" s="192"/>
      <c r="AC29" s="192"/>
      <c r="AD29" s="192"/>
      <c r="AE29" s="192"/>
      <c r="AF29" s="192"/>
    </row>
    <row r="30" spans="1:45">
      <c r="A30" s="23">
        <f>E28*(E10-F29)*(E10-F30)/((F28-F29)*(F28-F30))+E29*(E10-F28)*(E10-F30)/((F29-F28)*(F29-F30))+E30*(E10-F28)*(E10-F29)/((F30-F28)*(F30-F29))</f>
        <v>104.39682025975253</v>
      </c>
      <c r="B30" s="24">
        <f>(F23*(A30-D24)*(A30-D25)/((D23-D24)*(D23-D25))+F24*(A30-D23)*(A30-D25)/((D24-D23)*(D24-D25))+F25*(A30-D23)*(A30-D24)/((D25-D23)*(D25-D24)))*(B23+(B14*(A21/A20))*(A30/100))</f>
        <v>-239.70690503142035</v>
      </c>
      <c r="D30"/>
      <c r="E30" s="186">
        <v>80</v>
      </c>
      <c r="F30" s="11">
        <f>E25*(B24-9)*(B24--9)/((0-9)*(0--9))+G25*(B24-0)*(B24--9)/((9-0)*(9--9))+H25*(B24-0)*(B24-9)/((-9-0)*(-9-9))</f>
        <v>169.71315380656239</v>
      </c>
      <c r="G30" s="12"/>
      <c r="H30" s="12"/>
      <c r="I30" s="186">
        <v>80</v>
      </c>
      <c r="J30" s="186">
        <v>206.96</v>
      </c>
      <c r="K30" s="203">
        <f>(630-345)/7*4/1.2</f>
        <v>135.71428571428572</v>
      </c>
      <c r="L30" s="186">
        <v>214.5</v>
      </c>
      <c r="M30" s="186">
        <v>199.3</v>
      </c>
      <c r="P30" s="14"/>
      <c r="AA30" s="192"/>
      <c r="AB30" s="192"/>
      <c r="AC30" s="192"/>
      <c r="AD30" s="192"/>
      <c r="AE30" s="192"/>
      <c r="AF30" s="192"/>
    </row>
    <row r="31" spans="1:45">
      <c r="A31" s="100" t="s">
        <v>44</v>
      </c>
      <c r="B31" s="100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257.04088236229029</v>
      </c>
      <c r="P31" s="14"/>
    </row>
    <row r="32" spans="1:45">
      <c r="A32" s="25">
        <f>(360-ROUNDDOWN((1-(A30/100))*360,0))*276/360</f>
        <v>287.5</v>
      </c>
      <c r="B32" s="11">
        <f>MOD((A30/100)*-360,1)*-(($E$10-A27)/($E$10-B27))+11</f>
        <v>10.742381450105473</v>
      </c>
      <c r="D32"/>
      <c r="P32" s="14"/>
    </row>
    <row r="33" spans="1:45">
      <c r="D33"/>
      <c r="P33" s="14"/>
      <c r="T33" s="14"/>
    </row>
    <row r="34" spans="1:45">
      <c r="D34"/>
      <c r="P34" s="14"/>
      <c r="T34" s="14"/>
    </row>
    <row r="35" spans="1:45">
      <c r="D35"/>
      <c r="P35" s="14"/>
      <c r="T35" s="14"/>
    </row>
    <row r="36" spans="1:45">
      <c r="D36"/>
      <c r="Q36" s="1" t="s">
        <v>12</v>
      </c>
      <c r="R36" s="1"/>
      <c r="S36" s="1"/>
      <c r="T36" s="1" t="s">
        <v>13</v>
      </c>
      <c r="U36" s="1"/>
      <c r="V36" s="1"/>
      <c r="W36" s="1" t="s">
        <v>8</v>
      </c>
      <c r="X36" s="1"/>
      <c r="Y36" s="1"/>
      <c r="Z36" s="1" t="s">
        <v>9</v>
      </c>
      <c r="AJ36" s="1" t="s">
        <v>12</v>
      </c>
      <c r="AK36" s="1"/>
      <c r="AL36" s="1"/>
      <c r="AM36" s="1" t="s">
        <v>13</v>
      </c>
      <c r="AN36" s="1"/>
      <c r="AO36" s="1"/>
      <c r="AP36" s="1" t="s">
        <v>8</v>
      </c>
      <c r="AQ36" s="1"/>
      <c r="AR36" s="1"/>
      <c r="AS36" s="1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100" t="s">
        <v>10</v>
      </c>
      <c r="P37" s="100">
        <v>0</v>
      </c>
      <c r="Q37" s="100">
        <f>J38</f>
        <v>180.63</v>
      </c>
      <c r="R37" s="100" t="s">
        <v>10</v>
      </c>
      <c r="S37" s="100">
        <v>0</v>
      </c>
      <c r="T37" s="100">
        <f>K38</f>
        <v>98.518518518518533</v>
      </c>
      <c r="U37" s="100" t="s">
        <v>10</v>
      </c>
      <c r="V37" s="100">
        <v>0</v>
      </c>
      <c r="W37" s="100">
        <f>L38</f>
        <v>185.55</v>
      </c>
      <c r="X37" s="100" t="s">
        <v>10</v>
      </c>
      <c r="Y37" s="100">
        <v>0</v>
      </c>
      <c r="Z37" s="100">
        <f>M38</f>
        <v>175.63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110" t="s">
        <v>27</v>
      </c>
      <c r="AI37" s="110">
        <v>0</v>
      </c>
      <c r="AJ37" s="110">
        <f>AC38</f>
        <v>180.63</v>
      </c>
      <c r="AK37" s="110" t="s">
        <v>27</v>
      </c>
      <c r="AL37" s="110">
        <v>0</v>
      </c>
      <c r="AM37" s="110">
        <f>AD38</f>
        <v>98.518518518518533</v>
      </c>
      <c r="AN37" s="110" t="s">
        <v>27</v>
      </c>
      <c r="AO37" s="110">
        <v>0</v>
      </c>
      <c r="AP37" s="110">
        <f>AE38</f>
        <v>185.55</v>
      </c>
      <c r="AQ37" s="110" t="s">
        <v>27</v>
      </c>
      <c r="AR37" s="110">
        <v>0</v>
      </c>
      <c r="AS37" s="110">
        <f>AF38</f>
        <v>175.63</v>
      </c>
    </row>
    <row r="38" spans="1:45">
      <c r="D38"/>
      <c r="F38" s="239" t="s">
        <v>217</v>
      </c>
      <c r="G38" s="239"/>
      <c r="H38" s="239"/>
      <c r="I38" s="186">
        <v>80</v>
      </c>
      <c r="J38" s="186">
        <v>180.63</v>
      </c>
      <c r="K38" s="203">
        <f>(630-364)/9*4/1.2</f>
        <v>98.518518518518533</v>
      </c>
      <c r="L38" s="186">
        <v>185.55</v>
      </c>
      <c r="M38" s="186">
        <v>175.63</v>
      </c>
      <c r="O38" s="100" t="s">
        <v>10</v>
      </c>
      <c r="P38" s="100">
        <v>-5</v>
      </c>
      <c r="Q38" s="100">
        <f>J43</f>
        <v>187.7</v>
      </c>
      <c r="R38" s="100" t="s">
        <v>10</v>
      </c>
      <c r="S38" s="100">
        <v>-5</v>
      </c>
      <c r="T38" s="100">
        <f>K43</f>
        <v>110.37037037037038</v>
      </c>
      <c r="U38" s="100" t="s">
        <v>10</v>
      </c>
      <c r="V38" s="100">
        <v>-5</v>
      </c>
      <c r="W38" s="100">
        <f>L43</f>
        <v>193.25</v>
      </c>
      <c r="X38" s="100" t="s">
        <v>10</v>
      </c>
      <c r="Y38" s="100">
        <v>-5</v>
      </c>
      <c r="Z38" s="100">
        <f>M43</f>
        <v>182.08</v>
      </c>
      <c r="AB38" s="191">
        <v>80</v>
      </c>
      <c r="AC38" s="107">
        <f>J38</f>
        <v>180.63</v>
      </c>
      <c r="AD38" s="107">
        <f t="shared" ref="AD38" si="2">K38</f>
        <v>98.518518518518533</v>
      </c>
      <c r="AE38" s="107">
        <f t="shared" ref="AE38" si="3">L38</f>
        <v>185.55</v>
      </c>
      <c r="AF38" s="107">
        <f t="shared" ref="AF38" si="4">M38</f>
        <v>175.63</v>
      </c>
      <c r="AH38" s="110" t="s">
        <v>27</v>
      </c>
      <c r="AI38" s="110">
        <v>5</v>
      </c>
      <c r="AJ38" s="110">
        <f>AC43</f>
        <v>171.62</v>
      </c>
      <c r="AK38" s="110" t="s">
        <v>27</v>
      </c>
      <c r="AL38" s="110">
        <v>5</v>
      </c>
      <c r="AM38" s="110">
        <f>AD43</f>
        <v>85</v>
      </c>
      <c r="AN38" s="110" t="s">
        <v>27</v>
      </c>
      <c r="AO38" s="110">
        <v>5</v>
      </c>
      <c r="AP38" s="110">
        <f>AE43</f>
        <v>175.82</v>
      </c>
      <c r="AQ38" s="110" t="s">
        <v>27</v>
      </c>
      <c r="AR38" s="110">
        <v>5</v>
      </c>
      <c r="AS38" s="110">
        <f>AF43</f>
        <v>167.35</v>
      </c>
    </row>
    <row r="39" spans="1:45">
      <c r="F39" s="239"/>
      <c r="G39" s="239"/>
      <c r="H39" s="239"/>
      <c r="I39" s="186">
        <v>70</v>
      </c>
      <c r="J39" s="186">
        <v>151.22</v>
      </c>
      <c r="K39" s="203">
        <f>(630-447)/9*4/1.2</f>
        <v>67.777777777777771</v>
      </c>
      <c r="L39" s="186">
        <v>154.72999999999999</v>
      </c>
      <c r="M39" s="186">
        <v>147.68</v>
      </c>
      <c r="N39" s="16"/>
      <c r="O39" s="100" t="s">
        <v>10</v>
      </c>
      <c r="P39" s="100">
        <v>-10</v>
      </c>
      <c r="Q39" s="100">
        <f>J48</f>
        <v>193.58</v>
      </c>
      <c r="R39" s="100" t="s">
        <v>10</v>
      </c>
      <c r="S39" s="100">
        <v>-10</v>
      </c>
      <c r="T39" s="100">
        <f>K48</f>
        <v>121.25</v>
      </c>
      <c r="U39" s="100" t="s">
        <v>10</v>
      </c>
      <c r="V39" s="100">
        <v>-10</v>
      </c>
      <c r="W39" s="100">
        <f>L48</f>
        <v>199.68</v>
      </c>
      <c r="X39" s="100" t="s">
        <v>10</v>
      </c>
      <c r="Y39" s="100">
        <v>-10</v>
      </c>
      <c r="Z39" s="100">
        <f>M48</f>
        <v>187.38</v>
      </c>
      <c r="AB39" s="191">
        <v>70</v>
      </c>
      <c r="AC39" s="107">
        <v>151.22</v>
      </c>
      <c r="AD39" s="107">
        <v>68.333333333333343</v>
      </c>
      <c r="AE39" s="107">
        <v>154.72999999999999</v>
      </c>
      <c r="AF39" s="107">
        <v>147.68</v>
      </c>
      <c r="AH39" s="110" t="s">
        <v>28</v>
      </c>
      <c r="AI39" s="9">
        <f>$B$2</f>
        <v>6.0220000000000002</v>
      </c>
      <c r="AJ39" s="11">
        <f>AJ37*(AI39-AI38)/((AI37-AI38))+AJ38*(AI39-AI37)/((AI38-AI37))</f>
        <v>169.77835600000003</v>
      </c>
      <c r="AK39" s="110" t="s">
        <v>28</v>
      </c>
      <c r="AL39" s="9">
        <f>$B$2</f>
        <v>6.0220000000000002</v>
      </c>
      <c r="AM39" s="11">
        <f>AM37*(AL39-AL38)/((AL37-AL38))+AM38*(AL39-AL37)/((AL38-AL37))</f>
        <v>82.236814814814807</v>
      </c>
      <c r="AN39" s="110" t="s">
        <v>28</v>
      </c>
      <c r="AO39" s="9">
        <f>$B$2</f>
        <v>6.0220000000000002</v>
      </c>
      <c r="AP39" s="11">
        <f>AP37*(AO39-AO38)/((AO37-AO38))+AP38*(AO39-AO37)/((AO38-AO37))</f>
        <v>173.83118799999997</v>
      </c>
      <c r="AQ39" s="110" t="s">
        <v>28</v>
      </c>
      <c r="AR39" s="9">
        <f>$B$2</f>
        <v>6.0220000000000002</v>
      </c>
      <c r="AS39" s="11">
        <f>AS37*(AR39-AR38)/((AR37-AR38))+AS38*(AR39-AR37)/((AR38-AR37))</f>
        <v>165.657568</v>
      </c>
    </row>
    <row r="40" spans="1:45">
      <c r="F40" s="239"/>
      <c r="G40" s="239"/>
      <c r="H40" s="239"/>
      <c r="I40" s="186">
        <v>60</v>
      </c>
      <c r="J40" s="186">
        <v>125.14</v>
      </c>
      <c r="K40" s="203">
        <f>(630-501)/9*4/1.2</f>
        <v>47.777777777777779</v>
      </c>
      <c r="L40" s="186">
        <v>127.69</v>
      </c>
      <c r="M40" s="186">
        <v>122.58</v>
      </c>
      <c r="N40" s="16"/>
      <c r="O40" s="100" t="s">
        <v>10</v>
      </c>
      <c r="P40" s="100">
        <v>-15</v>
      </c>
      <c r="Q40" s="100">
        <f>J53</f>
        <v>198.61</v>
      </c>
      <c r="R40" s="100" t="s">
        <v>10</v>
      </c>
      <c r="S40" s="100">
        <v>-15</v>
      </c>
      <c r="T40" s="100">
        <f>K53</f>
        <v>131.25</v>
      </c>
      <c r="U40" s="100" t="s">
        <v>10</v>
      </c>
      <c r="V40" s="100">
        <v>-15</v>
      </c>
      <c r="W40" s="100">
        <f>L53</f>
        <v>205.22</v>
      </c>
      <c r="X40" s="100" t="s">
        <v>10</v>
      </c>
      <c r="Y40" s="100">
        <v>-15</v>
      </c>
      <c r="Z40" s="100">
        <f>M53</f>
        <v>191.9</v>
      </c>
      <c r="AB40" s="191">
        <v>60</v>
      </c>
      <c r="AC40" s="107">
        <v>125.14</v>
      </c>
      <c r="AD40" s="107">
        <v>47.5</v>
      </c>
      <c r="AE40" s="107">
        <v>127.69</v>
      </c>
      <c r="AF40" s="107">
        <v>122.58</v>
      </c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</row>
    <row r="41" spans="1:45">
      <c r="N41" s="16"/>
      <c r="O41" s="100" t="s">
        <v>10</v>
      </c>
      <c r="P41" s="100">
        <v>-20</v>
      </c>
      <c r="Q41" s="100">
        <f>J58</f>
        <v>203.03</v>
      </c>
      <c r="R41" s="100" t="s">
        <v>10</v>
      </c>
      <c r="S41" s="100">
        <v>-20</v>
      </c>
      <c r="T41" s="100">
        <f>K58</f>
        <v>140.41666666666669</v>
      </c>
      <c r="U41" s="100" t="s">
        <v>10</v>
      </c>
      <c r="V41" s="100">
        <v>-20</v>
      </c>
      <c r="W41" s="100">
        <f>L58</f>
        <v>210.12</v>
      </c>
      <c r="X41" s="100" t="s">
        <v>10</v>
      </c>
      <c r="Y41" s="100">
        <v>-20</v>
      </c>
      <c r="Z41" s="100">
        <f>M58</f>
        <v>195.83</v>
      </c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100" t="s">
        <v>10</v>
      </c>
      <c r="P42" s="100">
        <v>-25</v>
      </c>
      <c r="Q42" s="100">
        <f>J63</f>
        <v>206.96</v>
      </c>
      <c r="R42" s="100" t="s">
        <v>10</v>
      </c>
      <c r="S42" s="100">
        <v>-25</v>
      </c>
      <c r="T42" s="100">
        <f>K63</f>
        <v>149.04761904761907</v>
      </c>
      <c r="U42" s="100" t="s">
        <v>10</v>
      </c>
      <c r="V42" s="100">
        <v>-25</v>
      </c>
      <c r="W42" s="100">
        <f>L63</f>
        <v>214.5</v>
      </c>
      <c r="X42" s="100" t="s">
        <v>10</v>
      </c>
      <c r="Y42" s="100">
        <v>-25</v>
      </c>
      <c r="Z42" s="100">
        <f>M63</f>
        <v>199.3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</row>
    <row r="43" spans="1:45">
      <c r="D43" s="238" t="s">
        <v>46</v>
      </c>
      <c r="E43" s="238"/>
      <c r="F43" s="238"/>
      <c r="I43" s="186">
        <v>80</v>
      </c>
      <c r="J43" s="186">
        <v>187.7</v>
      </c>
      <c r="K43" s="203">
        <f>(630-332)/9*4/1.2</f>
        <v>110.37037037037038</v>
      </c>
      <c r="L43" s="186">
        <v>193.25</v>
      </c>
      <c r="M43" s="186">
        <v>182.08</v>
      </c>
      <c r="N43" s="13"/>
      <c r="O43" s="100" t="s">
        <v>11</v>
      </c>
      <c r="P43" s="9">
        <f>$B$2</f>
        <v>6.0220000000000002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169.93506819315616</v>
      </c>
      <c r="R43" s="100" t="s">
        <v>11</v>
      </c>
      <c r="S43" s="9">
        <f>$B$2</f>
        <v>6.0220000000000002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82.291540853416109</v>
      </c>
      <c r="U43" s="100" t="s">
        <v>11</v>
      </c>
      <c r="V43" s="9">
        <f>$B$2</f>
        <v>6.0220000000000002</v>
      </c>
      <c r="W43" s="100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173.8576414095059</v>
      </c>
      <c r="X43" s="100" t="s">
        <v>11</v>
      </c>
      <c r="Y43" s="9">
        <f>$B$2</f>
        <v>6.0220000000000002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165.3559415355017</v>
      </c>
      <c r="AB43" s="191">
        <v>80</v>
      </c>
      <c r="AC43" s="107">
        <v>171.62</v>
      </c>
      <c r="AD43" s="107">
        <v>85</v>
      </c>
      <c r="AE43" s="107">
        <v>175.82</v>
      </c>
      <c r="AF43" s="107">
        <v>167.35</v>
      </c>
    </row>
    <row r="44" spans="1:45">
      <c r="A44" s="4">
        <f>0*($B$6-0.9)*($B$6-0.8)/((1-0.9)*(1-0.8))+7.7*($B$6-1)*($B$6-0.8)/((0.9-1)*(0.9-0.8))+16.19*($B$6-1)*($B$6-0.9)/((0.8-1)*(0.8-0.9))+$B$1</f>
        <v>258.43625000000003</v>
      </c>
      <c r="D44" s="5"/>
      <c r="E44" s="26">
        <f>$B$1</f>
        <v>246.59</v>
      </c>
      <c r="I44" s="186">
        <v>70</v>
      </c>
      <c r="J44" s="186">
        <v>160.36000000000001</v>
      </c>
      <c r="K44" s="203">
        <f>(630-414)/9*4/1.2</f>
        <v>80</v>
      </c>
      <c r="L44" s="186">
        <v>164.49</v>
      </c>
      <c r="M44" s="186">
        <v>156.16999999999999</v>
      </c>
      <c r="N44" s="13"/>
      <c r="Q44" s="1" t="s">
        <v>12</v>
      </c>
      <c r="R44" s="1"/>
      <c r="S44" s="1"/>
      <c r="T44" s="1" t="s">
        <v>13</v>
      </c>
      <c r="U44" s="1"/>
      <c r="V44" s="1"/>
      <c r="W44" s="1" t="s">
        <v>8</v>
      </c>
      <c r="X44" s="1"/>
      <c r="Y44" s="1"/>
      <c r="Z44" s="1" t="s">
        <v>9</v>
      </c>
      <c r="AB44" s="191">
        <v>70</v>
      </c>
      <c r="AC44" s="107">
        <v>138.43</v>
      </c>
      <c r="AD44" s="107">
        <v>53.333333333333336</v>
      </c>
      <c r="AE44" s="107">
        <v>141.15</v>
      </c>
      <c r="AF44" s="107">
        <v>135.68</v>
      </c>
      <c r="AJ44" s="1" t="s">
        <v>12</v>
      </c>
      <c r="AK44" s="1"/>
      <c r="AL44" s="1"/>
      <c r="AM44" s="1" t="s">
        <v>13</v>
      </c>
      <c r="AN44" s="1"/>
      <c r="AO44" s="1"/>
      <c r="AP44" s="1" t="s">
        <v>8</v>
      </c>
      <c r="AQ44" s="1"/>
      <c r="AR44" s="1"/>
      <c r="AS44" s="1" t="s">
        <v>9</v>
      </c>
    </row>
    <row r="45" spans="1:45">
      <c r="D45" s="5"/>
      <c r="E45" s="26">
        <f>A44</f>
        <v>258.43625000000003</v>
      </c>
      <c r="I45" s="186">
        <v>60</v>
      </c>
      <c r="J45" s="186">
        <v>136.18</v>
      </c>
      <c r="K45" s="203">
        <f>(630-469)/9*4/1.2</f>
        <v>59.629629629629633</v>
      </c>
      <c r="L45" s="186">
        <v>139.36000000000001</v>
      </c>
      <c r="M45" s="186">
        <v>132.97</v>
      </c>
      <c r="N45" s="13"/>
      <c r="O45" s="100" t="s">
        <v>10</v>
      </c>
      <c r="P45" s="100">
        <v>0</v>
      </c>
      <c r="Q45" s="100">
        <f>J39</f>
        <v>151.22</v>
      </c>
      <c r="R45" s="100" t="s">
        <v>10</v>
      </c>
      <c r="S45" s="100">
        <v>0</v>
      </c>
      <c r="T45" s="100">
        <f>K39</f>
        <v>67.777777777777771</v>
      </c>
      <c r="U45" s="100" t="s">
        <v>10</v>
      </c>
      <c r="V45" s="100">
        <v>0</v>
      </c>
      <c r="W45" s="100">
        <f>L39</f>
        <v>154.72999999999999</v>
      </c>
      <c r="X45" s="100" t="s">
        <v>10</v>
      </c>
      <c r="Y45" s="100">
        <v>0</v>
      </c>
      <c r="Z45" s="100">
        <f>M39</f>
        <v>147.68</v>
      </c>
      <c r="AB45" s="191">
        <v>60</v>
      </c>
      <c r="AC45" s="107">
        <v>107.56</v>
      </c>
      <c r="AD45" s="107">
        <v>32.5</v>
      </c>
      <c r="AE45" s="107">
        <v>109.25</v>
      </c>
      <c r="AF45" s="107">
        <v>105.85</v>
      </c>
      <c r="AH45" s="110" t="s">
        <v>27</v>
      </c>
      <c r="AI45" s="110">
        <v>0</v>
      </c>
      <c r="AJ45" s="110">
        <f>AC39</f>
        <v>151.22</v>
      </c>
      <c r="AK45" s="110" t="s">
        <v>27</v>
      </c>
      <c r="AL45" s="110">
        <v>0</v>
      </c>
      <c r="AM45" s="110">
        <f>AD39</f>
        <v>68.333333333333343</v>
      </c>
      <c r="AN45" s="110" t="s">
        <v>27</v>
      </c>
      <c r="AO45" s="110">
        <v>0</v>
      </c>
      <c r="AP45" s="110">
        <f>AE39</f>
        <v>154.72999999999999</v>
      </c>
      <c r="AQ45" s="110" t="s">
        <v>27</v>
      </c>
      <c r="AR45" s="110">
        <v>0</v>
      </c>
      <c r="AS45" s="110">
        <f>AF39</f>
        <v>147.68</v>
      </c>
    </row>
    <row r="46" spans="1:45">
      <c r="A46" s="100" t="s">
        <v>23</v>
      </c>
      <c r="B46" s="100">
        <f>Plan1!$B$17</f>
        <v>86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257.91177363632698</v>
      </c>
      <c r="N46" s="13"/>
      <c r="O46" s="100" t="s">
        <v>10</v>
      </c>
      <c r="P46" s="100">
        <v>-5</v>
      </c>
      <c r="Q46" s="100">
        <f>J44</f>
        <v>160.36000000000001</v>
      </c>
      <c r="R46" s="100" t="s">
        <v>10</v>
      </c>
      <c r="S46" s="100">
        <v>-5</v>
      </c>
      <c r="T46" s="100">
        <f>K44</f>
        <v>80</v>
      </c>
      <c r="U46" s="100" t="s">
        <v>10</v>
      </c>
      <c r="V46" s="100">
        <v>-5</v>
      </c>
      <c r="W46" s="100">
        <f>L44</f>
        <v>164.49</v>
      </c>
      <c r="X46" s="100" t="s">
        <v>10</v>
      </c>
      <c r="Y46" s="100">
        <v>-5</v>
      </c>
      <c r="Z46" s="100">
        <f>M44</f>
        <v>156.16999999999999</v>
      </c>
      <c r="AH46" s="110" t="s">
        <v>27</v>
      </c>
      <c r="AI46" s="110">
        <v>5</v>
      </c>
      <c r="AJ46" s="110">
        <f>AC44</f>
        <v>138.43</v>
      </c>
      <c r="AK46" s="110" t="s">
        <v>27</v>
      </c>
      <c r="AL46" s="110">
        <v>5</v>
      </c>
      <c r="AM46" s="110">
        <f>AD44</f>
        <v>53.333333333333336</v>
      </c>
      <c r="AN46" s="110" t="s">
        <v>27</v>
      </c>
      <c r="AO46" s="110">
        <v>5</v>
      </c>
      <c r="AP46" s="110">
        <f>AE44</f>
        <v>141.15</v>
      </c>
      <c r="AQ46" s="110" t="s">
        <v>27</v>
      </c>
      <c r="AR46" s="110">
        <v>5</v>
      </c>
      <c r="AS46" s="110">
        <f>AF44</f>
        <v>135.68</v>
      </c>
    </row>
    <row r="47" spans="1:45">
      <c r="A47" s="100" t="s">
        <v>24</v>
      </c>
      <c r="B47" s="100">
        <f>Plan1!$B$18</f>
        <v>49.06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100" t="s">
        <v>10</v>
      </c>
      <c r="P47" s="100">
        <v>-10</v>
      </c>
      <c r="Q47" s="100">
        <f>J49</f>
        <v>167.59</v>
      </c>
      <c r="R47" s="100" t="s">
        <v>10</v>
      </c>
      <c r="S47" s="100">
        <v>-10</v>
      </c>
      <c r="T47" s="100">
        <f>K49</f>
        <v>90.416666666666671</v>
      </c>
      <c r="U47" s="100" t="s">
        <v>10</v>
      </c>
      <c r="V47" s="100">
        <v>-10</v>
      </c>
      <c r="W47" s="100">
        <f>L49</f>
        <v>172.28</v>
      </c>
      <c r="X47" s="100" t="s">
        <v>10</v>
      </c>
      <c r="Y47" s="100">
        <v>-10</v>
      </c>
      <c r="Z47" s="100">
        <f>M49</f>
        <v>162.84</v>
      </c>
      <c r="AH47" s="110" t="s">
        <v>28</v>
      </c>
      <c r="AI47" s="9">
        <f>$B$2</f>
        <v>6.0220000000000002</v>
      </c>
      <c r="AJ47" s="11">
        <f>AJ45*(AI47-AI46)/((AI45-AI46))+AJ46*(AI47-AI45)/((AI46-AI45))</f>
        <v>135.81572400000002</v>
      </c>
      <c r="AK47" s="110" t="s">
        <v>28</v>
      </c>
      <c r="AL47" s="9">
        <f>$B$2</f>
        <v>6.0220000000000002</v>
      </c>
      <c r="AM47" s="11">
        <f>AM45*(AL47-AL46)/((AL45-AL46))+AM46*(AL47-AL45)/((AL46-AL45))</f>
        <v>50.267333333333333</v>
      </c>
      <c r="AN47" s="110" t="s">
        <v>28</v>
      </c>
      <c r="AO47" s="9">
        <f>$B$2</f>
        <v>6.0220000000000002</v>
      </c>
      <c r="AP47" s="11">
        <f>AP45*(AO47-AO46)/((AO45-AO46))+AP46*(AO47-AO45)/((AO46-AO45))</f>
        <v>138.37424799999999</v>
      </c>
      <c r="AQ47" s="110" t="s">
        <v>28</v>
      </c>
      <c r="AR47" s="9">
        <f>$B$2</f>
        <v>6.0220000000000002</v>
      </c>
      <c r="AS47" s="11">
        <f>AS45*(AR47-AR46)/((AR45-AR46))+AS46*(AR47-AR45)/((AR46-AR45))</f>
        <v>133.22719999999998</v>
      </c>
    </row>
    <row r="48" spans="1:45">
      <c r="A48" s="100" t="s">
        <v>25</v>
      </c>
      <c r="B48" s="100">
        <f>COS(RADIANS(B47))</f>
        <v>0.65526833938609963</v>
      </c>
      <c r="D48"/>
      <c r="E48" s="1" t="s">
        <v>6</v>
      </c>
      <c r="F48" s="1" t="s">
        <v>14</v>
      </c>
      <c r="G48" s="14" t="s">
        <v>15</v>
      </c>
      <c r="I48" s="186">
        <v>80</v>
      </c>
      <c r="J48" s="186">
        <v>193.58</v>
      </c>
      <c r="K48" s="203">
        <f>(630-339)/8*4/1.2</f>
        <v>121.25</v>
      </c>
      <c r="L48" s="186">
        <v>199.68</v>
      </c>
      <c r="M48" s="186">
        <v>187.38</v>
      </c>
      <c r="N48" s="17"/>
      <c r="O48" s="100" t="s">
        <v>10</v>
      </c>
      <c r="P48" s="100">
        <v>-15</v>
      </c>
      <c r="Q48" s="100">
        <f>J54</f>
        <v>173.61</v>
      </c>
      <c r="R48" s="100" t="s">
        <v>10</v>
      </c>
      <c r="S48" s="100">
        <v>-15</v>
      </c>
      <c r="T48" s="100">
        <f>K54</f>
        <v>100.41666666666667</v>
      </c>
      <c r="U48" s="100" t="s">
        <v>10</v>
      </c>
      <c r="V48" s="100">
        <v>-15</v>
      </c>
      <c r="W48" s="100">
        <f>L54</f>
        <v>178.81</v>
      </c>
      <c r="X48" s="100" t="s">
        <v>10</v>
      </c>
      <c r="Y48" s="100">
        <v>-15</v>
      </c>
      <c r="Z48" s="100">
        <f>M54</f>
        <v>168.35</v>
      </c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</row>
    <row r="49" spans="1:45">
      <c r="A49" s="100" t="s">
        <v>26</v>
      </c>
      <c r="B49" s="100">
        <f>B5</f>
        <v>-1.8784359062401523</v>
      </c>
      <c r="D49" s="186">
        <v>80</v>
      </c>
      <c r="E49" s="100">
        <f>J38</f>
        <v>180.63</v>
      </c>
      <c r="F49" s="100">
        <v>180.98999999999998</v>
      </c>
      <c r="G49" s="186">
        <v>180.24</v>
      </c>
      <c r="I49" s="186">
        <v>70</v>
      </c>
      <c r="J49" s="186">
        <v>167.59</v>
      </c>
      <c r="K49" s="203">
        <f>(630-413)/8*4/1.2</f>
        <v>90.416666666666671</v>
      </c>
      <c r="L49" s="186">
        <v>172.28</v>
      </c>
      <c r="M49" s="186">
        <v>162.84</v>
      </c>
      <c r="N49" s="17"/>
      <c r="O49" s="100" t="s">
        <v>10</v>
      </c>
      <c r="P49" s="100">
        <v>-20</v>
      </c>
      <c r="Q49" s="100">
        <f>J59</f>
        <v>178.79</v>
      </c>
      <c r="R49" s="100" t="s">
        <v>10</v>
      </c>
      <c r="S49" s="100">
        <v>-20</v>
      </c>
      <c r="T49" s="100">
        <f>K59</f>
        <v>109.16666666666667</v>
      </c>
      <c r="U49" s="100" t="s">
        <v>10</v>
      </c>
      <c r="V49" s="100">
        <v>-20</v>
      </c>
      <c r="W49" s="100">
        <f>L59</f>
        <v>184.46</v>
      </c>
      <c r="X49" s="100" t="s">
        <v>10</v>
      </c>
      <c r="Y49" s="100">
        <v>-20</v>
      </c>
      <c r="Z49" s="100">
        <f>M59</f>
        <v>173.06</v>
      </c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</row>
    <row r="50" spans="1:45">
      <c r="D50" s="186">
        <v>70</v>
      </c>
      <c r="E50" s="100">
        <f>J39</f>
        <v>151.22</v>
      </c>
      <c r="F50" s="100">
        <v>151.47999999999999</v>
      </c>
      <c r="G50" s="186">
        <v>150.91999999999999</v>
      </c>
      <c r="I50" s="186">
        <v>60</v>
      </c>
      <c r="J50" s="186">
        <v>144.5</v>
      </c>
      <c r="K50" s="203">
        <f>(630-462)/8*4/1.2</f>
        <v>70</v>
      </c>
      <c r="L50" s="186">
        <v>148.24</v>
      </c>
      <c r="M50" s="186">
        <v>140.74</v>
      </c>
      <c r="N50" s="13"/>
      <c r="O50" s="100" t="s">
        <v>10</v>
      </c>
      <c r="P50" s="100">
        <v>-25</v>
      </c>
      <c r="Q50" s="100">
        <f>J64</f>
        <v>183.34</v>
      </c>
      <c r="R50" s="100" t="s">
        <v>10</v>
      </c>
      <c r="S50" s="100">
        <v>-25</v>
      </c>
      <c r="T50" s="100">
        <f>K64</f>
        <v>117.61904761904762</v>
      </c>
      <c r="U50" s="100" t="s">
        <v>10</v>
      </c>
      <c r="V50" s="100">
        <v>-25</v>
      </c>
      <c r="W50" s="100">
        <f>L64</f>
        <v>189.45</v>
      </c>
      <c r="X50" s="100" t="s">
        <v>10</v>
      </c>
      <c r="Y50" s="100">
        <v>-25</v>
      </c>
      <c r="Z50" s="100">
        <f>M64</f>
        <v>177.16</v>
      </c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</row>
    <row r="51" spans="1:45">
      <c r="A51" s="100" t="s">
        <v>32</v>
      </c>
      <c r="B51" s="23">
        <f>$B$3*SIN(RADIANS($B$4))</f>
        <v>0.95798784374570456</v>
      </c>
      <c r="D51" s="186">
        <v>60</v>
      </c>
      <c r="E51" s="100">
        <f>J40</f>
        <v>125.14</v>
      </c>
      <c r="F51" s="100">
        <v>125.33</v>
      </c>
      <c r="G51" s="186">
        <v>124.94</v>
      </c>
      <c r="N51" s="13"/>
      <c r="O51" s="100" t="s">
        <v>11</v>
      </c>
      <c r="P51" s="9">
        <f>$B$2</f>
        <v>6.0220000000000002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135.92816964299988</v>
      </c>
      <c r="R51" s="100" t="s">
        <v>11</v>
      </c>
      <c r="S51" s="9">
        <f>$B$2</f>
        <v>6.0220000000000002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39.161547033068501</v>
      </c>
      <c r="U51" s="100" t="s">
        <v>11</v>
      </c>
      <c r="V51" s="9">
        <f>$B$2</f>
        <v>6.0220000000000002</v>
      </c>
      <c r="W51" s="100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138.59761290243239</v>
      </c>
      <c r="X51" s="100" t="s">
        <v>11</v>
      </c>
      <c r="Y51" s="9">
        <f>$B$2</f>
        <v>6.0220000000000002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133.45398571847136</v>
      </c>
    </row>
    <row r="52" spans="1:45">
      <c r="A52" s="100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1" t="s">
        <v>12</v>
      </c>
      <c r="R52" s="1"/>
      <c r="S52" s="1"/>
      <c r="T52" s="1" t="s">
        <v>13</v>
      </c>
      <c r="U52" s="1"/>
      <c r="V52" s="1"/>
      <c r="W52" s="1" t="s">
        <v>8</v>
      </c>
      <c r="X52" s="1"/>
      <c r="Y52" s="1"/>
      <c r="Z52" s="1" t="s">
        <v>9</v>
      </c>
      <c r="AJ52" s="1" t="s">
        <v>12</v>
      </c>
      <c r="AK52" s="1"/>
      <c r="AL52" s="1"/>
      <c r="AM52" s="1" t="s">
        <v>13</v>
      </c>
      <c r="AN52" s="1"/>
      <c r="AO52" s="1"/>
      <c r="AP52" s="1" t="s">
        <v>8</v>
      </c>
      <c r="AQ52" s="1"/>
      <c r="AR52" s="1"/>
      <c r="AS52" s="1" t="s">
        <v>9</v>
      </c>
    </row>
    <row r="53" spans="1:45">
      <c r="D53"/>
      <c r="F53" s="1" t="s">
        <v>38</v>
      </c>
      <c r="I53" s="186">
        <v>80</v>
      </c>
      <c r="J53" s="186">
        <v>198.61</v>
      </c>
      <c r="K53" s="203">
        <f>(630-315)/8*4/1.2</f>
        <v>131.25</v>
      </c>
      <c r="L53" s="186">
        <v>205.22</v>
      </c>
      <c r="M53" s="186">
        <v>191.9</v>
      </c>
      <c r="N53" s="13"/>
      <c r="O53" s="100" t="s">
        <v>10</v>
      </c>
      <c r="P53" s="100">
        <v>0</v>
      </c>
      <c r="Q53" s="100">
        <f>J40</f>
        <v>125.14</v>
      </c>
      <c r="R53" s="100" t="s">
        <v>10</v>
      </c>
      <c r="S53" s="100">
        <v>0</v>
      </c>
      <c r="T53" s="100">
        <f>K40</f>
        <v>47.777777777777779</v>
      </c>
      <c r="U53" s="100" t="s">
        <v>10</v>
      </c>
      <c r="V53" s="100">
        <v>0</v>
      </c>
      <c r="W53" s="100">
        <f>L40</f>
        <v>127.69</v>
      </c>
      <c r="X53" s="100" t="s">
        <v>10</v>
      </c>
      <c r="Y53" s="100">
        <v>0</v>
      </c>
      <c r="Z53" s="100">
        <f>M40</f>
        <v>122.58</v>
      </c>
      <c r="AH53" s="110" t="s">
        <v>27</v>
      </c>
      <c r="AI53" s="110">
        <v>0</v>
      </c>
      <c r="AJ53" s="110">
        <f>AC40</f>
        <v>125.14</v>
      </c>
      <c r="AK53" s="110" t="s">
        <v>27</v>
      </c>
      <c r="AL53" s="110">
        <v>0</v>
      </c>
      <c r="AM53" s="110">
        <f>AD40</f>
        <v>47.5</v>
      </c>
      <c r="AN53" s="110" t="s">
        <v>27</v>
      </c>
      <c r="AO53" s="110">
        <v>0</v>
      </c>
      <c r="AP53" s="110">
        <f>AE40</f>
        <v>127.69</v>
      </c>
      <c r="AQ53" s="110" t="s">
        <v>27</v>
      </c>
      <c r="AR53" s="110">
        <v>0</v>
      </c>
      <c r="AS53" s="110">
        <f>AF40</f>
        <v>122.58</v>
      </c>
    </row>
    <row r="54" spans="1:45">
      <c r="A54" s="100" t="s">
        <v>31</v>
      </c>
      <c r="B54" s="100" t="s">
        <v>35</v>
      </c>
      <c r="D54" s="186">
        <v>80</v>
      </c>
      <c r="E54" s="100">
        <f>E49</f>
        <v>180.63</v>
      </c>
      <c r="F54" s="11">
        <f>E49*((D49-(100/360))-D50)*((D49-(100/360))-D51)/((D49-D50)*(D49-D51))+E50*((D49-(100/360))-D49)*((D49-(100/360))-D51)/((D50-D49)*(D50-D51))+E51*((D49-(100/360))-D49)*((D49-(100/360))-D50)/((D51-D49)*(D51-D50))</f>
        <v>179.76809027777782</v>
      </c>
      <c r="G54" s="186">
        <v>180.24</v>
      </c>
      <c r="I54" s="186">
        <v>70</v>
      </c>
      <c r="J54" s="186">
        <v>173.61</v>
      </c>
      <c r="K54" s="203">
        <f>(630-389)/8*4/1.2</f>
        <v>100.41666666666667</v>
      </c>
      <c r="L54" s="186">
        <v>178.81</v>
      </c>
      <c r="M54" s="186">
        <v>168.35</v>
      </c>
      <c r="N54" s="13"/>
      <c r="O54" s="100" t="s">
        <v>10</v>
      </c>
      <c r="P54" s="100">
        <v>-5</v>
      </c>
      <c r="Q54" s="100">
        <f>J45</f>
        <v>136.18</v>
      </c>
      <c r="R54" s="100" t="s">
        <v>10</v>
      </c>
      <c r="S54" s="100">
        <v>-5</v>
      </c>
      <c r="T54" s="100">
        <f>K45</f>
        <v>59.629629629629633</v>
      </c>
      <c r="U54" s="100" t="s">
        <v>10</v>
      </c>
      <c r="V54" s="100">
        <v>-5</v>
      </c>
      <c r="W54" s="100">
        <f>L45</f>
        <v>139.36000000000001</v>
      </c>
      <c r="X54" s="100" t="s">
        <v>10</v>
      </c>
      <c r="Y54" s="100">
        <v>-5</v>
      </c>
      <c r="Z54" s="100">
        <f>M45</f>
        <v>132.97</v>
      </c>
      <c r="AH54" s="110" t="s">
        <v>27</v>
      </c>
      <c r="AI54" s="110">
        <v>5</v>
      </c>
      <c r="AJ54" s="110">
        <f>AC45</f>
        <v>107.56</v>
      </c>
      <c r="AK54" s="110" t="s">
        <v>27</v>
      </c>
      <c r="AL54" s="110">
        <v>5</v>
      </c>
      <c r="AM54" s="110">
        <f>AD45</f>
        <v>32.5</v>
      </c>
      <c r="AN54" s="110" t="s">
        <v>27</v>
      </c>
      <c r="AO54" s="110">
        <v>5</v>
      </c>
      <c r="AP54" s="110">
        <f>AE45</f>
        <v>109.25</v>
      </c>
      <c r="AQ54" s="110" t="s">
        <v>27</v>
      </c>
      <c r="AR54" s="110">
        <v>5</v>
      </c>
      <c r="AS54" s="110">
        <f>AF45</f>
        <v>105.85</v>
      </c>
    </row>
    <row r="55" spans="1:45">
      <c r="A55" s="22">
        <f>(F59*($E$8-E60)*($E$8-E61)/((E59-E60)*(E59-E61))+F60*($E$8-E59)*($E$8-E61)/((E60-E59)*(E60-E61))+F61*($E$8-E59)*($E$8-E60)/((E61-E59)*(E61-E60)))</f>
        <v>191.67082784321053</v>
      </c>
      <c r="B55" s="23">
        <f>(B51*A55+(A56*B49))/($E$8*(44/17.5))</f>
        <v>-0.28455434279825215</v>
      </c>
      <c r="D55" s="186">
        <v>70</v>
      </c>
      <c r="E55" s="100">
        <f>E50</f>
        <v>151.22</v>
      </c>
      <c r="F55" s="11">
        <f>E49*((D50-(100/360))-D50)*((D50-(100/360))-D51)/((D49-D50)*(D49-D51))+E50*((D50-(100/360))-D49)*((D50-(100/360))-D51)/((D50-D49)*(D50-D51))+E51*((D50-(100/360))-D49)*((D50-(100/360))-D50)/((D51-D49)*(D51-D50))</f>
        <v>150.45059027777779</v>
      </c>
      <c r="G55" s="186">
        <v>150.91999999999999</v>
      </c>
      <c r="I55" s="186">
        <v>60</v>
      </c>
      <c r="J55" s="186">
        <v>151.28</v>
      </c>
      <c r="K55" s="203">
        <f>(630-440)/8*4/1.2</f>
        <v>79.166666666666671</v>
      </c>
      <c r="L55" s="186">
        <v>155.5</v>
      </c>
      <c r="M55" s="186">
        <v>147.01</v>
      </c>
      <c r="N55" s="16"/>
      <c r="O55" s="100" t="s">
        <v>10</v>
      </c>
      <c r="P55" s="100">
        <v>-10</v>
      </c>
      <c r="Q55" s="100">
        <f>J50</f>
        <v>144.5</v>
      </c>
      <c r="R55" s="100" t="s">
        <v>10</v>
      </c>
      <c r="S55" s="100">
        <v>-10</v>
      </c>
      <c r="T55" s="100">
        <f>K50</f>
        <v>70</v>
      </c>
      <c r="U55" s="100" t="s">
        <v>10</v>
      </c>
      <c r="V55" s="100">
        <v>-10</v>
      </c>
      <c r="W55" s="100">
        <f>L50</f>
        <v>148.24</v>
      </c>
      <c r="X55" s="100" t="s">
        <v>10</v>
      </c>
      <c r="Y55" s="100">
        <v>-10</v>
      </c>
      <c r="Z55" s="100">
        <f>M50</f>
        <v>140.74</v>
      </c>
      <c r="AH55" s="110" t="s">
        <v>28</v>
      </c>
      <c r="AI55" s="9">
        <f>$B$2</f>
        <v>6.0220000000000002</v>
      </c>
      <c r="AJ55" s="11">
        <f>AJ53*(AI55-AI54)/((AI53-AI54))+AJ54*(AI55-AI53)/((AI54-AI53))</f>
        <v>103.96664799999999</v>
      </c>
      <c r="AK55" s="110" t="s">
        <v>28</v>
      </c>
      <c r="AL55" s="9">
        <f>$B$2</f>
        <v>6.0220000000000002</v>
      </c>
      <c r="AM55" s="11">
        <f>AM53*(AL55-AL54)/((AL53-AL54))+AM54*(AL55-AL53)/((AL54-AL53))</f>
        <v>29.433999999999997</v>
      </c>
      <c r="AN55" s="110" t="s">
        <v>28</v>
      </c>
      <c r="AO55" s="9">
        <f>$B$2</f>
        <v>6.0220000000000002</v>
      </c>
      <c r="AP55" s="11">
        <f>AP53*(AO55-AO54)/((AO53-AO54))+AP54*(AO55-AO53)/((AO54-AO53))</f>
        <v>105.480864</v>
      </c>
      <c r="AQ55" s="110" t="s">
        <v>28</v>
      </c>
      <c r="AR55" s="9">
        <f>$B$2</f>
        <v>6.0220000000000002</v>
      </c>
      <c r="AS55" s="11">
        <f>AS53*(AR55-AR54)/((AR53-AR54))+AS54*(AR55-AR53)/((AR54-AR53))</f>
        <v>102.43038799999999</v>
      </c>
    </row>
    <row r="56" spans="1:45">
      <c r="A56" s="22">
        <f>A55*1</f>
        <v>191.67082784321053</v>
      </c>
      <c r="D56" s="186">
        <v>60</v>
      </c>
      <c r="E56" s="100">
        <f>E51</f>
        <v>125.14</v>
      </c>
      <c r="F56" s="11">
        <f>E49*((D51-(100/360))-D50)*((D51-(100/360))-D51)/((D49-D50)*(D49-D51))+E50*((D51-(100/360))-D49)*((D51-(100/360))-D51)/((D50-D49)*(D50-D51))+E51*((D51-(100/360))-D49)*((D51-(100/360))-D50)/((D51-D49)*(D51-D50))</f>
        <v>124.46309027777778</v>
      </c>
      <c r="G56" s="186">
        <v>124.94</v>
      </c>
      <c r="N56" s="16"/>
      <c r="O56" s="100" t="s">
        <v>10</v>
      </c>
      <c r="P56" s="100">
        <v>-15</v>
      </c>
      <c r="Q56" s="100">
        <f>J55</f>
        <v>151.28</v>
      </c>
      <c r="R56" s="100" t="s">
        <v>10</v>
      </c>
      <c r="S56" s="100">
        <v>-15</v>
      </c>
      <c r="T56" s="100">
        <f>K55</f>
        <v>79.166666666666671</v>
      </c>
      <c r="U56" s="100" t="s">
        <v>10</v>
      </c>
      <c r="V56" s="100">
        <v>-15</v>
      </c>
      <c r="W56" s="100">
        <f>L55</f>
        <v>155.5</v>
      </c>
      <c r="X56" s="100" t="s">
        <v>10</v>
      </c>
      <c r="Y56" s="100">
        <v>-15</v>
      </c>
      <c r="Z56" s="100">
        <f>M55</f>
        <v>147.01</v>
      </c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100" t="s">
        <v>10</v>
      </c>
      <c r="P57" s="100">
        <v>-20</v>
      </c>
      <c r="Q57" s="100">
        <f>J60</f>
        <v>157.01</v>
      </c>
      <c r="R57" s="100" t="s">
        <v>10</v>
      </c>
      <c r="S57" s="100">
        <v>-20</v>
      </c>
      <c r="T57" s="100">
        <f>K60</f>
        <v>87.916666666666671</v>
      </c>
      <c r="U57" s="100" t="s">
        <v>10</v>
      </c>
      <c r="V57" s="100">
        <v>-20</v>
      </c>
      <c r="W57" s="100">
        <f>L60</f>
        <v>161.69</v>
      </c>
      <c r="X57" s="100" t="s">
        <v>10</v>
      </c>
      <c r="Y57" s="100">
        <v>-20</v>
      </c>
      <c r="Z57" s="100">
        <f>M60</f>
        <v>152.28</v>
      </c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</row>
    <row r="58" spans="1:45">
      <c r="A58" s="100" t="s">
        <v>36</v>
      </c>
      <c r="B58" s="23">
        <f>$B$3*SIN(RADIANS($B$4+B55*0.707))</f>
        <v>0.9589889942124582</v>
      </c>
      <c r="D58"/>
      <c r="E58" s="1" t="s">
        <v>6</v>
      </c>
      <c r="F58" s="1" t="s">
        <v>7</v>
      </c>
      <c r="G58" s="1" t="s">
        <v>29</v>
      </c>
      <c r="H58" s="1" t="s">
        <v>30</v>
      </c>
      <c r="I58" s="186">
        <v>80</v>
      </c>
      <c r="J58" s="186">
        <v>203.03</v>
      </c>
      <c r="K58" s="203">
        <f>(630-293)/8*4/1.2</f>
        <v>140.41666666666669</v>
      </c>
      <c r="L58" s="186">
        <v>210.12</v>
      </c>
      <c r="M58" s="186">
        <v>195.83</v>
      </c>
      <c r="O58" s="100" t="s">
        <v>10</v>
      </c>
      <c r="P58" s="100">
        <v>-25</v>
      </c>
      <c r="Q58" s="100">
        <f>J65</f>
        <v>161.99</v>
      </c>
      <c r="R58" s="100" t="s">
        <v>10</v>
      </c>
      <c r="S58" s="100">
        <v>-25</v>
      </c>
      <c r="T58" s="100">
        <f>K65</f>
        <v>96.19047619047619</v>
      </c>
      <c r="U58" s="100" t="s">
        <v>10</v>
      </c>
      <c r="V58" s="100">
        <v>-25</v>
      </c>
      <c r="W58" s="100">
        <f>L65</f>
        <v>167.1</v>
      </c>
      <c r="X58" s="100" t="s">
        <v>10</v>
      </c>
      <c r="Y58" s="100">
        <v>-25</v>
      </c>
      <c r="Z58" s="100">
        <f>M65</f>
        <v>156.83000000000001</v>
      </c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</row>
    <row r="59" spans="1:45">
      <c r="A59" s="100" t="s">
        <v>37</v>
      </c>
      <c r="B59" s="23">
        <f>$B$3*COS(RADIANS($B$4+B55*0.5))</f>
        <v>-0.28442904394189139</v>
      </c>
      <c r="D59" s="186">
        <v>80</v>
      </c>
      <c r="E59" s="100">
        <f>IF($B$2&gt;0,AJ39,Q43)</f>
        <v>169.77835600000003</v>
      </c>
      <c r="F59" s="100">
        <f>IF($B$2&gt;0,AM39,T43)</f>
        <v>82.236814814814807</v>
      </c>
      <c r="G59" s="100">
        <f>IF($B$2&gt;0,AP39,W43)</f>
        <v>173.83118799999997</v>
      </c>
      <c r="H59" s="22">
        <f>IF($B$2&gt;0,AS39,Z43)</f>
        <v>165.657568</v>
      </c>
      <c r="I59" s="186">
        <v>70</v>
      </c>
      <c r="J59" s="186">
        <v>178.79</v>
      </c>
      <c r="K59" s="203">
        <f>(630-368)/8*4/1.2</f>
        <v>109.16666666666667</v>
      </c>
      <c r="L59" s="186">
        <v>184.46</v>
      </c>
      <c r="M59" s="186">
        <v>173.06</v>
      </c>
      <c r="O59" s="100" t="s">
        <v>11</v>
      </c>
      <c r="P59" s="9">
        <f>$B$2</f>
        <v>6.0220000000000002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104.75545691360901</v>
      </c>
      <c r="R59" s="100" t="s">
        <v>11</v>
      </c>
      <c r="S59" s="9">
        <f>$B$2</f>
        <v>6.0220000000000002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34.00519161701294</v>
      </c>
      <c r="U59" s="100" t="s">
        <v>11</v>
      </c>
      <c r="V59" s="9">
        <f>$B$2</f>
        <v>6.0220000000000002</v>
      </c>
      <c r="W59" s="100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106.78945223627193</v>
      </c>
      <c r="X59" s="100" t="s">
        <v>11</v>
      </c>
      <c r="Y59" s="9">
        <f>$B$2</f>
        <v>6.0220000000000002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103.45560149067936</v>
      </c>
    </row>
    <row r="60" spans="1:45">
      <c r="D60" s="186">
        <v>70</v>
      </c>
      <c r="E60" s="100">
        <f>IF($B$2&gt;0,AJ47,Q51)</f>
        <v>135.81572400000002</v>
      </c>
      <c r="F60" s="100">
        <f>IF($B$2&gt;0,AM47,T51)</f>
        <v>50.267333333333333</v>
      </c>
      <c r="G60" s="100">
        <f>IF($B$2&gt;0,AP47,W51)</f>
        <v>138.37424799999999</v>
      </c>
      <c r="H60" s="22">
        <f>IF($B$2&gt;0,AS47,Z51)</f>
        <v>133.22719999999998</v>
      </c>
      <c r="I60" s="186">
        <v>60</v>
      </c>
      <c r="J60" s="186">
        <v>157.01</v>
      </c>
      <c r="K60" s="203">
        <f>(630-419)/8*4/1.2</f>
        <v>87.916666666666671</v>
      </c>
      <c r="L60" s="186">
        <v>161.69</v>
      </c>
      <c r="M60" s="186">
        <v>152.28</v>
      </c>
    </row>
    <row r="61" spans="1:45">
      <c r="A61" s="235" t="s">
        <v>39</v>
      </c>
      <c r="B61" s="236"/>
      <c r="D61" s="186">
        <v>60</v>
      </c>
      <c r="E61" s="100">
        <f>IF($B$2&gt;0,AJ55,Q59)</f>
        <v>103.96664799999999</v>
      </c>
      <c r="F61" s="100">
        <f>IF($B$2&gt;0,AM55,T59)</f>
        <v>29.433999999999997</v>
      </c>
      <c r="G61" s="100">
        <f>IF($B$2&gt;0,AP55,W59)</f>
        <v>105.480864</v>
      </c>
      <c r="H61" s="22">
        <f>IF($B$2&gt;0,AS55,Z59)</f>
        <v>102.43038799999999</v>
      </c>
    </row>
    <row r="62" spans="1:45">
      <c r="A62" s="100">
        <f>F54*(E46-E55)*(E46-E56)/((E54-E55)*(E54-E56))+F55*(E46-E54)*(E46-E56)/((E55-E54)*(E55-E56))+F56*(E46-E54)*(E46-E55)/((E56-E54)*(E56-E55))</f>
        <v>256.86647098352364</v>
      </c>
      <c r="B62" s="100">
        <f>G54*(E46-E55)*(E46-E56)/((E54-E55)*(E54-E56))+G55*(E46-E54)*(E46-E56)/((E55-E54)*(E55-E56))+G56*(E46-E54)*(E46-E55)/((E56-E54)*(E56-E55))</f>
        <v>257.40031245114574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1"/>
      <c r="Z62" s="1"/>
    </row>
    <row r="63" spans="1:45">
      <c r="D63"/>
      <c r="E63" s="235" t="s">
        <v>144</v>
      </c>
      <c r="F63" s="236"/>
      <c r="G63" s="12"/>
      <c r="H63" s="12"/>
      <c r="I63" s="186">
        <v>80</v>
      </c>
      <c r="J63" s="186">
        <v>206.96</v>
      </c>
      <c r="K63" s="203">
        <f>(630-317)/7*4/1.2</f>
        <v>149.04761904761907</v>
      </c>
      <c r="L63" s="186">
        <v>214.5</v>
      </c>
      <c r="M63" s="186">
        <v>199.3</v>
      </c>
    </row>
    <row r="64" spans="1:45">
      <c r="A64" s="100" t="s">
        <v>41</v>
      </c>
      <c r="B64" s="100" t="s">
        <v>42</v>
      </c>
      <c r="D64"/>
      <c r="E64" s="186">
        <v>80</v>
      </c>
      <c r="F64" s="11">
        <f>E59*(B59-9)*(B59--9)/((0-9)*(0--9))+G59*(B59-0)*(B59--9)/((9-0)*(9--9))+H59*(B59-0)*(B59-9)/((-9-0)*(-9-9))</f>
        <v>169.64916567943453</v>
      </c>
      <c r="G64" s="12"/>
      <c r="H64" s="12"/>
      <c r="I64" s="186">
        <v>70</v>
      </c>
      <c r="J64" s="186">
        <v>183.34</v>
      </c>
      <c r="K64" s="203">
        <f>(630-383)/7*4/1.2</f>
        <v>117.61904761904762</v>
      </c>
      <c r="L64" s="186">
        <v>189.45</v>
      </c>
      <c r="M64" s="186">
        <v>177.16</v>
      </c>
    </row>
    <row r="65" spans="1:45">
      <c r="A65" s="23">
        <f>E64*(E46-F65)*(E46-F66)/((F64-F65)*(F64-F66))+E65*(E46-F64)*(E46-F66)/((F65-F64)*(F65-F66))+E66*(E46-F64)*(E46-F65)/((F66-F64)*(F66-F65))</f>
        <v>102.83367561539296</v>
      </c>
      <c r="B65" s="24">
        <f>(F59*(A65-D60)*(A65-D61)/((D59-D60)*(D59-D61))+F60*(A65-D59)*(A65-D61)/((D60-D59)*(D60-D61))+F61*(A65-D59)*(A65-D60)/((D61-D59)*(D61-D60)))*(B58+(B49*(A56/A55))*(A65/100))</f>
        <v>-191.59716638213777</v>
      </c>
      <c r="D65"/>
      <c r="E65" s="186">
        <v>70</v>
      </c>
      <c r="F65" s="11">
        <f>E60*(B59-9)*(B59--9)/((0-9)*(0--9))+G60*(B59-0)*(B59--9)/((9-0)*(9--9))+H60*(B59-0)*(B59-9)/((-9-0)*(-9-9))</f>
        <v>135.73437735510933</v>
      </c>
      <c r="G65" s="12"/>
      <c r="H65" s="12"/>
      <c r="I65" s="163">
        <v>60</v>
      </c>
      <c r="J65" s="163">
        <v>161.99</v>
      </c>
      <c r="K65" s="203">
        <f>(630-428)/7*4/1.2</f>
        <v>96.19047619047619</v>
      </c>
      <c r="L65" s="163">
        <v>167.1</v>
      </c>
      <c r="M65" s="163">
        <v>156.83000000000001</v>
      </c>
    </row>
    <row r="66" spans="1:45">
      <c r="A66" s="100" t="s">
        <v>44</v>
      </c>
      <c r="B66" s="100" t="s">
        <v>43</v>
      </c>
      <c r="D66"/>
      <c r="E66" s="186">
        <v>60</v>
      </c>
      <c r="F66" s="11">
        <f>E61*(B59-9)*(B59--9)/((0-9)*(0--9))+G61*(B59-0)*(B59--9)/((9-0)*(9--9))+H61*(B59-0)*(B59-9)/((-9-0)*(-9-9))</f>
        <v>103.91843454872092</v>
      </c>
    </row>
    <row r="67" spans="1:45">
      <c r="A67" s="25">
        <f>(360-ROUNDDOWN((1-(A65/100))*360,0))*276/360</f>
        <v>283.66666666666669</v>
      </c>
      <c r="B67" s="11">
        <f>MOD((A65/100)*-360,1)*-(($E$10-A62)/($E$10-B62))+11</f>
        <v>9.5033254903134843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256.96582126196961</v>
      </c>
    </row>
    <row r="68" spans="1:45">
      <c r="D68"/>
      <c r="P68" s="14"/>
      <c r="T68" s="14"/>
    </row>
    <row r="69" spans="1:45">
      <c r="D69"/>
      <c r="P69" s="14"/>
      <c r="T69" s="14"/>
    </row>
    <row r="70" spans="1:45">
      <c r="D70"/>
      <c r="P70" s="14"/>
      <c r="T70" s="14"/>
    </row>
    <row r="71" spans="1:45">
      <c r="D71"/>
      <c r="Q71" s="1" t="s">
        <v>12</v>
      </c>
      <c r="R71" s="1"/>
      <c r="S71" s="1"/>
      <c r="T71" s="1" t="s">
        <v>13</v>
      </c>
      <c r="U71" s="1"/>
      <c r="V71" s="1"/>
      <c r="W71" s="1" t="s">
        <v>8</v>
      </c>
      <c r="X71" s="1"/>
      <c r="Y71" s="1"/>
      <c r="Z71" s="1" t="s">
        <v>9</v>
      </c>
      <c r="AJ71" s="1" t="s">
        <v>12</v>
      </c>
      <c r="AK71" s="1"/>
      <c r="AL71" s="1"/>
      <c r="AM71" s="1" t="s">
        <v>13</v>
      </c>
      <c r="AN71" s="1"/>
      <c r="AO71" s="1"/>
      <c r="AP71" s="1" t="s">
        <v>8</v>
      </c>
      <c r="AQ71" s="1"/>
      <c r="AR71" s="1"/>
      <c r="AS71" s="1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107" t="s">
        <v>10</v>
      </c>
      <c r="P72" s="107">
        <v>0</v>
      </c>
      <c r="Q72" s="107">
        <f>J73</f>
        <v>125.14</v>
      </c>
      <c r="R72" s="107" t="s">
        <v>10</v>
      </c>
      <c r="S72" s="107">
        <v>0</v>
      </c>
      <c r="T72" s="107">
        <f>K73</f>
        <v>47.777777777777779</v>
      </c>
      <c r="U72" s="107" t="s">
        <v>10</v>
      </c>
      <c r="V72" s="107">
        <v>0</v>
      </c>
      <c r="W72" s="107">
        <f>L73</f>
        <v>127.69</v>
      </c>
      <c r="X72" s="107" t="s">
        <v>10</v>
      </c>
      <c r="Y72" s="107">
        <v>0</v>
      </c>
      <c r="Z72" s="107">
        <f>M73</f>
        <v>122.58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110" t="s">
        <v>27</v>
      </c>
      <c r="AI72" s="110">
        <v>0</v>
      </c>
      <c r="AJ72" s="110">
        <f>AC73</f>
        <v>125.14</v>
      </c>
      <c r="AK72" s="110" t="s">
        <v>27</v>
      </c>
      <c r="AL72" s="110">
        <v>0</v>
      </c>
      <c r="AM72" s="110">
        <f>AD73</f>
        <v>47.777777777777779</v>
      </c>
      <c r="AN72" s="110" t="s">
        <v>27</v>
      </c>
      <c r="AO72" s="110">
        <v>0</v>
      </c>
      <c r="AP72" s="110">
        <f>AE73</f>
        <v>127.69</v>
      </c>
      <c r="AQ72" s="110" t="s">
        <v>27</v>
      </c>
      <c r="AR72" s="110">
        <v>0</v>
      </c>
      <c r="AS72" s="110">
        <f>AF73</f>
        <v>122.58</v>
      </c>
    </row>
    <row r="73" spans="1:45">
      <c r="D73"/>
      <c r="F73" s="239" t="s">
        <v>218</v>
      </c>
      <c r="G73" s="239"/>
      <c r="H73" s="239"/>
      <c r="I73" s="163">
        <v>60</v>
      </c>
      <c r="J73" s="163">
        <v>125.14</v>
      </c>
      <c r="K73" s="203">
        <f>(630-501)/9*4/1.2</f>
        <v>47.777777777777779</v>
      </c>
      <c r="L73" s="163">
        <v>127.69</v>
      </c>
      <c r="M73" s="163">
        <v>122.58</v>
      </c>
      <c r="O73" s="107" t="s">
        <v>10</v>
      </c>
      <c r="P73" s="107">
        <v>-5</v>
      </c>
      <c r="Q73" s="107">
        <f>J78</f>
        <v>136.18</v>
      </c>
      <c r="R73" s="107" t="s">
        <v>10</v>
      </c>
      <c r="S73" s="107">
        <v>-5</v>
      </c>
      <c r="T73" s="107">
        <f>K78</f>
        <v>59.629629629629633</v>
      </c>
      <c r="U73" s="107" t="s">
        <v>10</v>
      </c>
      <c r="V73" s="107">
        <v>-5</v>
      </c>
      <c r="W73" s="107">
        <f>L78</f>
        <v>139.36000000000001</v>
      </c>
      <c r="X73" s="107" t="s">
        <v>10</v>
      </c>
      <c r="Y73" s="107">
        <v>-5</v>
      </c>
      <c r="Z73" s="107">
        <f>M78</f>
        <v>132.97</v>
      </c>
      <c r="AB73" s="163">
        <v>60</v>
      </c>
      <c r="AC73" s="107">
        <f>J73</f>
        <v>125.14</v>
      </c>
      <c r="AD73" s="107">
        <f t="shared" ref="AD73:AD75" si="5">K73</f>
        <v>47.777777777777779</v>
      </c>
      <c r="AE73" s="107">
        <f t="shared" ref="AE73:AE75" si="6">L73</f>
        <v>127.69</v>
      </c>
      <c r="AF73" s="107">
        <f t="shared" ref="AF73:AF75" si="7">M73</f>
        <v>122.58</v>
      </c>
      <c r="AH73" s="110" t="s">
        <v>27</v>
      </c>
      <c r="AI73" s="110">
        <v>5</v>
      </c>
      <c r="AJ73" s="110">
        <f>AC78</f>
        <v>107.56</v>
      </c>
      <c r="AK73" s="110" t="s">
        <v>27</v>
      </c>
      <c r="AL73" s="110">
        <v>5</v>
      </c>
      <c r="AM73" s="110">
        <f>AD78</f>
        <v>32.5</v>
      </c>
      <c r="AN73" s="110" t="s">
        <v>27</v>
      </c>
      <c r="AO73" s="110">
        <v>5</v>
      </c>
      <c r="AP73" s="110">
        <f>AE78</f>
        <v>109.25</v>
      </c>
      <c r="AQ73" s="110" t="s">
        <v>27</v>
      </c>
      <c r="AR73" s="110">
        <v>5</v>
      </c>
      <c r="AS73" s="110">
        <f>AF78</f>
        <v>105.85</v>
      </c>
    </row>
    <row r="74" spans="1:45">
      <c r="F74" s="239"/>
      <c r="G74" s="239"/>
      <c r="H74" s="239"/>
      <c r="I74" s="163">
        <v>50</v>
      </c>
      <c r="J74" s="163">
        <v>102.09</v>
      </c>
      <c r="K74" s="203">
        <f>(630-537)/9*4/1.2</f>
        <v>34.44444444444445</v>
      </c>
      <c r="L74" s="163">
        <v>103.97</v>
      </c>
      <c r="M74" s="163">
        <v>100.09</v>
      </c>
      <c r="N74" s="16"/>
      <c r="O74" s="107" t="s">
        <v>10</v>
      </c>
      <c r="P74" s="107">
        <v>-10</v>
      </c>
      <c r="Q74" s="107">
        <f>J83</f>
        <v>144.5</v>
      </c>
      <c r="R74" s="107" t="s">
        <v>10</v>
      </c>
      <c r="S74" s="107">
        <v>-10</v>
      </c>
      <c r="T74" s="107">
        <f>K83</f>
        <v>70</v>
      </c>
      <c r="U74" s="107" t="s">
        <v>10</v>
      </c>
      <c r="V74" s="107">
        <v>-10</v>
      </c>
      <c r="W74" s="107">
        <f>L83</f>
        <v>148.24</v>
      </c>
      <c r="X74" s="107" t="s">
        <v>10</v>
      </c>
      <c r="Y74" s="107">
        <v>-10</v>
      </c>
      <c r="Z74" s="107">
        <f>M83</f>
        <v>140.74</v>
      </c>
      <c r="AB74" s="163">
        <v>50</v>
      </c>
      <c r="AC74" s="107">
        <f t="shared" ref="AC74:AC75" si="8">J74</f>
        <v>102.09</v>
      </c>
      <c r="AD74" s="107">
        <f t="shared" si="5"/>
        <v>34.44444444444445</v>
      </c>
      <c r="AE74" s="107">
        <f t="shared" si="6"/>
        <v>103.97</v>
      </c>
      <c r="AF74" s="107">
        <f t="shared" si="7"/>
        <v>100.09</v>
      </c>
      <c r="AH74" s="110" t="s">
        <v>28</v>
      </c>
      <c r="AI74" s="9">
        <f>$B$2</f>
        <v>6.0220000000000002</v>
      </c>
      <c r="AJ74" s="11">
        <f>AJ72*(AI74-AI73)/((AI72-AI73))+AJ73*(AI74-AI72)/((AI73-AI72))</f>
        <v>103.96664799999999</v>
      </c>
      <c r="AK74" s="110" t="s">
        <v>28</v>
      </c>
      <c r="AL74" s="9">
        <f>$B$2</f>
        <v>6.0220000000000002</v>
      </c>
      <c r="AM74" s="11">
        <f>AM72*(AL74-AL73)/((AL72-AL73))+AM73*(AL74-AL72)/((AL73-AL72))</f>
        <v>29.377222222222219</v>
      </c>
      <c r="AN74" s="110" t="s">
        <v>28</v>
      </c>
      <c r="AO74" s="9">
        <f>$B$2</f>
        <v>6.0220000000000002</v>
      </c>
      <c r="AP74" s="11">
        <f>AP72*(AO74-AO73)/((AO72-AO73))+AP73*(AO74-AO72)/((AO73-AO72))</f>
        <v>105.480864</v>
      </c>
      <c r="AQ74" s="110" t="s">
        <v>28</v>
      </c>
      <c r="AR74" s="9">
        <f>$B$2</f>
        <v>6.0220000000000002</v>
      </c>
      <c r="AS74" s="11">
        <f>AS72*(AR74-AR73)/((AR72-AR73))+AS73*(AR74-AR72)/((AR73-AR72))</f>
        <v>102.43038799999999</v>
      </c>
    </row>
    <row r="75" spans="1:45">
      <c r="F75" s="239"/>
      <c r="G75" s="239"/>
      <c r="H75" s="239"/>
      <c r="I75" s="163">
        <v>40</v>
      </c>
      <c r="J75" s="163">
        <v>81.36</v>
      </c>
      <c r="K75" s="203">
        <f>(630-563)/9*4/1.2</f>
        <v>24.814814814814817</v>
      </c>
      <c r="L75" s="163">
        <v>82.76</v>
      </c>
      <c r="M75" s="163">
        <v>79.94</v>
      </c>
      <c r="N75" s="16"/>
      <c r="O75" s="107" t="s">
        <v>10</v>
      </c>
      <c r="P75" s="107">
        <v>-15</v>
      </c>
      <c r="Q75" s="107">
        <f>J88</f>
        <v>151.28</v>
      </c>
      <c r="R75" s="107" t="s">
        <v>10</v>
      </c>
      <c r="S75" s="107">
        <v>-15</v>
      </c>
      <c r="T75" s="107">
        <f>K88</f>
        <v>79.166666666666671</v>
      </c>
      <c r="U75" s="107" t="s">
        <v>10</v>
      </c>
      <c r="V75" s="107">
        <v>-15</v>
      </c>
      <c r="W75" s="107">
        <f>L88</f>
        <v>155.5</v>
      </c>
      <c r="X75" s="107" t="s">
        <v>10</v>
      </c>
      <c r="Y75" s="107">
        <v>-15</v>
      </c>
      <c r="Z75" s="107">
        <f>M88</f>
        <v>147.01</v>
      </c>
      <c r="AB75" s="163">
        <v>40</v>
      </c>
      <c r="AC75" s="107">
        <f t="shared" si="8"/>
        <v>81.36</v>
      </c>
      <c r="AD75" s="107">
        <f t="shared" si="5"/>
        <v>24.814814814814817</v>
      </c>
      <c r="AE75" s="107">
        <f t="shared" si="6"/>
        <v>82.76</v>
      </c>
      <c r="AF75" s="107">
        <f t="shared" si="7"/>
        <v>79.94</v>
      </c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</row>
    <row r="76" spans="1:45">
      <c r="N76" s="16"/>
      <c r="O76" s="107" t="s">
        <v>10</v>
      </c>
      <c r="P76" s="107">
        <v>-20</v>
      </c>
      <c r="Q76" s="107">
        <f>J93</f>
        <v>157.01</v>
      </c>
      <c r="R76" s="107" t="s">
        <v>10</v>
      </c>
      <c r="S76" s="107">
        <v>-20</v>
      </c>
      <c r="T76" s="107">
        <f>K93</f>
        <v>87.916666666666671</v>
      </c>
      <c r="U76" s="107" t="s">
        <v>10</v>
      </c>
      <c r="V76" s="107">
        <v>-20</v>
      </c>
      <c r="W76" s="107">
        <f>L93</f>
        <v>161.69</v>
      </c>
      <c r="X76" s="107" t="s">
        <v>10</v>
      </c>
      <c r="Y76" s="107">
        <v>-20</v>
      </c>
      <c r="Z76" s="107">
        <f>M93</f>
        <v>152.28</v>
      </c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107" t="s">
        <v>10</v>
      </c>
      <c r="P77" s="107">
        <v>-25</v>
      </c>
      <c r="Q77" s="107">
        <f>J98</f>
        <v>161.99</v>
      </c>
      <c r="R77" s="107" t="s">
        <v>10</v>
      </c>
      <c r="S77" s="107">
        <v>-25</v>
      </c>
      <c r="T77" s="107">
        <f>K98</f>
        <v>96.19047619047619</v>
      </c>
      <c r="U77" s="107" t="s">
        <v>10</v>
      </c>
      <c r="V77" s="107">
        <v>-25</v>
      </c>
      <c r="W77" s="107">
        <f>L98</f>
        <v>167.1</v>
      </c>
      <c r="X77" s="107" t="s">
        <v>10</v>
      </c>
      <c r="Y77" s="107">
        <v>-25</v>
      </c>
      <c r="Z77" s="107">
        <f>M98</f>
        <v>156.83000000000001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</row>
    <row r="78" spans="1:45">
      <c r="D78" s="238" t="s">
        <v>46</v>
      </c>
      <c r="E78" s="238"/>
      <c r="F78" s="238"/>
      <c r="I78" s="186">
        <v>60</v>
      </c>
      <c r="J78" s="186">
        <v>136.18</v>
      </c>
      <c r="K78" s="203">
        <f>(630-469)/9*4/1.2</f>
        <v>59.629629629629633</v>
      </c>
      <c r="L78" s="186">
        <v>139.36000000000001</v>
      </c>
      <c r="M78" s="186">
        <v>132.97</v>
      </c>
      <c r="N78" s="13"/>
      <c r="O78" s="107" t="s">
        <v>11</v>
      </c>
      <c r="P78" s="9">
        <f>$B$2</f>
        <v>6.0220000000000002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104.75545691360901</v>
      </c>
      <c r="R78" s="107" t="s">
        <v>11</v>
      </c>
      <c r="S78" s="9">
        <f>$B$2</f>
        <v>6.0220000000000002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34.00519161701294</v>
      </c>
      <c r="U78" s="107" t="s">
        <v>11</v>
      </c>
      <c r="V78" s="9">
        <f>$B$2</f>
        <v>6.0220000000000002</v>
      </c>
      <c r="W78" s="107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106.78945223627193</v>
      </c>
      <c r="X78" s="107" t="s">
        <v>11</v>
      </c>
      <c r="Y78" s="9">
        <f>$B$2</f>
        <v>6.0220000000000002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103.45560149067936</v>
      </c>
      <c r="AB78" s="163">
        <v>60</v>
      </c>
      <c r="AC78" s="107">
        <v>107.56</v>
      </c>
      <c r="AD78" s="107">
        <v>32.5</v>
      </c>
      <c r="AE78" s="107">
        <v>109.25</v>
      </c>
      <c r="AF78" s="107">
        <v>105.85</v>
      </c>
    </row>
    <row r="79" spans="1:45">
      <c r="A79" s="4">
        <f>0*($B$6-0.9)*($B$6-0.8)/((1-0.9)*(1-0.8))+7.7*($B$6-1)*($B$6-0.8)/((0.9-1)*(0.9-0.8))+16.19*($B$6-1)*($B$6-0.9)/((0.8-1)*(0.8-0.9))+$B$1</f>
        <v>258.43625000000003</v>
      </c>
      <c r="D79" s="5"/>
      <c r="E79" s="26">
        <f>$B$1</f>
        <v>246.59</v>
      </c>
      <c r="I79" s="186">
        <v>50</v>
      </c>
      <c r="J79" s="186">
        <v>114.73</v>
      </c>
      <c r="K79" s="203">
        <f>(630-506)/9*4/1.2</f>
        <v>45.925925925925931</v>
      </c>
      <c r="L79" s="186">
        <v>117.25</v>
      </c>
      <c r="M79" s="186">
        <v>112.14</v>
      </c>
      <c r="N79" s="13"/>
      <c r="Q79" s="1" t="s">
        <v>12</v>
      </c>
      <c r="R79" s="1"/>
      <c r="S79" s="1"/>
      <c r="T79" s="1" t="s">
        <v>13</v>
      </c>
      <c r="U79" s="1"/>
      <c r="V79" s="1"/>
      <c r="W79" s="1" t="s">
        <v>8</v>
      </c>
      <c r="X79" s="1"/>
      <c r="Y79" s="1"/>
      <c r="Z79" s="1" t="s">
        <v>9</v>
      </c>
      <c r="AB79" s="163">
        <v>50</v>
      </c>
      <c r="AC79" s="107">
        <v>77.010000000000005</v>
      </c>
      <c r="AD79" s="107">
        <v>17.5</v>
      </c>
      <c r="AE79" s="107">
        <v>77.92</v>
      </c>
      <c r="AF79" s="107">
        <v>76.099999999999994</v>
      </c>
      <c r="AJ79" s="1" t="s">
        <v>12</v>
      </c>
      <c r="AK79" s="1"/>
      <c r="AL79" s="1"/>
      <c r="AM79" s="1" t="s">
        <v>13</v>
      </c>
      <c r="AN79" s="1"/>
      <c r="AO79" s="1"/>
      <c r="AP79" s="1" t="s">
        <v>8</v>
      </c>
      <c r="AQ79" s="1"/>
      <c r="AR79" s="1"/>
      <c r="AS79" s="1" t="s">
        <v>9</v>
      </c>
    </row>
    <row r="80" spans="1:45">
      <c r="D80" s="5"/>
      <c r="E80" s="26">
        <f>A79</f>
        <v>258.43625000000003</v>
      </c>
      <c r="I80" s="186">
        <v>40</v>
      </c>
      <c r="J80" s="186">
        <v>95.27</v>
      </c>
      <c r="K80" s="203">
        <f>(630-532)/9*4/1.2</f>
        <v>36.296296296296298</v>
      </c>
      <c r="L80" s="186">
        <v>97.31</v>
      </c>
      <c r="M80" s="186">
        <v>93.21</v>
      </c>
      <c r="N80" s="13"/>
      <c r="O80" s="107" t="s">
        <v>10</v>
      </c>
      <c r="P80" s="107">
        <v>0</v>
      </c>
      <c r="Q80" s="107">
        <f>J74</f>
        <v>102.09</v>
      </c>
      <c r="R80" s="107" t="s">
        <v>10</v>
      </c>
      <c r="S80" s="107">
        <v>0</v>
      </c>
      <c r="T80" s="107">
        <f>K74</f>
        <v>34.44444444444445</v>
      </c>
      <c r="U80" s="107" t="s">
        <v>10</v>
      </c>
      <c r="V80" s="107">
        <v>0</v>
      </c>
      <c r="W80" s="107">
        <f>L74</f>
        <v>103.97</v>
      </c>
      <c r="X80" s="107" t="s">
        <v>10</v>
      </c>
      <c r="Y80" s="107">
        <v>0</v>
      </c>
      <c r="Z80" s="107">
        <f>M74</f>
        <v>100.09</v>
      </c>
      <c r="AB80" s="163">
        <v>40</v>
      </c>
      <c r="AC80" s="107"/>
      <c r="AD80" s="107"/>
      <c r="AE80" s="107"/>
      <c r="AF80" s="107"/>
      <c r="AH80" s="110" t="s">
        <v>27</v>
      </c>
      <c r="AI80" s="110">
        <v>0</v>
      </c>
      <c r="AJ80" s="110">
        <f>AC74</f>
        <v>102.09</v>
      </c>
      <c r="AK80" s="110" t="s">
        <v>27</v>
      </c>
      <c r="AL80" s="110">
        <v>0</v>
      </c>
      <c r="AM80" s="110">
        <f>AD74</f>
        <v>34.44444444444445</v>
      </c>
      <c r="AN80" s="110" t="s">
        <v>27</v>
      </c>
      <c r="AO80" s="110">
        <v>0</v>
      </c>
      <c r="AP80" s="110">
        <f>AE74</f>
        <v>103.97</v>
      </c>
      <c r="AQ80" s="110" t="s">
        <v>27</v>
      </c>
      <c r="AR80" s="110">
        <v>0</v>
      </c>
      <c r="AS80" s="110">
        <f>AF74</f>
        <v>100.09</v>
      </c>
    </row>
    <row r="81" spans="1:45">
      <c r="A81" s="107" t="s">
        <v>23</v>
      </c>
      <c r="B81" s="107">
        <f>Plan1!$B$17</f>
        <v>86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257.73502645422593</v>
      </c>
      <c r="N81" s="13"/>
      <c r="O81" s="107" t="s">
        <v>10</v>
      </c>
      <c r="P81" s="107">
        <v>-5</v>
      </c>
      <c r="Q81" s="107">
        <f>J79</f>
        <v>114.73</v>
      </c>
      <c r="R81" s="107" t="s">
        <v>10</v>
      </c>
      <c r="S81" s="107">
        <v>-5</v>
      </c>
      <c r="T81" s="107">
        <f>K79</f>
        <v>45.925925925925931</v>
      </c>
      <c r="U81" s="107" t="s">
        <v>10</v>
      </c>
      <c r="V81" s="107">
        <v>-5</v>
      </c>
      <c r="W81" s="107">
        <f>L79</f>
        <v>117.25</v>
      </c>
      <c r="X81" s="107" t="s">
        <v>10</v>
      </c>
      <c r="Y81" s="107">
        <v>-5</v>
      </c>
      <c r="Z81" s="107">
        <f>M79</f>
        <v>112.14</v>
      </c>
      <c r="AH81" s="110" t="s">
        <v>27</v>
      </c>
      <c r="AI81" s="110">
        <v>5</v>
      </c>
      <c r="AJ81" s="110">
        <f>AC79</f>
        <v>77.010000000000005</v>
      </c>
      <c r="AK81" s="110" t="s">
        <v>27</v>
      </c>
      <c r="AL81" s="110">
        <v>5</v>
      </c>
      <c r="AM81" s="110">
        <f>AD79</f>
        <v>17.5</v>
      </c>
      <c r="AN81" s="110" t="s">
        <v>27</v>
      </c>
      <c r="AO81" s="110">
        <v>5</v>
      </c>
      <c r="AP81" s="110">
        <f>AE79</f>
        <v>77.92</v>
      </c>
      <c r="AQ81" s="110" t="s">
        <v>27</v>
      </c>
      <c r="AR81" s="110">
        <v>5</v>
      </c>
      <c r="AS81" s="110">
        <f>AF79</f>
        <v>76.099999999999994</v>
      </c>
    </row>
    <row r="82" spans="1:45">
      <c r="A82" s="107" t="s">
        <v>24</v>
      </c>
      <c r="B82" s="107">
        <f>Plan1!$B$18</f>
        <v>49.06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107" t="s">
        <v>10</v>
      </c>
      <c r="P82" s="107">
        <v>-10</v>
      </c>
      <c r="Q82" s="107">
        <f>J84</f>
        <v>123.84</v>
      </c>
      <c r="R82" s="107" t="s">
        <v>10</v>
      </c>
      <c r="S82" s="107">
        <v>-10</v>
      </c>
      <c r="T82" s="107">
        <f>K84</f>
        <v>55.833333333333336</v>
      </c>
      <c r="U82" s="107" t="s">
        <v>10</v>
      </c>
      <c r="V82" s="107">
        <v>-10</v>
      </c>
      <c r="W82" s="107">
        <f>L84</f>
        <v>126.9</v>
      </c>
      <c r="X82" s="107" t="s">
        <v>10</v>
      </c>
      <c r="Y82" s="107">
        <v>-10</v>
      </c>
      <c r="Z82" s="107">
        <f>M84</f>
        <v>120.76</v>
      </c>
      <c r="AH82" s="110" t="s">
        <v>28</v>
      </c>
      <c r="AI82" s="9">
        <f>$B$2</f>
        <v>6.0220000000000002</v>
      </c>
      <c r="AJ82" s="11">
        <f>AJ80*(AI82-AI81)/((AI80-AI81))+AJ81*(AI82-AI80)/((AI81-AI80))</f>
        <v>71.883647999999994</v>
      </c>
      <c r="AK82" s="110" t="s">
        <v>28</v>
      </c>
      <c r="AL82" s="9">
        <f>$B$2</f>
        <v>6.0220000000000002</v>
      </c>
      <c r="AM82" s="11">
        <f>AM80*(AL82-AL81)/((AL80-AL81))+AM81*(AL82-AL80)/((AL81-AL80))</f>
        <v>14.036555555555553</v>
      </c>
      <c r="AN82" s="110" t="s">
        <v>28</v>
      </c>
      <c r="AO82" s="9">
        <f>$B$2</f>
        <v>6.0220000000000002</v>
      </c>
      <c r="AP82" s="11">
        <f>AP80*(AO82-AO81)/((AO80-AO81))+AP81*(AO82-AO80)/((AO81-AO80))</f>
        <v>72.595380000000006</v>
      </c>
      <c r="AQ82" s="110" t="s">
        <v>28</v>
      </c>
      <c r="AR82" s="9">
        <f>$B$2</f>
        <v>6.0220000000000002</v>
      </c>
      <c r="AS82" s="11">
        <f>AS80*(AR82-AR81)/((AR80-AR81))+AS81*(AR82-AR80)/((AR81-AR80))</f>
        <v>71.196444</v>
      </c>
    </row>
    <row r="83" spans="1:45">
      <c r="A83" s="107" t="s">
        <v>25</v>
      </c>
      <c r="B83" s="107">
        <f>COS(RADIANS(B82))</f>
        <v>0.65526833938609963</v>
      </c>
      <c r="D83"/>
      <c r="E83" s="1" t="s">
        <v>6</v>
      </c>
      <c r="F83" s="1" t="s">
        <v>14</v>
      </c>
      <c r="G83" s="14" t="s">
        <v>15</v>
      </c>
      <c r="I83" s="186">
        <v>60</v>
      </c>
      <c r="J83" s="186">
        <v>144.5</v>
      </c>
      <c r="K83" s="203">
        <f>(630-462)/8*4/1.2</f>
        <v>70</v>
      </c>
      <c r="L83" s="186">
        <v>148.24</v>
      </c>
      <c r="M83" s="186">
        <v>140.74</v>
      </c>
      <c r="N83" s="17"/>
      <c r="O83" s="107" t="s">
        <v>10</v>
      </c>
      <c r="P83" s="107">
        <v>-15</v>
      </c>
      <c r="Q83" s="107">
        <f>J89</f>
        <v>131.08000000000001</v>
      </c>
      <c r="R83" s="107" t="s">
        <v>10</v>
      </c>
      <c r="S83" s="107">
        <v>-15</v>
      </c>
      <c r="T83" s="107">
        <f>K89</f>
        <v>64.583333333333343</v>
      </c>
      <c r="U83" s="107" t="s">
        <v>10</v>
      </c>
      <c r="V83" s="107">
        <v>-15</v>
      </c>
      <c r="W83" s="107">
        <f>L89</f>
        <v>134.62</v>
      </c>
      <c r="X83" s="107" t="s">
        <v>10</v>
      </c>
      <c r="Y83" s="107">
        <v>-15</v>
      </c>
      <c r="Z83" s="107">
        <f>M89</f>
        <v>127.51</v>
      </c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</row>
    <row r="84" spans="1:45">
      <c r="A84" s="107" t="s">
        <v>26</v>
      </c>
      <c r="B84" s="121">
        <f>B5</f>
        <v>-1.8784359062401523</v>
      </c>
      <c r="D84" s="186">
        <v>60</v>
      </c>
      <c r="E84" s="107">
        <f>J73</f>
        <v>125.14</v>
      </c>
      <c r="F84" s="186">
        <v>125.33</v>
      </c>
      <c r="G84" s="163">
        <v>124.94</v>
      </c>
      <c r="I84" s="186">
        <v>50</v>
      </c>
      <c r="J84" s="186">
        <v>123.84</v>
      </c>
      <c r="K84" s="203">
        <f>(630-496)/8*4/1.2</f>
        <v>55.833333333333336</v>
      </c>
      <c r="L84" s="186">
        <v>126.9</v>
      </c>
      <c r="M84" s="186">
        <v>120.76</v>
      </c>
      <c r="N84" s="17"/>
      <c r="O84" s="107" t="s">
        <v>10</v>
      </c>
      <c r="P84" s="107">
        <v>-20</v>
      </c>
      <c r="Q84" s="107">
        <f>J94</f>
        <v>137.13</v>
      </c>
      <c r="R84" s="107" t="s">
        <v>10</v>
      </c>
      <c r="S84" s="107">
        <v>-20</v>
      </c>
      <c r="T84" s="107">
        <f>K94</f>
        <v>72.916666666666671</v>
      </c>
      <c r="U84" s="107" t="s">
        <v>10</v>
      </c>
      <c r="V84" s="107">
        <v>-20</v>
      </c>
      <c r="W84" s="107">
        <f>L94</f>
        <v>141.12</v>
      </c>
      <c r="X84" s="107" t="s">
        <v>10</v>
      </c>
      <c r="Y84" s="107">
        <v>-20</v>
      </c>
      <c r="Z84" s="107">
        <f>M94</f>
        <v>133.12</v>
      </c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</row>
    <row r="85" spans="1:45">
      <c r="D85" s="186">
        <v>50</v>
      </c>
      <c r="E85" s="107">
        <f>J74</f>
        <v>102.09</v>
      </c>
      <c r="F85" s="186">
        <v>102.22</v>
      </c>
      <c r="G85" s="163">
        <v>101.94</v>
      </c>
      <c r="I85" s="186">
        <v>40</v>
      </c>
      <c r="J85" s="186">
        <v>104.8</v>
      </c>
      <c r="K85" s="203">
        <f>(630-520)/8*4/1.2</f>
        <v>45.833333333333336</v>
      </c>
      <c r="L85" s="186">
        <v>107.37</v>
      </c>
      <c r="M85" s="186">
        <v>102.21</v>
      </c>
      <c r="N85" s="13"/>
      <c r="O85" s="107" t="s">
        <v>10</v>
      </c>
      <c r="P85" s="107">
        <v>-25</v>
      </c>
      <c r="Q85" s="107">
        <f>J99</f>
        <v>142.36000000000001</v>
      </c>
      <c r="R85" s="107" t="s">
        <v>10</v>
      </c>
      <c r="S85" s="107">
        <v>-25</v>
      </c>
      <c r="T85" s="107">
        <f>K99</f>
        <v>80.476190476190482</v>
      </c>
      <c r="U85" s="107" t="s">
        <v>10</v>
      </c>
      <c r="V85" s="107">
        <v>-25</v>
      </c>
      <c r="W85" s="107">
        <f>L99</f>
        <v>146.76</v>
      </c>
      <c r="X85" s="107" t="s">
        <v>10</v>
      </c>
      <c r="Y85" s="107">
        <v>-25</v>
      </c>
      <c r="Z85" s="107">
        <f>M99</f>
        <v>137.93</v>
      </c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</row>
    <row r="86" spans="1:45">
      <c r="A86" s="107" t="s">
        <v>32</v>
      </c>
      <c r="B86" s="23">
        <f>$B$3*SIN(RADIANS($B$4))</f>
        <v>0.95798784374570456</v>
      </c>
      <c r="D86" s="186">
        <v>40</v>
      </c>
      <c r="E86" s="107">
        <f>J75</f>
        <v>81.36</v>
      </c>
      <c r="F86" s="186">
        <v>81.45</v>
      </c>
      <c r="G86" s="163">
        <v>81.260000000000005</v>
      </c>
      <c r="N86" s="13"/>
      <c r="O86" s="107" t="s">
        <v>11</v>
      </c>
      <c r="P86" s="9">
        <f>$B$2</f>
        <v>6.0220000000000002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77.326602819727469</v>
      </c>
      <c r="R86" s="107" t="s">
        <v>11</v>
      </c>
      <c r="S86" s="9">
        <f>$B$2</f>
        <v>6.0220000000000002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20.624682994837158</v>
      </c>
      <c r="U86" s="107" t="s">
        <v>11</v>
      </c>
      <c r="V86" s="9">
        <f>$B$2</f>
        <v>6.0220000000000002</v>
      </c>
      <c r="W86" s="107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78.277956080128547</v>
      </c>
      <c r="X86" s="107" t="s">
        <v>11</v>
      </c>
      <c r="Y86" s="9">
        <f>$B$2</f>
        <v>6.0220000000000002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76.892103803914608</v>
      </c>
    </row>
    <row r="87" spans="1:45">
      <c r="A87" s="107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1" t="s">
        <v>12</v>
      </c>
      <c r="R87" s="1"/>
      <c r="S87" s="1"/>
      <c r="T87" s="1" t="s">
        <v>13</v>
      </c>
      <c r="U87" s="1"/>
      <c r="V87" s="1"/>
      <c r="W87" s="1" t="s">
        <v>8</v>
      </c>
      <c r="X87" s="1"/>
      <c r="Y87" s="1"/>
      <c r="Z87" s="1" t="s">
        <v>9</v>
      </c>
      <c r="AJ87" s="1" t="s">
        <v>12</v>
      </c>
      <c r="AK87" s="1"/>
      <c r="AL87" s="1"/>
      <c r="AM87" s="1" t="s">
        <v>13</v>
      </c>
      <c r="AN87" s="1"/>
      <c r="AO87" s="1"/>
      <c r="AP87" s="1" t="s">
        <v>8</v>
      </c>
      <c r="AQ87" s="1"/>
      <c r="AR87" s="1"/>
      <c r="AS87" s="1" t="s">
        <v>9</v>
      </c>
    </row>
    <row r="88" spans="1:45">
      <c r="D88"/>
      <c r="F88" s="1" t="s">
        <v>38</v>
      </c>
      <c r="I88" s="163">
        <v>60</v>
      </c>
      <c r="J88" s="163">
        <v>151.28</v>
      </c>
      <c r="K88" s="203">
        <f>(630-440)/8*4/1.2</f>
        <v>79.166666666666671</v>
      </c>
      <c r="L88" s="163">
        <v>155.5</v>
      </c>
      <c r="M88" s="163">
        <v>147.01</v>
      </c>
      <c r="N88" s="13"/>
      <c r="O88" s="107" t="s">
        <v>10</v>
      </c>
      <c r="P88" s="107">
        <v>0</v>
      </c>
      <c r="Q88" s="107">
        <f>J75</f>
        <v>81.36</v>
      </c>
      <c r="R88" s="107" t="s">
        <v>10</v>
      </c>
      <c r="S88" s="107">
        <v>0</v>
      </c>
      <c r="T88" s="107">
        <f>K75</f>
        <v>24.814814814814817</v>
      </c>
      <c r="U88" s="107" t="s">
        <v>10</v>
      </c>
      <c r="V88" s="107">
        <v>0</v>
      </c>
      <c r="W88" s="107">
        <f>L75</f>
        <v>82.76</v>
      </c>
      <c r="X88" s="107" t="s">
        <v>10</v>
      </c>
      <c r="Y88" s="107">
        <v>0</v>
      </c>
      <c r="Z88" s="107">
        <f>M75</f>
        <v>79.94</v>
      </c>
      <c r="AH88" s="110" t="s">
        <v>27</v>
      </c>
      <c r="AI88" s="110">
        <v>0</v>
      </c>
      <c r="AJ88" s="110">
        <f>AC75</f>
        <v>81.36</v>
      </c>
      <c r="AK88" s="110" t="s">
        <v>27</v>
      </c>
      <c r="AL88" s="110">
        <v>0</v>
      </c>
      <c r="AM88" s="110">
        <f>AD75</f>
        <v>24.814814814814817</v>
      </c>
      <c r="AN88" s="110" t="s">
        <v>27</v>
      </c>
      <c r="AO88" s="110">
        <v>0</v>
      </c>
      <c r="AP88" s="110">
        <f>AE75</f>
        <v>82.76</v>
      </c>
      <c r="AQ88" s="110" t="s">
        <v>27</v>
      </c>
      <c r="AR88" s="110">
        <v>0</v>
      </c>
      <c r="AS88" s="110">
        <f>AF75</f>
        <v>79.94</v>
      </c>
    </row>
    <row r="89" spans="1:45">
      <c r="A89" s="107" t="s">
        <v>31</v>
      </c>
      <c r="B89" s="107" t="s">
        <v>35</v>
      </c>
      <c r="D89" s="186">
        <v>60</v>
      </c>
      <c r="E89" s="107">
        <f>E84</f>
        <v>125.14</v>
      </c>
      <c r="F89" s="11">
        <f>E84*((D84-(100/360))-D85)*((D84-(100/360))-D86)/((D84-D85)*(D84-D86))+E85*((D84-(100/360))-D84)*((D84-(100/360))-D86)/((D85-D84)*(D85-D86))+E86*((D84-(100/360))-D84)*((D84-(100/360))-D85)/((D86-D84)*(D86-D85))</f>
        <v>124.46839506172839</v>
      </c>
      <c r="G89" s="186">
        <v>124.94</v>
      </c>
      <c r="I89" s="163">
        <v>50</v>
      </c>
      <c r="J89" s="163">
        <v>131.08000000000001</v>
      </c>
      <c r="K89" s="203">
        <f>(630-475)/8*4/1.2</f>
        <v>64.583333333333343</v>
      </c>
      <c r="L89" s="163">
        <v>134.62</v>
      </c>
      <c r="M89" s="163">
        <v>127.51</v>
      </c>
      <c r="N89" s="13"/>
      <c r="O89" s="107" t="s">
        <v>10</v>
      </c>
      <c r="P89" s="107">
        <v>-5</v>
      </c>
      <c r="Q89" s="107">
        <f>J80</f>
        <v>95.27</v>
      </c>
      <c r="R89" s="107" t="s">
        <v>10</v>
      </c>
      <c r="S89" s="107">
        <v>-5</v>
      </c>
      <c r="T89" s="107">
        <f>K80</f>
        <v>36.296296296296298</v>
      </c>
      <c r="U89" s="107" t="s">
        <v>10</v>
      </c>
      <c r="V89" s="107">
        <v>-5</v>
      </c>
      <c r="W89" s="107">
        <f>L80</f>
        <v>97.31</v>
      </c>
      <c r="X89" s="107" t="s">
        <v>10</v>
      </c>
      <c r="Y89" s="107">
        <v>-5</v>
      </c>
      <c r="Z89" s="107">
        <f>M80</f>
        <v>93.21</v>
      </c>
      <c r="AH89" s="110" t="s">
        <v>27</v>
      </c>
      <c r="AI89" s="110">
        <v>5</v>
      </c>
      <c r="AJ89" s="110">
        <f>AC80</f>
        <v>0</v>
      </c>
      <c r="AK89" s="110" t="s">
        <v>27</v>
      </c>
      <c r="AL89" s="110">
        <v>5</v>
      </c>
      <c r="AM89" s="110">
        <f>AD80</f>
        <v>0</v>
      </c>
      <c r="AN89" s="110" t="s">
        <v>27</v>
      </c>
      <c r="AO89" s="110">
        <v>5</v>
      </c>
      <c r="AP89" s="110">
        <f>AE80</f>
        <v>0</v>
      </c>
      <c r="AQ89" s="110" t="s">
        <v>27</v>
      </c>
      <c r="AR89" s="110">
        <v>5</v>
      </c>
      <c r="AS89" s="110">
        <f>AF80</f>
        <v>0</v>
      </c>
    </row>
    <row r="90" spans="1:45">
      <c r="A90" s="22">
        <f>(F94*($E$8-E95)*($E$8-E96)/((E94-E95)*(E94-E96))+F95*($E$8-E94)*($E$8-E96)/((E95-E94)*(E95-E96))+F96*($E$8-E94)*($E$8-E95)/((E96-E94)*(E96-E95)))</f>
        <v>151.76285479616428</v>
      </c>
      <c r="B90" s="23">
        <f>(B86*A90+(A91*B84))/($E$8*(44/17.5))</f>
        <v>-0.2253070010373977</v>
      </c>
      <c r="D90" s="186">
        <v>50</v>
      </c>
      <c r="E90" s="107">
        <f>E85</f>
        <v>102.09</v>
      </c>
      <c r="F90" s="11">
        <f>E84*((D85-(100/360))-D85)*((D85-(100/360))-D86)/((D84-D85)*(D84-D86))+E85*((D85-(100/360))-D84)*((D85-(100/360))-D86)/((D85-D84)*(D85-D86))+E86*((D85-(100/360))-D84)*((D85-(100/360))-D85)/((D86-D84)*(D86-D85))</f>
        <v>101.48283950617285</v>
      </c>
      <c r="G90" s="186">
        <v>101.94</v>
      </c>
      <c r="I90" s="163">
        <v>40</v>
      </c>
      <c r="J90" s="163">
        <v>112.24</v>
      </c>
      <c r="K90" s="203">
        <f>(630-500)/8*4/1.2</f>
        <v>54.166666666666671</v>
      </c>
      <c r="L90" s="163">
        <v>115.28</v>
      </c>
      <c r="M90" s="163">
        <v>109.17</v>
      </c>
      <c r="N90" s="16"/>
      <c r="O90" s="107" t="s">
        <v>10</v>
      </c>
      <c r="P90" s="107">
        <v>-10</v>
      </c>
      <c r="Q90" s="107">
        <f>J85</f>
        <v>104.8</v>
      </c>
      <c r="R90" s="107" t="s">
        <v>10</v>
      </c>
      <c r="S90" s="107">
        <v>-10</v>
      </c>
      <c r="T90" s="107">
        <f>K85</f>
        <v>45.833333333333336</v>
      </c>
      <c r="U90" s="107" t="s">
        <v>10</v>
      </c>
      <c r="V90" s="107">
        <v>-10</v>
      </c>
      <c r="W90" s="107">
        <f>L85</f>
        <v>107.37</v>
      </c>
      <c r="X90" s="107" t="s">
        <v>10</v>
      </c>
      <c r="Y90" s="107">
        <v>-10</v>
      </c>
      <c r="Z90" s="107">
        <f>M85</f>
        <v>102.21</v>
      </c>
      <c r="AH90" s="110" t="s">
        <v>28</v>
      </c>
      <c r="AI90" s="9">
        <f>$B$2</f>
        <v>6.0220000000000002</v>
      </c>
      <c r="AJ90" s="11">
        <f>AJ88*(AI90-AI89)/((AI88-AI89))+AJ89*(AI90-AI88)/((AI89-AI88))</f>
        <v>-16.629984000000004</v>
      </c>
      <c r="AK90" s="110" t="s">
        <v>28</v>
      </c>
      <c r="AL90" s="9">
        <f>$B$2</f>
        <v>6.0220000000000002</v>
      </c>
      <c r="AM90" s="11">
        <f>AM88*(AL90-AL89)/((AL88-AL89))+AM89*(AL90-AL88)/((AL89-AL88))</f>
        <v>-5.0721481481481501</v>
      </c>
      <c r="AN90" s="110" t="s">
        <v>28</v>
      </c>
      <c r="AO90" s="9">
        <f>$B$2</f>
        <v>6.0220000000000002</v>
      </c>
      <c r="AP90" s="11">
        <f>AP88*(AO90-AO89)/((AO88-AO89))+AP89*(AO90-AO88)/((AO89-AO88))</f>
        <v>-16.916144000000006</v>
      </c>
      <c r="AQ90" s="110" t="s">
        <v>28</v>
      </c>
      <c r="AR90" s="9">
        <f>$B$2</f>
        <v>6.0220000000000002</v>
      </c>
      <c r="AS90" s="11">
        <f>AS88*(AR90-AR89)/((AR88-AR89))+AS89*(AR90-AR88)/((AR89-AR88))</f>
        <v>-16.339736000000002</v>
      </c>
    </row>
    <row r="91" spans="1:45">
      <c r="A91" s="22">
        <f>A90*1</f>
        <v>151.76285479616428</v>
      </c>
      <c r="D91" s="186">
        <v>40</v>
      </c>
      <c r="E91" s="107">
        <f>E86</f>
        <v>81.36</v>
      </c>
      <c r="F91" s="11">
        <f>E84*((D86-(100/360))-D85)*((D86-(100/360))-D86)/((D84-D85)*(D84-D86))+E85*((D86-(100/360))-D84)*((D86-(100/360))-D86)/((D85-D84)*(D85-D86))+E86*((D86-(100/360))-D84)*((D86-(100/360))-D85)/((D86-D84)*(D86-D85))</f>
        <v>80.817283950617266</v>
      </c>
      <c r="G91" s="186">
        <v>81.260000000000005</v>
      </c>
      <c r="N91" s="16"/>
      <c r="O91" s="107" t="s">
        <v>10</v>
      </c>
      <c r="P91" s="107">
        <v>-15</v>
      </c>
      <c r="Q91" s="107">
        <f>J90</f>
        <v>112.24</v>
      </c>
      <c r="R91" s="107" t="s">
        <v>10</v>
      </c>
      <c r="S91" s="107">
        <v>-15</v>
      </c>
      <c r="T91" s="107">
        <f>K90</f>
        <v>54.166666666666671</v>
      </c>
      <c r="U91" s="107" t="s">
        <v>10</v>
      </c>
      <c r="V91" s="107">
        <v>-15</v>
      </c>
      <c r="W91" s="107">
        <f>L90</f>
        <v>115.28</v>
      </c>
      <c r="X91" s="107" t="s">
        <v>10</v>
      </c>
      <c r="Y91" s="107">
        <v>-15</v>
      </c>
      <c r="Z91" s="107">
        <f>M90</f>
        <v>109.17</v>
      </c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107" t="s">
        <v>10</v>
      </c>
      <c r="P92" s="107">
        <v>-20</v>
      </c>
      <c r="Q92" s="107">
        <f>J95</f>
        <v>118.39</v>
      </c>
      <c r="R92" s="107" t="s">
        <v>10</v>
      </c>
      <c r="S92" s="107">
        <v>-20</v>
      </c>
      <c r="T92" s="107">
        <f>K95</f>
        <v>62.083333333333336</v>
      </c>
      <c r="U92" s="107" t="s">
        <v>10</v>
      </c>
      <c r="V92" s="107">
        <v>-20</v>
      </c>
      <c r="W92" s="107">
        <f>L95</f>
        <v>121.87</v>
      </c>
      <c r="X92" s="107" t="s">
        <v>10</v>
      </c>
      <c r="Y92" s="107">
        <v>-20</v>
      </c>
      <c r="Z92" s="107">
        <f>M95</f>
        <v>114.9</v>
      </c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</row>
    <row r="93" spans="1:45">
      <c r="A93" s="107" t="s">
        <v>36</v>
      </c>
      <c r="B93" s="23">
        <f>$B$3*SIN(RADIANS($B$4+B90*0.707))</f>
        <v>0.95878151786015231</v>
      </c>
      <c r="D93"/>
      <c r="E93" s="1" t="s">
        <v>6</v>
      </c>
      <c r="F93" s="1" t="s">
        <v>7</v>
      </c>
      <c r="G93" s="1" t="s">
        <v>29</v>
      </c>
      <c r="H93" s="1" t="s">
        <v>30</v>
      </c>
      <c r="I93" s="163">
        <v>60</v>
      </c>
      <c r="J93" s="163">
        <v>157.01</v>
      </c>
      <c r="K93" s="203">
        <f>(630-419)/8*4/1.2</f>
        <v>87.916666666666671</v>
      </c>
      <c r="L93" s="163">
        <v>161.69</v>
      </c>
      <c r="M93" s="163">
        <v>152.28</v>
      </c>
      <c r="O93" s="107" t="s">
        <v>10</v>
      </c>
      <c r="P93" s="107">
        <v>-25</v>
      </c>
      <c r="Q93" s="107">
        <f>J100</f>
        <v>123.67</v>
      </c>
      <c r="R93" s="107" t="s">
        <v>10</v>
      </c>
      <c r="S93" s="107">
        <v>-25</v>
      </c>
      <c r="T93" s="107">
        <f>K100</f>
        <v>69.523809523809533</v>
      </c>
      <c r="U93" s="107" t="s">
        <v>10</v>
      </c>
      <c r="V93" s="107">
        <v>-25</v>
      </c>
      <c r="W93" s="107">
        <f>L100</f>
        <v>127.55</v>
      </c>
      <c r="X93" s="107" t="s">
        <v>10</v>
      </c>
      <c r="Y93" s="107">
        <v>-25</v>
      </c>
      <c r="Z93" s="107">
        <f>M100</f>
        <v>119.76</v>
      </c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</row>
    <row r="94" spans="1:45">
      <c r="A94" s="107" t="s">
        <v>37</v>
      </c>
      <c r="B94" s="23">
        <f>$B$3*COS(RADIANS($B$4+B90*0.5))</f>
        <v>-0.28492468163057222</v>
      </c>
      <c r="D94" s="186">
        <v>60</v>
      </c>
      <c r="E94" s="107">
        <f>IF($B$2&gt;0,AJ74,Q78)</f>
        <v>103.96664799999999</v>
      </c>
      <c r="F94" s="107">
        <f>IF($B$2&gt;0,AM74,T78)</f>
        <v>29.377222222222219</v>
      </c>
      <c r="G94" s="107">
        <f>IF($B$2&gt;0,AP74,W78)</f>
        <v>105.480864</v>
      </c>
      <c r="H94" s="22">
        <f>IF($B$2&gt;0,AS74,Z78)</f>
        <v>102.43038799999999</v>
      </c>
      <c r="I94" s="163">
        <v>50</v>
      </c>
      <c r="J94" s="163">
        <v>137.13</v>
      </c>
      <c r="K94" s="203">
        <f>(630-455)/8*4/1.2</f>
        <v>72.916666666666671</v>
      </c>
      <c r="L94" s="163">
        <v>141.12</v>
      </c>
      <c r="M94" s="163">
        <v>133.12</v>
      </c>
      <c r="O94" s="107" t="s">
        <v>11</v>
      </c>
      <c r="P94" s="9">
        <f>$B$2</f>
        <v>6.0220000000000002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51.602668058215215</v>
      </c>
      <c r="R94" s="107" t="s">
        <v>11</v>
      </c>
      <c r="S94" s="9">
        <f>$B$2</f>
        <v>6.0220000000000002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8.8090722128267487</v>
      </c>
      <c r="U94" s="107" t="s">
        <v>11</v>
      </c>
      <c r="V94" s="9">
        <f>$B$2</f>
        <v>6.0220000000000002</v>
      </c>
      <c r="W94" s="107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52.016149939484535</v>
      </c>
      <c r="X94" s="107" t="s">
        <v>11</v>
      </c>
      <c r="Y94" s="9">
        <f>$B$2</f>
        <v>6.0220000000000002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51.506096322121977</v>
      </c>
    </row>
    <row r="95" spans="1:45">
      <c r="D95" s="186">
        <v>50</v>
      </c>
      <c r="E95" s="107">
        <f>IF($B$2&gt;0,AJ82,Q86)</f>
        <v>71.883647999999994</v>
      </c>
      <c r="F95" s="107">
        <f>IF($B$2&gt;0,AM82,T86)</f>
        <v>14.036555555555553</v>
      </c>
      <c r="G95" s="107">
        <f>IF($B$2&gt;0,AP82,W86)</f>
        <v>72.595380000000006</v>
      </c>
      <c r="H95" s="22">
        <f>IF($B$2&gt;0,AS82,Z86)</f>
        <v>71.196444</v>
      </c>
      <c r="I95" s="163">
        <v>40</v>
      </c>
      <c r="J95" s="163">
        <v>118.39</v>
      </c>
      <c r="K95" s="203">
        <f>(630-481)/8*4/1.2</f>
        <v>62.083333333333336</v>
      </c>
      <c r="L95" s="163">
        <v>121.87</v>
      </c>
      <c r="M95" s="163">
        <v>114.9</v>
      </c>
    </row>
    <row r="96" spans="1:45">
      <c r="A96" s="235" t="s">
        <v>39</v>
      </c>
      <c r="B96" s="236"/>
      <c r="D96" s="186">
        <v>40</v>
      </c>
      <c r="E96" s="107">
        <f>IF($B$2&gt;0,AJ90,Q94)</f>
        <v>-16.629984000000004</v>
      </c>
      <c r="F96" s="107">
        <f>IF($B$2&gt;0,AM90,T94)</f>
        <v>-5.0721481481481501</v>
      </c>
      <c r="G96" s="107">
        <f>IF($B$2&gt;0,AP90,W94)</f>
        <v>-16.916144000000006</v>
      </c>
      <c r="H96" s="22">
        <f>IF($B$2&gt;0,AS90,Z94)</f>
        <v>-16.339736000000002</v>
      </c>
    </row>
    <row r="97" spans="1:26">
      <c r="A97" s="107">
        <f>F89*(E81-E90)*(E81-E91)/((E89-E90)*(E89-E91))+F90*(E81-E89)*(E81-E91)/((E90-E89)*(E90-E91))+F91*(E81-E89)*(E81-E90)/((E91-E89)*(E91-E90))</f>
        <v>256.8402044256959</v>
      </c>
      <c r="B97" s="107">
        <f>G89*(E81-E90)*(E81-E91)/((E89-E90)*(E89-E91))+G90*(E81-E89)*(E81-E91)/((E90-E89)*(E90-E91))+G91*(E81-E89)*(E81-E90)/((E91-E89)*(E91-E90))</f>
        <v>257.36184078075098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1"/>
      <c r="Z97" s="1"/>
    </row>
    <row r="98" spans="1:26">
      <c r="D98"/>
      <c r="E98" s="235" t="s">
        <v>149</v>
      </c>
      <c r="F98" s="236"/>
      <c r="G98" s="12"/>
      <c r="H98" s="12"/>
      <c r="I98" s="163">
        <v>60</v>
      </c>
      <c r="J98" s="163">
        <v>161.99</v>
      </c>
      <c r="K98" s="203">
        <f>(630-428)/7*4/1.2</f>
        <v>96.19047619047619</v>
      </c>
      <c r="L98" s="163">
        <v>167.1</v>
      </c>
      <c r="M98" s="163">
        <v>156.83000000000001</v>
      </c>
    </row>
    <row r="99" spans="1:26">
      <c r="A99" s="107" t="s">
        <v>41</v>
      </c>
      <c r="B99" s="107" t="s">
        <v>42</v>
      </c>
      <c r="D99"/>
      <c r="E99" s="186">
        <v>60</v>
      </c>
      <c r="F99" s="11">
        <f>E94*(B94-9)*(B94--9)/((0-9)*(0--9))+G94*(B94-0)*(B94--9)/((9-0)*(9--9))+H94*(B94-0)*(B94-9)/((-9-0)*(-9-9))</f>
        <v>103.91835051416209</v>
      </c>
      <c r="G99" s="12"/>
      <c r="H99" s="12"/>
      <c r="I99" s="163">
        <v>50</v>
      </c>
      <c r="J99" s="163">
        <v>142.36000000000001</v>
      </c>
      <c r="K99" s="203">
        <f>(630-461)/7*4/1.2</f>
        <v>80.476190476190482</v>
      </c>
      <c r="L99" s="163">
        <v>146.76</v>
      </c>
      <c r="M99" s="163">
        <v>137.93</v>
      </c>
    </row>
    <row r="100" spans="1:26">
      <c r="A100" s="23">
        <f>E99*(E81-F100)*(E81-F101)/((F99-F100)*(F99-F101))+E100*(E81-F99)*(E81-F101)/((F100-F99)*(F100-F101))+E101*(E81-F99)*(E81-F100)/((F101-F99)*(F101-F100))</f>
        <v>155.16607362400848</v>
      </c>
      <c r="B100" s="24">
        <f>(F94*(A100-D95)*(A100-D96)/((D94-D95)*(D94-D96))+F95*(A100-D94)*(A100-D96)/((D95-D94)*(D95-D96))+F96*(A100-D94)*(A100-D95)/((D96-D94)*(D96-D95)))*(B93+(B84*(A91/A90))*(A100/100))</f>
        <v>25.796183946287588</v>
      </c>
      <c r="D100"/>
      <c r="E100" s="186">
        <v>50</v>
      </c>
      <c r="F100" s="11">
        <f>E95*(B94-9)*(B94--9)/((0-9)*(0--9))+G95*(B94-0)*(B94--9)/((9-0)*(9--9))+H95*(B94-0)*(B94-9)/((-9-0)*(-9-9))</f>
        <v>71.86151632521063</v>
      </c>
      <c r="G100" s="12"/>
      <c r="H100" s="12"/>
      <c r="I100" s="163">
        <v>40</v>
      </c>
      <c r="J100" s="163">
        <v>123.67</v>
      </c>
      <c r="K100" s="203">
        <f>(630-484)/7*4/1.2</f>
        <v>69.523809523809533</v>
      </c>
      <c r="L100" s="163">
        <v>127.55</v>
      </c>
      <c r="M100" s="163">
        <v>119.76</v>
      </c>
    </row>
    <row r="101" spans="1:26">
      <c r="A101" s="107" t="s">
        <v>44</v>
      </c>
      <c r="B101" s="107" t="s">
        <v>43</v>
      </c>
      <c r="D101"/>
      <c r="E101" s="186">
        <v>40</v>
      </c>
      <c r="F101" s="11">
        <f>E96*(B94-9)*(B94--9)/((0-9)*(0--9))+G96*(B94-0)*(B94--9)/((9-0)*(9--9))+H96*(B94-0)*(B94-9)/((-9-0)*(-9-9))</f>
        <v>-16.620857903300479</v>
      </c>
    </row>
    <row r="102" spans="1:26">
      <c r="A102" s="25">
        <f>(360-ROUNDDOWN((1-(A100/100))*360,0))*276/360</f>
        <v>427.8</v>
      </c>
      <c r="B102" s="11">
        <f>MOD((A100/100)*-360,1)*-(($E$10-A97)/($E$10-B97))+11</f>
        <v>10.274878175172253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257.11627960187252</v>
      </c>
    </row>
    <row r="103" spans="1:26">
      <c r="D103"/>
      <c r="P103" s="14"/>
      <c r="T103" s="14"/>
    </row>
    <row r="104" spans="1:26">
      <c r="D104"/>
      <c r="P104" s="14"/>
      <c r="T104" s="14"/>
    </row>
    <row r="105" spans="1:26">
      <c r="D105"/>
      <c r="P105" s="14"/>
      <c r="T105" s="14"/>
    </row>
    <row r="106" spans="1:26">
      <c r="D106"/>
      <c r="Q106" s="187"/>
      <c r="R106" s="187"/>
      <c r="S106" s="187"/>
      <c r="T106" s="187"/>
      <c r="U106" s="187"/>
      <c r="V106" s="187"/>
      <c r="W106" s="187"/>
      <c r="X106" s="187"/>
      <c r="Y106" s="187"/>
      <c r="Z106" s="187"/>
    </row>
    <row r="107" spans="1:26">
      <c r="D107"/>
    </row>
    <row r="108" spans="1:26" ht="15" customHeight="1">
      <c r="D108"/>
    </row>
    <row r="109" spans="1:26" ht="15" customHeight="1">
      <c r="D109"/>
    </row>
    <row r="110" spans="1:26" ht="15" customHeight="1">
      <c r="D110"/>
    </row>
    <row r="111" spans="1:26">
      <c r="D111"/>
    </row>
    <row r="112" spans="1:26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26">
      <c r="D129"/>
    </row>
    <row r="130" spans="4:26">
      <c r="D130"/>
    </row>
    <row r="131" spans="4:26">
      <c r="D131"/>
    </row>
    <row r="132" spans="4:26">
      <c r="D132"/>
    </row>
    <row r="133" spans="4:26">
      <c r="D133"/>
    </row>
    <row r="134" spans="4:26">
      <c r="D134"/>
    </row>
    <row r="135" spans="4:26">
      <c r="D135"/>
    </row>
    <row r="136" spans="4:26">
      <c r="D136"/>
    </row>
    <row r="137" spans="4:26">
      <c r="D137"/>
    </row>
    <row r="138" spans="4:26">
      <c r="D138"/>
      <c r="P138" s="14"/>
      <c r="T138" s="14"/>
    </row>
    <row r="139" spans="4:26">
      <c r="D139"/>
      <c r="P139" s="14"/>
      <c r="T139" s="14"/>
    </row>
    <row r="140" spans="4:26">
      <c r="D140"/>
      <c r="P140" s="14"/>
      <c r="T140" s="14"/>
    </row>
    <row r="141" spans="4:26">
      <c r="D141"/>
      <c r="Q141" s="187"/>
      <c r="R141" s="187"/>
      <c r="S141" s="187"/>
      <c r="T141" s="187"/>
      <c r="U141" s="187"/>
      <c r="V141" s="187"/>
      <c r="W141" s="187"/>
      <c r="X141" s="187"/>
      <c r="Y141" s="187"/>
      <c r="Z141" s="187"/>
    </row>
    <row r="142" spans="4:26">
      <c r="D142"/>
    </row>
    <row r="143" spans="4:26" ht="15" customHeight="1">
      <c r="D143"/>
    </row>
    <row r="144" spans="4:26" ht="15" customHeight="1">
      <c r="D144"/>
    </row>
    <row r="145" spans="4:4" ht="15" customHeight="1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 ht="15" customHeight="1">
      <c r="D178"/>
    </row>
    <row r="179" spans="4:4" ht="15" customHeight="1">
      <c r="D179"/>
    </row>
    <row r="180" spans="4:4" ht="15" customHeight="1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</sheetData>
  <mergeCells count="12">
    <mergeCell ref="A96:B96"/>
    <mergeCell ref="E98:F98"/>
    <mergeCell ref="D43:F43"/>
    <mergeCell ref="A61:B61"/>
    <mergeCell ref="E63:F63"/>
    <mergeCell ref="F73:H75"/>
    <mergeCell ref="D78:F78"/>
    <mergeCell ref="A26:B26"/>
    <mergeCell ref="D7:F7"/>
    <mergeCell ref="E1:F1"/>
    <mergeCell ref="E27:F27"/>
    <mergeCell ref="F38:H40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P38"/>
  <sheetViews>
    <sheetView topLeftCell="S1" zoomScaleNormal="100" workbookViewId="0">
      <selection activeCell="B1" sqref="B1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38" t="s">
        <v>46</v>
      </c>
      <c r="D1" s="238"/>
      <c r="E1" s="23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6.0220000000000002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93" t="s">
        <v>10</v>
      </c>
      <c r="M2" s="93">
        <v>0</v>
      </c>
      <c r="N2" s="93">
        <f>G3</f>
        <v>259.51</v>
      </c>
      <c r="O2" s="93" t="s">
        <v>10</v>
      </c>
      <c r="P2" s="93">
        <v>0</v>
      </c>
      <c r="Q2" s="93">
        <f>H3</f>
        <v>257</v>
      </c>
      <c r="R2" s="93" t="s">
        <v>10</v>
      </c>
      <c r="S2" s="93">
        <v>0</v>
      </c>
      <c r="T2" s="93">
        <f>I3</f>
        <v>271.58999999999997</v>
      </c>
      <c r="U2" s="93" t="s">
        <v>10</v>
      </c>
      <c r="V2" s="93">
        <v>0</v>
      </c>
      <c r="W2" s="93">
        <f>J3</f>
        <v>247</v>
      </c>
      <c r="X2" s="96">
        <v>233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93" t="s">
        <v>27</v>
      </c>
      <c r="AF2" s="93">
        <v>0</v>
      </c>
      <c r="AG2" s="93">
        <f>Z3</f>
        <v>259.51</v>
      </c>
      <c r="AH2" s="93" t="s">
        <v>27</v>
      </c>
      <c r="AI2" s="93">
        <v>0</v>
      </c>
      <c r="AJ2" s="93">
        <f>AA3</f>
        <v>257</v>
      </c>
      <c r="AK2" s="93" t="s">
        <v>27</v>
      </c>
      <c r="AL2" s="93">
        <v>0</v>
      </c>
      <c r="AM2" s="93">
        <f>AB3</f>
        <v>271.58999999999997</v>
      </c>
      <c r="AN2" s="93" t="s">
        <v>27</v>
      </c>
      <c r="AO2" s="93">
        <v>0</v>
      </c>
      <c r="AP2" s="93">
        <f>AC3</f>
        <v>247</v>
      </c>
    </row>
    <row r="3" spans="1:42">
      <c r="A3" s="7" t="s">
        <v>2</v>
      </c>
      <c r="B3" s="27">
        <f>Plan1!B3</f>
        <v>1</v>
      </c>
      <c r="C3" s="5"/>
      <c r="D3" s="26">
        <f>A9</f>
        <v>258.43625000000003</v>
      </c>
      <c r="F3" s="93">
        <v>100</v>
      </c>
      <c r="G3" s="93">
        <v>259.51</v>
      </c>
      <c r="H3" s="93">
        <v>257</v>
      </c>
      <c r="I3" s="93">
        <v>271.58999999999997</v>
      </c>
      <c r="J3" s="93">
        <v>247</v>
      </c>
      <c r="L3" s="93" t="s">
        <v>10</v>
      </c>
      <c r="M3" s="93">
        <v>-5</v>
      </c>
      <c r="N3" s="93">
        <f>G8</f>
        <v>262.57</v>
      </c>
      <c r="O3" s="93" t="s">
        <v>10</v>
      </c>
      <c r="P3" s="93">
        <v>-5</v>
      </c>
      <c r="Q3" s="93">
        <f>H8</f>
        <v>268</v>
      </c>
      <c r="R3" s="93" t="s">
        <v>10</v>
      </c>
      <c r="S3" s="93">
        <v>-5</v>
      </c>
      <c r="T3" s="93">
        <f>I8</f>
        <v>275.23</v>
      </c>
      <c r="U3" s="93" t="s">
        <v>10</v>
      </c>
      <c r="V3" s="93">
        <v>-5</v>
      </c>
      <c r="W3" s="93">
        <f>J8</f>
        <v>249.47</v>
      </c>
      <c r="X3" s="96">
        <v>183</v>
      </c>
      <c r="Y3" s="93">
        <v>100</v>
      </c>
      <c r="Z3" s="93">
        <f>G3</f>
        <v>259.51</v>
      </c>
      <c r="AA3" s="93">
        <f t="shared" ref="AA3:AC3" si="0">H3</f>
        <v>257</v>
      </c>
      <c r="AB3" s="93">
        <f t="shared" si="0"/>
        <v>271.58999999999997</v>
      </c>
      <c r="AC3" s="93">
        <f t="shared" si="0"/>
        <v>247</v>
      </c>
      <c r="AE3" s="93" t="s">
        <v>27</v>
      </c>
      <c r="AF3" s="93">
        <v>5</v>
      </c>
      <c r="AG3" s="93">
        <f>Z8</f>
        <v>256.11</v>
      </c>
      <c r="AH3" s="93" t="s">
        <v>27</v>
      </c>
      <c r="AI3" s="93">
        <v>5</v>
      </c>
      <c r="AJ3" s="93">
        <f>AA8</f>
        <v>245</v>
      </c>
      <c r="AK3" s="93" t="s">
        <v>27</v>
      </c>
      <c r="AL3" s="93">
        <v>5</v>
      </c>
      <c r="AM3" s="93">
        <f>AB8</f>
        <v>267.58</v>
      </c>
      <c r="AN3" s="93" t="s">
        <v>27</v>
      </c>
      <c r="AO3" s="93">
        <v>5</v>
      </c>
      <c r="AP3" s="93">
        <f>AC8</f>
        <v>244.23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258.08955427953191</v>
      </c>
      <c r="F4" s="93">
        <v>95</v>
      </c>
      <c r="G4" s="93">
        <v>241.49</v>
      </c>
      <c r="H4" s="93">
        <v>209</v>
      </c>
      <c r="I4" s="93">
        <v>251.41</v>
      </c>
      <c r="J4" s="93">
        <v>231.27</v>
      </c>
      <c r="K4" s="16"/>
      <c r="L4" s="93" t="s">
        <v>10</v>
      </c>
      <c r="M4" s="93">
        <v>-10</v>
      </c>
      <c r="N4" s="93">
        <f>G13</f>
        <v>265.35000000000002</v>
      </c>
      <c r="O4" s="93" t="s">
        <v>10</v>
      </c>
      <c r="P4" s="93">
        <v>-10</v>
      </c>
      <c r="Q4" s="93">
        <f>H13</f>
        <v>279</v>
      </c>
      <c r="R4" s="93" t="s">
        <v>10</v>
      </c>
      <c r="S4" s="93">
        <v>-10</v>
      </c>
      <c r="T4" s="93">
        <f>I13</f>
        <v>278.55</v>
      </c>
      <c r="U4" s="93" t="s">
        <v>10</v>
      </c>
      <c r="V4" s="93">
        <v>-10</v>
      </c>
      <c r="W4" s="93">
        <f>J13</f>
        <v>251.69</v>
      </c>
      <c r="X4" s="96">
        <v>141</v>
      </c>
      <c r="Y4" s="93">
        <v>95</v>
      </c>
      <c r="Z4" s="93">
        <f t="shared" ref="Z4:Z5" si="1">G4</f>
        <v>241.49</v>
      </c>
      <c r="AA4" s="93">
        <f t="shared" ref="AA4:AA5" si="2">H4</f>
        <v>209</v>
      </c>
      <c r="AB4" s="93">
        <f t="shared" ref="AB4:AB5" si="3">I4</f>
        <v>251.41</v>
      </c>
      <c r="AC4" s="93">
        <f t="shared" ref="AC4:AC5" si="4">J4</f>
        <v>231.27</v>
      </c>
      <c r="AE4" s="93" t="s">
        <v>27</v>
      </c>
      <c r="AF4" s="93">
        <v>10</v>
      </c>
      <c r="AG4" s="93">
        <f>Z13</f>
        <v>252.29</v>
      </c>
      <c r="AH4" s="93" t="s">
        <v>27</v>
      </c>
      <c r="AI4" s="93">
        <v>10</v>
      </c>
      <c r="AJ4" s="93">
        <f>AA13</f>
        <v>233</v>
      </c>
      <c r="AK4" s="93" t="s">
        <v>27</v>
      </c>
      <c r="AL4" s="93">
        <v>10</v>
      </c>
      <c r="AM4" s="93">
        <f>AB13</f>
        <v>263.10000000000002</v>
      </c>
      <c r="AN4" s="93" t="s">
        <v>27</v>
      </c>
      <c r="AO4" s="93">
        <v>10</v>
      </c>
      <c r="AP4" s="93">
        <f>AC13</f>
        <v>241.07</v>
      </c>
    </row>
    <row r="5" spans="1:42">
      <c r="A5" s="7" t="s">
        <v>4</v>
      </c>
      <c r="B5" s="7">
        <f>Plan1!B5</f>
        <v>-1.8784359062401523</v>
      </c>
      <c r="C5" s="2"/>
      <c r="F5" s="93">
        <v>90</v>
      </c>
      <c r="G5" s="93">
        <v>223.43</v>
      </c>
      <c r="H5" s="93">
        <v>170</v>
      </c>
      <c r="I5" s="93">
        <v>231.59</v>
      </c>
      <c r="J5" s="93">
        <v>215.07</v>
      </c>
      <c r="K5" s="16"/>
      <c r="L5" s="93" t="s">
        <v>10</v>
      </c>
      <c r="M5" s="93">
        <v>-15</v>
      </c>
      <c r="N5" s="93">
        <f>G18</f>
        <v>267.88</v>
      </c>
      <c r="O5" s="93" t="s">
        <v>10</v>
      </c>
      <c r="P5" s="93">
        <v>-15</v>
      </c>
      <c r="Q5" s="93">
        <f>H18</f>
        <v>289</v>
      </c>
      <c r="R5" s="93" t="s">
        <v>10</v>
      </c>
      <c r="S5" s="93">
        <v>-15</v>
      </c>
      <c r="T5" s="93">
        <f>I18</f>
        <v>281.61</v>
      </c>
      <c r="U5" s="93" t="s">
        <v>10</v>
      </c>
      <c r="V5" s="93">
        <v>-15</v>
      </c>
      <c r="W5" s="93">
        <f>J18</f>
        <v>253.7</v>
      </c>
      <c r="X5" s="96">
        <v>252.29</v>
      </c>
      <c r="Y5" s="93">
        <v>90</v>
      </c>
      <c r="Z5" s="93">
        <f t="shared" si="1"/>
        <v>223.43</v>
      </c>
      <c r="AA5" s="93">
        <f t="shared" si="2"/>
        <v>170</v>
      </c>
      <c r="AB5" s="93">
        <f t="shared" si="3"/>
        <v>231.59</v>
      </c>
      <c r="AC5" s="93">
        <f t="shared" si="4"/>
        <v>215.07</v>
      </c>
      <c r="AE5" s="93" t="s">
        <v>27</v>
      </c>
      <c r="AF5" s="93">
        <v>15</v>
      </c>
      <c r="AG5" s="93">
        <f>Z18</f>
        <v>247.9</v>
      </c>
      <c r="AH5" s="93" t="s">
        <v>27</v>
      </c>
      <c r="AI5" s="93">
        <v>15</v>
      </c>
      <c r="AJ5" s="93">
        <f>AA18</f>
        <v>219</v>
      </c>
      <c r="AK5" s="93" t="s">
        <v>27</v>
      </c>
      <c r="AL5" s="93">
        <v>15</v>
      </c>
      <c r="AM5" s="93">
        <f>AB18</f>
        <v>257.99</v>
      </c>
      <c r="AN5" s="93" t="s">
        <v>27</v>
      </c>
      <c r="AO5" s="93">
        <v>15</v>
      </c>
      <c r="AP5" s="93">
        <f>AC18</f>
        <v>237.42</v>
      </c>
    </row>
    <row r="6" spans="1:42">
      <c r="A6" s="7" t="s">
        <v>5</v>
      </c>
      <c r="B6" s="29">
        <f>Plan1!B6</f>
        <v>0.85</v>
      </c>
      <c r="C6" s="6"/>
      <c r="K6" s="16"/>
      <c r="L6" s="93" t="s">
        <v>10</v>
      </c>
      <c r="M6" s="93">
        <v>-20</v>
      </c>
      <c r="N6" s="93">
        <f>G23</f>
        <v>270.24</v>
      </c>
      <c r="O6" s="93" t="s">
        <v>10</v>
      </c>
      <c r="P6" s="93">
        <v>-20</v>
      </c>
      <c r="Q6" s="93">
        <f>H23</f>
        <v>299</v>
      </c>
      <c r="R6" s="93" t="s">
        <v>10</v>
      </c>
      <c r="S6" s="93">
        <v>-20</v>
      </c>
      <c r="T6" s="93">
        <f>I23</f>
        <v>284.45</v>
      </c>
      <c r="U6" s="93" t="s">
        <v>10</v>
      </c>
      <c r="V6" s="93">
        <v>-20</v>
      </c>
      <c r="W6" s="93">
        <f>J23</f>
        <v>255.51</v>
      </c>
      <c r="X6" s="96">
        <v>231.96</v>
      </c>
      <c r="AE6" s="93" t="s">
        <v>27</v>
      </c>
      <c r="AF6" s="93">
        <v>20</v>
      </c>
      <c r="AG6" s="93">
        <f>Z23</f>
        <v>242.75</v>
      </c>
      <c r="AH6" s="93" t="s">
        <v>27</v>
      </c>
      <c r="AI6" s="93">
        <v>20</v>
      </c>
      <c r="AJ6" s="93">
        <f>AA23</f>
        <v>204</v>
      </c>
      <c r="AK6" s="93" t="s">
        <v>27</v>
      </c>
      <c r="AL6" s="93">
        <v>20</v>
      </c>
      <c r="AM6" s="93">
        <f>AB23</f>
        <v>252.02</v>
      </c>
      <c r="AN6" s="93" t="s">
        <v>27</v>
      </c>
      <c r="AO6" s="93">
        <v>20</v>
      </c>
      <c r="AP6" s="93">
        <f>AC23</f>
        <v>233.11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93" t="s">
        <v>10</v>
      </c>
      <c r="M7" s="93">
        <v>-25</v>
      </c>
      <c r="N7" s="93">
        <f>G28</f>
        <v>272.42</v>
      </c>
      <c r="O7" s="93" t="s">
        <v>10</v>
      </c>
      <c r="P7" s="93">
        <v>-25</v>
      </c>
      <c r="Q7" s="93">
        <f>H28</f>
        <v>308</v>
      </c>
      <c r="R7" s="93" t="s">
        <v>10</v>
      </c>
      <c r="S7" s="93">
        <v>-25</v>
      </c>
      <c r="T7" s="93">
        <f>I28</f>
        <v>287.10000000000002</v>
      </c>
      <c r="U7" s="93" t="s">
        <v>10</v>
      </c>
      <c r="V7" s="93">
        <v>-25</v>
      </c>
      <c r="W7" s="93">
        <f>J28</f>
        <v>257.22000000000003</v>
      </c>
      <c r="X7" s="96">
        <v>211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93" t="s">
        <v>28</v>
      </c>
      <c r="AF7" s="9">
        <f>$B$2</f>
        <v>6.0220000000000002</v>
      </c>
      <c r="AG7" s="11">
        <f>AG2*(AF7-AF3)*(AF7-AF4)*(AF7-AF5)*(AF7-AF6)/((AF2-AF3)*(AF2-AF4)*(AF2-AF5)*(AF2-AF6))+AG3*(AF7-AF2)*(AF7-AF4)*(AF7-AF5)*(AF7-AF6)/((AF3-AF2)*(AF3-AF4)*(AF3-AF5)*(AF3-AF6))+AG4*(AF7-AF2)*(AF7-AF3)*(AF7-AF5)*(AF7-AF6)/((AF4-AF2)*(AF4-AF3)*(AF4-AF5)*(AF4-AF6))+AG5*(AF7-AF2)*(AF7-AF3)*(AF7-AF4)*(AF7-AF6)/((AF5-AF2)*(AF5-AF3)*(AF5-AF4)*(AF5-AF6))+AG6*(AF7-AF2)*(AF7-AF3)*(AF7-AF4)*(AF7-AF5)/((AF6-AF2)*(AF6-AF3)*(AF6-AF4)*(AF6-AF5))</f>
        <v>255.36765269728284</v>
      </c>
      <c r="AH7" s="95" t="s">
        <v>28</v>
      </c>
      <c r="AI7" s="9">
        <f>$B$2</f>
        <v>6.0220000000000002</v>
      </c>
      <c r="AJ7" s="11">
        <f>AJ2*(AI7-AI3)*(AI7-AI4)*(AI7-AI5)*(AI7-AI6)/((AI2-AI3)*(AI2-AI4)*(AI2-AI5)*(AI2-AI6))+AJ3*(AI7-AI2)*(AI7-AI4)*(AI7-AI5)*(AI7-AI6)/((AI3-AI2)*(AI3-AI4)*(AI3-AI5)*(AI3-AI6))+AJ4*(AI7-AI2)*(AI7-AI3)*(AI7-AI5)*(AI7-AI6)/((AI4-AI2)*(AI4-AI3)*(AI4-AI5)*(AI4-AI6))+AJ5*(AI7-AI2)*(AI7-AI3)*(AI7-AI4)*(AI7-AI6)/((AI5-AI2)*(AI5-AI3)*(AI5-AI4)*(AI5-AI6))+AJ6*(AI7-AI2)*(AI7-AI3)*(AI7-AI4)*(AI7-AI5)/((AI6-AI2)*(AI6-AI3)*(AI6-AI4)*(AI6-AI5))</f>
        <v>242.65644761034127</v>
      </c>
      <c r="AK7" s="95" t="s">
        <v>28</v>
      </c>
      <c r="AL7" s="9">
        <f>$B$2</f>
        <v>6.0220000000000002</v>
      </c>
      <c r="AM7" s="11">
        <f t="shared" ref="AM7:AP7" si="5">AM2*(AL7-AL3)*(AL7-AL4)*(AL7-AL5)*(AL7-AL6)/((AL2-AL3)*(AL2-AL4)*(AL2-AL5)*(AL2-AL6))+AM3*(AL7-AL2)*(AL7-AL4)*(AL7-AL5)*(AL7-AL6)/((AL3-AL2)*(AL3-AL4)*(AL3-AL5)*(AL3-AL6))+AM4*(AL7-AL2)*(AL7-AL3)*(AL7-AL5)*(AL7-AL6)/((AL4-AL2)*(AL4-AL3)*(AL4-AL5)*(AL4-AL6))+AM5*(AL7-AL2)*(AL7-AL3)*(AL7-AL4)*(AL7-AL6)/((AL5-AL2)*(AL5-AL3)*(AL5-AL4)*(AL5-AL6))+AM6*(AL7-AL2)*(AL7-AL3)*(AL7-AL4)*(AL7-AL5)/((AL6-AL2)*(AL6-AL3)*(AL6-AL4)*(AL6-AL5))</f>
        <v>266.70670103867349</v>
      </c>
      <c r="AN7" s="95" t="s">
        <v>28</v>
      </c>
      <c r="AO7" s="9">
        <f>$B$2</f>
        <v>6.0220000000000002</v>
      </c>
      <c r="AP7" s="11">
        <f t="shared" si="5"/>
        <v>243.61804561008529</v>
      </c>
    </row>
    <row r="8" spans="1:42">
      <c r="D8"/>
      <c r="F8" s="93">
        <v>100</v>
      </c>
      <c r="G8" s="93">
        <v>262.57</v>
      </c>
      <c r="H8" s="93">
        <v>268</v>
      </c>
      <c r="I8" s="93">
        <v>275.23</v>
      </c>
      <c r="J8" s="93">
        <v>249.47</v>
      </c>
      <c r="K8" s="13"/>
      <c r="L8" s="93" t="s">
        <v>11</v>
      </c>
      <c r="M8" s="9">
        <f>$B$2</f>
        <v>6.0220000000000002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255.70200520068448</v>
      </c>
      <c r="O8" s="93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254.35559999101713</v>
      </c>
      <c r="R8" s="93" t="s">
        <v>11</v>
      </c>
      <c r="S8" s="9">
        <f>$B$2</f>
        <v>6.0220000000000002</v>
      </c>
      <c r="T8" s="93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266.65079009617278</v>
      </c>
      <c r="U8" s="93" t="s">
        <v>11</v>
      </c>
      <c r="V8" s="9">
        <f>$B$2</f>
        <v>6.0220000000000002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243.40567199565953</v>
      </c>
      <c r="X8" s="96">
        <v>263.10000000000002</v>
      </c>
      <c r="Y8" s="93">
        <v>100</v>
      </c>
      <c r="Z8" s="93">
        <v>256.11</v>
      </c>
      <c r="AA8" s="93">
        <v>245</v>
      </c>
      <c r="AB8" s="93">
        <v>267.58</v>
      </c>
      <c r="AC8" s="93">
        <v>244.23</v>
      </c>
    </row>
    <row r="9" spans="1:42">
      <c r="A9" s="4">
        <f>0*(B6-0.9)*(B6-0.8)/((1-0.9)*(1-0.8))+7.7*(B6-1)*(B6-0.8)/((0.9-1)*(0.9-0.8))+16.19*(B6-1)*(B6-0.9)/((0.8-1)*(0.8-0.9))+B1</f>
        <v>258.43625000000003</v>
      </c>
      <c r="D9"/>
      <c r="F9" s="93">
        <v>95</v>
      </c>
      <c r="G9" s="93">
        <v>245.33</v>
      </c>
      <c r="H9" s="93">
        <v>221</v>
      </c>
      <c r="I9" s="93">
        <v>255.89</v>
      </c>
      <c r="J9" s="93">
        <v>234.52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X9" s="96">
        <v>240.49</v>
      </c>
      <c r="Y9" s="93">
        <v>95</v>
      </c>
      <c r="Z9" s="93">
        <v>237.08</v>
      </c>
      <c r="AA9" s="93">
        <v>196</v>
      </c>
      <c r="AB9" s="93">
        <v>246.35</v>
      </c>
      <c r="AC9" s="93">
        <v>227.53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D10"/>
      <c r="F10" s="93">
        <v>90</v>
      </c>
      <c r="G10" s="93">
        <v>228.23</v>
      </c>
      <c r="H10" s="93">
        <v>182</v>
      </c>
      <c r="I10" s="93">
        <v>237.02</v>
      </c>
      <c r="J10" s="93">
        <v>219.22</v>
      </c>
      <c r="K10" s="13"/>
      <c r="L10" s="93" t="s">
        <v>10</v>
      </c>
      <c r="M10" s="93">
        <v>0</v>
      </c>
      <c r="N10" s="93">
        <f>G4</f>
        <v>241.49</v>
      </c>
      <c r="O10" s="93" t="s">
        <v>10</v>
      </c>
      <c r="P10" s="93">
        <v>0</v>
      </c>
      <c r="Q10" s="93">
        <f>H4</f>
        <v>209</v>
      </c>
      <c r="R10" s="93" t="s">
        <v>10</v>
      </c>
      <c r="S10" s="93">
        <v>0</v>
      </c>
      <c r="T10" s="93">
        <f>I4</f>
        <v>251.41</v>
      </c>
      <c r="U10" s="93" t="s">
        <v>10</v>
      </c>
      <c r="V10" s="93">
        <v>0</v>
      </c>
      <c r="W10" s="93">
        <f>J4</f>
        <v>231.27</v>
      </c>
      <c r="X10" s="96">
        <v>217.67</v>
      </c>
      <c r="Y10" s="93">
        <v>90</v>
      </c>
      <c r="Z10" s="93">
        <v>217.82</v>
      </c>
      <c r="AA10" s="93">
        <v>156</v>
      </c>
      <c r="AB10" s="93">
        <v>225.28</v>
      </c>
      <c r="AC10" s="93">
        <v>210.17</v>
      </c>
      <c r="AE10" s="93" t="s">
        <v>27</v>
      </c>
      <c r="AF10" s="93">
        <v>0</v>
      </c>
      <c r="AG10" s="93">
        <f>Z4</f>
        <v>241.49</v>
      </c>
      <c r="AH10" s="93" t="s">
        <v>27</v>
      </c>
      <c r="AI10" s="93">
        <v>0</v>
      </c>
      <c r="AJ10" s="93">
        <f>AA4</f>
        <v>209</v>
      </c>
      <c r="AK10" s="93" t="s">
        <v>27</v>
      </c>
      <c r="AL10" s="93">
        <v>0</v>
      </c>
      <c r="AM10" s="93">
        <f>AB4</f>
        <v>251.41</v>
      </c>
      <c r="AN10" s="93" t="s">
        <v>27</v>
      </c>
      <c r="AO10" s="93">
        <v>0</v>
      </c>
      <c r="AP10" s="93">
        <f>AC4</f>
        <v>231.27</v>
      </c>
    </row>
    <row r="11" spans="1:42">
      <c r="A11" s="93" t="s">
        <v>23</v>
      </c>
      <c r="B11" s="93">
        <f>Plan1!B17</f>
        <v>86</v>
      </c>
      <c r="D11"/>
      <c r="K11" s="13"/>
      <c r="L11" s="93" t="s">
        <v>10</v>
      </c>
      <c r="M11" s="93">
        <v>-5</v>
      </c>
      <c r="N11" s="93">
        <f>G9</f>
        <v>245.33</v>
      </c>
      <c r="O11" s="93" t="s">
        <v>10</v>
      </c>
      <c r="P11" s="93">
        <v>-5</v>
      </c>
      <c r="Q11" s="93">
        <f>H9</f>
        <v>221</v>
      </c>
      <c r="R11" s="93" t="s">
        <v>10</v>
      </c>
      <c r="S11" s="93">
        <v>-5</v>
      </c>
      <c r="T11" s="93">
        <f>I9</f>
        <v>255.89</v>
      </c>
      <c r="U11" s="93" t="s">
        <v>10</v>
      </c>
      <c r="V11" s="93">
        <v>-5</v>
      </c>
      <c r="W11" s="93">
        <f>J9</f>
        <v>234.52</v>
      </c>
      <c r="X11" s="96">
        <v>241.07</v>
      </c>
      <c r="AE11" s="93" t="s">
        <v>27</v>
      </c>
      <c r="AF11" s="93">
        <v>5</v>
      </c>
      <c r="AG11" s="93">
        <f>Z9</f>
        <v>237.08</v>
      </c>
      <c r="AH11" s="93" t="s">
        <v>27</v>
      </c>
      <c r="AI11" s="93">
        <v>5</v>
      </c>
      <c r="AJ11" s="93">
        <f>AA9</f>
        <v>196</v>
      </c>
      <c r="AK11" s="93" t="s">
        <v>27</v>
      </c>
      <c r="AL11" s="93">
        <v>5</v>
      </c>
      <c r="AM11" s="93">
        <f>AB9</f>
        <v>246.35</v>
      </c>
      <c r="AN11" s="93" t="s">
        <v>27</v>
      </c>
      <c r="AO11" s="93">
        <v>5</v>
      </c>
      <c r="AP11" s="93">
        <f>AC9</f>
        <v>227.53</v>
      </c>
    </row>
    <row r="12" spans="1:42">
      <c r="A12" s="93" t="s">
        <v>24</v>
      </c>
      <c r="B12" s="93">
        <f>Plan1!B18</f>
        <v>49.06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93" t="s">
        <v>10</v>
      </c>
      <c r="M12" s="93">
        <v>-10</v>
      </c>
      <c r="N12" s="93">
        <f>G14</f>
        <v>248.82</v>
      </c>
      <c r="O12" s="93" t="s">
        <v>10</v>
      </c>
      <c r="P12" s="93">
        <v>-10</v>
      </c>
      <c r="Q12" s="93">
        <f>H14</f>
        <v>232</v>
      </c>
      <c r="R12" s="93" t="s">
        <v>10</v>
      </c>
      <c r="S12" s="93">
        <v>-10</v>
      </c>
      <c r="T12" s="93">
        <f>I14</f>
        <v>259.91000000000003</v>
      </c>
      <c r="U12" s="93" t="s">
        <v>10</v>
      </c>
      <c r="V12" s="93">
        <v>-10</v>
      </c>
      <c r="W12" s="93">
        <f>J14</f>
        <v>237.39</v>
      </c>
      <c r="X12" s="96">
        <v>223.14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93" t="s">
        <v>27</v>
      </c>
      <c r="AF12" s="93">
        <v>10</v>
      </c>
      <c r="AG12" s="93">
        <f>Z14</f>
        <v>231.96</v>
      </c>
      <c r="AH12" s="93" t="s">
        <v>27</v>
      </c>
      <c r="AI12" s="93">
        <v>10</v>
      </c>
      <c r="AJ12" s="93">
        <f>AA14</f>
        <v>183</v>
      </c>
      <c r="AK12" s="93" t="s">
        <v>27</v>
      </c>
      <c r="AL12" s="93">
        <v>10</v>
      </c>
      <c r="AM12" s="93">
        <f>AB14</f>
        <v>240.49</v>
      </c>
      <c r="AN12" s="93" t="s">
        <v>27</v>
      </c>
      <c r="AO12" s="93">
        <v>10</v>
      </c>
      <c r="AP12" s="93">
        <f>AC14</f>
        <v>223.14</v>
      </c>
    </row>
    <row r="13" spans="1:42">
      <c r="A13" s="93" t="s">
        <v>25</v>
      </c>
      <c r="B13" s="93">
        <f>COS(RADIANS(B12))</f>
        <v>0.65526833938609963</v>
      </c>
      <c r="D13"/>
      <c r="F13" s="93">
        <v>100</v>
      </c>
      <c r="G13" s="93">
        <v>265.35000000000002</v>
      </c>
      <c r="H13" s="93">
        <v>279</v>
      </c>
      <c r="I13" s="93">
        <v>278.55</v>
      </c>
      <c r="J13" s="93">
        <v>251.69</v>
      </c>
      <c r="K13" s="17"/>
      <c r="L13" s="93" t="s">
        <v>10</v>
      </c>
      <c r="M13" s="93">
        <v>-15</v>
      </c>
      <c r="N13" s="93">
        <f>G19</f>
        <v>251.94</v>
      </c>
      <c r="O13" s="93" t="s">
        <v>10</v>
      </c>
      <c r="P13" s="93">
        <v>-15</v>
      </c>
      <c r="Q13" s="93">
        <f>H19</f>
        <v>242</v>
      </c>
      <c r="R13" s="93" t="s">
        <v>10</v>
      </c>
      <c r="S13" s="93">
        <v>-15</v>
      </c>
      <c r="T13" s="93">
        <f>I19</f>
        <v>263.57</v>
      </c>
      <c r="U13" s="93" t="s">
        <v>10</v>
      </c>
      <c r="V13" s="93">
        <v>-15</v>
      </c>
      <c r="W13" s="93">
        <f>J19</f>
        <v>239.97</v>
      </c>
      <c r="X13" s="96">
        <v>204.15</v>
      </c>
      <c r="Y13" s="93">
        <v>100</v>
      </c>
      <c r="Z13" s="93">
        <v>252.29</v>
      </c>
      <c r="AA13" s="93">
        <v>233</v>
      </c>
      <c r="AB13" s="93">
        <v>263.10000000000002</v>
      </c>
      <c r="AC13" s="93">
        <v>241.07</v>
      </c>
      <c r="AE13" s="93" t="s">
        <v>27</v>
      </c>
      <c r="AF13" s="93">
        <v>15</v>
      </c>
      <c r="AG13" s="93">
        <f>Z19</f>
        <v>225.81</v>
      </c>
      <c r="AH13" s="93" t="s">
        <v>27</v>
      </c>
      <c r="AI13" s="93">
        <v>15</v>
      </c>
      <c r="AJ13" s="93">
        <f>AA19</f>
        <v>167</v>
      </c>
      <c r="AK13" s="93" t="s">
        <v>27</v>
      </c>
      <c r="AL13" s="93">
        <v>15</v>
      </c>
      <c r="AM13" s="93">
        <f>AB19</f>
        <v>233.53</v>
      </c>
      <c r="AN13" s="93" t="s">
        <v>27</v>
      </c>
      <c r="AO13" s="93">
        <v>15</v>
      </c>
      <c r="AP13" s="93">
        <f>AC19</f>
        <v>217.83</v>
      </c>
    </row>
    <row r="14" spans="1:42">
      <c r="A14" s="93" t="s">
        <v>26</v>
      </c>
      <c r="B14" s="93">
        <f>B5</f>
        <v>-1.8784359062401523</v>
      </c>
      <c r="D14"/>
      <c r="F14" s="93">
        <v>95</v>
      </c>
      <c r="G14" s="93">
        <v>248.82</v>
      </c>
      <c r="H14" s="93">
        <v>232</v>
      </c>
      <c r="I14" s="93">
        <v>259.91000000000003</v>
      </c>
      <c r="J14" s="93">
        <v>237.39</v>
      </c>
      <c r="K14" s="17"/>
      <c r="L14" s="93" t="s">
        <v>10</v>
      </c>
      <c r="M14" s="93">
        <v>-20</v>
      </c>
      <c r="N14" s="93">
        <f>G24</f>
        <v>254.78</v>
      </c>
      <c r="O14" s="93" t="s">
        <v>10</v>
      </c>
      <c r="P14" s="93">
        <v>-20</v>
      </c>
      <c r="Q14" s="93">
        <f>H24</f>
        <v>252</v>
      </c>
      <c r="R14" s="93" t="s">
        <v>10</v>
      </c>
      <c r="S14" s="93">
        <v>-20</v>
      </c>
      <c r="T14" s="93">
        <f>I24</f>
        <v>266.92</v>
      </c>
      <c r="U14" s="93" t="s">
        <v>10</v>
      </c>
      <c r="V14" s="93">
        <v>-20</v>
      </c>
      <c r="W14" s="93">
        <f>J24</f>
        <v>242.28</v>
      </c>
      <c r="Y14" s="93">
        <v>95</v>
      </c>
      <c r="Z14" s="93">
        <v>231.96</v>
      </c>
      <c r="AA14" s="93">
        <v>183</v>
      </c>
      <c r="AB14" s="93">
        <v>240.49</v>
      </c>
      <c r="AC14" s="93">
        <v>223.14</v>
      </c>
      <c r="AE14" s="93" t="s">
        <v>27</v>
      </c>
      <c r="AF14" s="93">
        <v>20</v>
      </c>
      <c r="AG14" s="93">
        <f>Z24</f>
        <v>218</v>
      </c>
      <c r="AH14" s="93" t="s">
        <v>27</v>
      </c>
      <c r="AI14" s="93">
        <v>20</v>
      </c>
      <c r="AJ14" s="93">
        <f>AA24</f>
        <v>149</v>
      </c>
      <c r="AK14" s="93" t="s">
        <v>27</v>
      </c>
      <c r="AL14" s="93">
        <v>20</v>
      </c>
      <c r="AM14" s="93">
        <f>AB24</f>
        <v>224.74</v>
      </c>
      <c r="AN14" s="93" t="s">
        <v>27</v>
      </c>
      <c r="AO14" s="93">
        <v>20</v>
      </c>
      <c r="AP14" s="93">
        <f>AC24</f>
        <v>211.01</v>
      </c>
    </row>
    <row r="15" spans="1:42">
      <c r="D15"/>
      <c r="F15" s="93">
        <v>90</v>
      </c>
      <c r="G15" s="93">
        <v>232.43</v>
      </c>
      <c r="H15" s="93">
        <v>193</v>
      </c>
      <c r="I15" s="93">
        <v>241.8</v>
      </c>
      <c r="J15" s="93">
        <v>222.83</v>
      </c>
      <c r="K15" s="13"/>
      <c r="L15" s="93" t="s">
        <v>10</v>
      </c>
      <c r="M15" s="93">
        <v>-25</v>
      </c>
      <c r="N15" s="93">
        <f>G29</f>
        <v>257.39</v>
      </c>
      <c r="O15" s="93" t="s">
        <v>10</v>
      </c>
      <c r="P15" s="93">
        <v>-25</v>
      </c>
      <c r="Q15" s="93">
        <f>H29</f>
        <v>262</v>
      </c>
      <c r="R15" s="93" t="s">
        <v>10</v>
      </c>
      <c r="S15" s="93">
        <v>-25</v>
      </c>
      <c r="T15" s="93">
        <f>I29</f>
        <v>270.01</v>
      </c>
      <c r="U15" s="93" t="s">
        <v>10</v>
      </c>
      <c r="V15" s="93">
        <v>-25</v>
      </c>
      <c r="W15" s="93">
        <f>J29</f>
        <v>244.4</v>
      </c>
      <c r="Y15" s="93">
        <v>90</v>
      </c>
      <c r="Z15" s="93">
        <v>211</v>
      </c>
      <c r="AA15" s="93">
        <v>141</v>
      </c>
      <c r="AB15" s="93">
        <v>217.67</v>
      </c>
      <c r="AC15" s="93">
        <v>204.15</v>
      </c>
      <c r="AE15" s="93" t="s">
        <v>28</v>
      </c>
      <c r="AF15" s="9">
        <f>$B$2</f>
        <v>6.0220000000000002</v>
      </c>
      <c r="AG15" s="11">
        <f>AG10*(AF15-AF11)*(AF15-AF12)*(AF15-AF13)*(AF15-AF14)/((AF10-AF11)*(AF10-AF12)*(AF10-AF13)*(AF10-AF14))+AG11*(AF15-AF10)*(AF15-AF12)*(AF15-AF13)*(AF15-AF14)/((AF11-AF10)*(AF11-AF12)*(AF11-AF13)*(AF11-AF14))+AG12*(AF15-AF10)*(AF15-AF11)*(AF15-AF13)*(AF15-AF14)/((AF12-AF10)*(AF12-AF11)*(AF12-AF13)*(AF12-AF14))+AG13*(AF15-AF10)*(AF15-AF11)*(AF15-AF12)*(AF15-AF14)/((AF13-AF10)*(AF13-AF11)*(AF13-AF12)*(AF13-AF14))+AG14*(AF15-AF10)*(AF15-AF11)*(AF15-AF12)*(AF15-AF13)/((AF14-AF10)*(AF14-AF11)*(AF14-AF12)*(AF14-AF13))</f>
        <v>236.09710558924968</v>
      </c>
      <c r="AH15" s="95" t="s">
        <v>28</v>
      </c>
      <c r="AI15" s="9">
        <f>$B$2</f>
        <v>6.0220000000000002</v>
      </c>
      <c r="AJ15" s="11">
        <f t="shared" ref="AJ15:AP15" si="6">AJ10*(AI15-AI11)*(AI15-AI12)*(AI15-AI13)*(AI15-AI14)/((AI10-AI11)*(AI10-AI12)*(AI10-AI13)*(AI10-AI14))+AJ11*(AI15-AI10)*(AI15-AI12)*(AI15-AI13)*(AI15-AI14)/((AI11-AI10)*(AI11-AI12)*(AI11-AI13)*(AI11-AI14))+AJ12*(AI15-AI10)*(AI15-AI11)*(AI15-AI13)*(AI15-AI14)/((AI12-AI10)*(AI12-AI11)*(AI12-AI13)*(AI12-AI14))+AJ13*(AI15-AI10)*(AI15-AI11)*(AI15-AI12)*(AI15-AI14)/((AI13-AI10)*(AI13-AI11)*(AI13-AI12)*(AI13-AI14))+AJ14*(AI15-AI10)*(AI15-AI11)*(AI15-AI12)*(AI15-AI13)/((AI14-AI10)*(AI14-AI11)*(AI14-AI12)*(AI14-AI13))</f>
        <v>193.49934460816701</v>
      </c>
      <c r="AK15" s="95" t="s">
        <v>28</v>
      </c>
      <c r="AL15" s="9">
        <f>$B$2</f>
        <v>6.0220000000000002</v>
      </c>
      <c r="AM15" s="11">
        <f>AM10*(AL15-AL11)*(AL15-AL12)*(AL15-AL13)*(AL15-AL14)/((AL10-AL11)*(AL10-AL12)*(AL10-AL13)*(AL10-AL14))+AM11*(AL15-AL10)*(AL15-AL12)*(AL15-AL13)*(AL15-AL14)/((AL11-AL10)*(AL11-AL12)*(AL11-AL13)*(AL11-AL14))+AM12*(AL15-AL10)*(AL15-AL11)*(AL15-AL13)*(AL15-AL14)/((AL12-AL10)*(AL12-AL11)*(AL12-AL13)*(AL12-AL14))+AM13*(AL15-AL10)*(AL15-AL11)*(AL15-AL12)*(AL15-AL14)/((AL13-AL10)*(AL13-AL11)*(AL13-AL12)*(AL13-AL14))+AM14*(AL15-AL10)*(AL15-AL11)*(AL15-AL12)*(AL15-AL13)/((AL14-AL10)*(AL14-AL11)*(AL14-AL12)*(AL14-AL13))</f>
        <v>245.22075621662424</v>
      </c>
      <c r="AN15" s="95" t="s">
        <v>28</v>
      </c>
      <c r="AO15" s="9">
        <f>$B$2</f>
        <v>6.0220000000000002</v>
      </c>
      <c r="AP15" s="11">
        <f t="shared" si="6"/>
        <v>226.68966026474601</v>
      </c>
    </row>
    <row r="16" spans="1:42">
      <c r="A16" s="93" t="s">
        <v>32</v>
      </c>
      <c r="B16" s="23">
        <f>B3*SIN(RADIANS(B4))</f>
        <v>0.95798784374570456</v>
      </c>
      <c r="D16"/>
      <c r="K16" s="13"/>
      <c r="L16" s="93" t="s">
        <v>11</v>
      </c>
      <c r="M16" s="9">
        <f>$B$2</f>
        <v>6.0220000000000002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236.82548246975239</v>
      </c>
      <c r="O16" s="93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197.81274232707739</v>
      </c>
      <c r="R16" s="93" t="s">
        <v>11</v>
      </c>
      <c r="S16" s="9">
        <f>$B$2</f>
        <v>6.0220000000000002</v>
      </c>
      <c r="T16" s="93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245.1097635367081</v>
      </c>
      <c r="U16" s="93" t="s">
        <v>11</v>
      </c>
      <c r="V16" s="9">
        <f>$B$2</f>
        <v>6.0220000000000002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226.41764064069741</v>
      </c>
    </row>
    <row r="17" spans="1:42">
      <c r="A17" s="93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D18"/>
      <c r="F18" s="93">
        <v>100</v>
      </c>
      <c r="G18" s="93">
        <v>267.88</v>
      </c>
      <c r="H18" s="93">
        <v>289</v>
      </c>
      <c r="I18" s="93">
        <v>281.61</v>
      </c>
      <c r="J18" s="93">
        <v>253.7</v>
      </c>
      <c r="K18" s="13"/>
      <c r="L18" s="93" t="s">
        <v>10</v>
      </c>
      <c r="M18" s="93">
        <v>0</v>
      </c>
      <c r="N18" s="93">
        <f>G5</f>
        <v>223.43</v>
      </c>
      <c r="O18" s="93" t="s">
        <v>10</v>
      </c>
      <c r="P18" s="93">
        <v>0</v>
      </c>
      <c r="Q18" s="93">
        <f>H5</f>
        <v>170</v>
      </c>
      <c r="R18" s="93" t="s">
        <v>10</v>
      </c>
      <c r="S18" s="93">
        <v>0</v>
      </c>
      <c r="T18" s="93">
        <f>I5</f>
        <v>231.59</v>
      </c>
      <c r="U18" s="93" t="s">
        <v>10</v>
      </c>
      <c r="V18" s="93">
        <v>0</v>
      </c>
      <c r="W18" s="93">
        <f>J5</f>
        <v>215.07</v>
      </c>
      <c r="Y18" s="93">
        <v>100</v>
      </c>
      <c r="Z18" s="93">
        <v>247.9</v>
      </c>
      <c r="AA18" s="93">
        <v>219</v>
      </c>
      <c r="AB18" s="93">
        <v>257.99</v>
      </c>
      <c r="AC18" s="93">
        <v>237.42</v>
      </c>
      <c r="AE18" s="93" t="s">
        <v>27</v>
      </c>
      <c r="AF18" s="93">
        <v>0</v>
      </c>
      <c r="AG18" s="93">
        <f>Z5</f>
        <v>223.43</v>
      </c>
      <c r="AH18" s="93" t="s">
        <v>27</v>
      </c>
      <c r="AI18" s="93">
        <v>0</v>
      </c>
      <c r="AJ18" s="93">
        <f>AA5</f>
        <v>170</v>
      </c>
      <c r="AK18" s="93" t="s">
        <v>27</v>
      </c>
      <c r="AL18" s="93">
        <v>0</v>
      </c>
      <c r="AM18" s="93">
        <f>AB5</f>
        <v>231.59</v>
      </c>
      <c r="AN18" s="93" t="s">
        <v>27</v>
      </c>
      <c r="AO18" s="93">
        <v>0</v>
      </c>
      <c r="AP18" s="93">
        <f>AC5</f>
        <v>215.07</v>
      </c>
    </row>
    <row r="19" spans="1:42">
      <c r="A19" s="93" t="s">
        <v>31</v>
      </c>
      <c r="B19" s="93" t="s">
        <v>35</v>
      </c>
      <c r="D19"/>
      <c r="F19" s="93">
        <v>95</v>
      </c>
      <c r="G19" s="93">
        <v>251.94</v>
      </c>
      <c r="H19" s="93">
        <v>242</v>
      </c>
      <c r="I19" s="93">
        <v>263.57</v>
      </c>
      <c r="J19" s="93">
        <v>239.97</v>
      </c>
      <c r="K19" s="13"/>
      <c r="L19" s="93" t="s">
        <v>10</v>
      </c>
      <c r="M19" s="93">
        <v>-5</v>
      </c>
      <c r="N19" s="93">
        <f>G10</f>
        <v>228.23</v>
      </c>
      <c r="O19" s="93" t="s">
        <v>10</v>
      </c>
      <c r="P19" s="93">
        <v>-5</v>
      </c>
      <c r="Q19" s="93">
        <f>H10</f>
        <v>182</v>
      </c>
      <c r="R19" s="93" t="s">
        <v>10</v>
      </c>
      <c r="S19" s="93">
        <v>-5</v>
      </c>
      <c r="T19" s="93">
        <f>I10</f>
        <v>237.02</v>
      </c>
      <c r="U19" s="93" t="s">
        <v>10</v>
      </c>
      <c r="V19" s="93">
        <v>-5</v>
      </c>
      <c r="W19" s="93">
        <f>J10</f>
        <v>219.22</v>
      </c>
      <c r="Y19" s="93">
        <v>95</v>
      </c>
      <c r="Z19" s="93">
        <v>225.81</v>
      </c>
      <c r="AA19" s="93">
        <v>167</v>
      </c>
      <c r="AB19" s="93">
        <v>233.53</v>
      </c>
      <c r="AC19" s="93">
        <v>217.83</v>
      </c>
      <c r="AE19" s="93" t="s">
        <v>27</v>
      </c>
      <c r="AF19" s="93">
        <v>5</v>
      </c>
      <c r="AG19" s="93">
        <f>Z10</f>
        <v>217.82</v>
      </c>
      <c r="AH19" s="93" t="s">
        <v>27</v>
      </c>
      <c r="AI19" s="93">
        <v>5</v>
      </c>
      <c r="AJ19" s="93">
        <f>AA10</f>
        <v>156</v>
      </c>
      <c r="AK19" s="93" t="s">
        <v>27</v>
      </c>
      <c r="AL19" s="93">
        <v>5</v>
      </c>
      <c r="AM19" s="93">
        <f>AB10</f>
        <v>225.28</v>
      </c>
      <c r="AN19" s="93" t="s">
        <v>27</v>
      </c>
      <c r="AO19" s="93">
        <v>5</v>
      </c>
      <c r="AP19" s="93">
        <f>AC10</f>
        <v>210.17</v>
      </c>
    </row>
    <row r="20" spans="1:42">
      <c r="A20" s="22">
        <f>(S27*(D2-R28)*(D2-R29)/((R27-R28)*(R27-R29))+S28*(D2-R27)*(D2-R29)/((R28-R27)*(R28-R29))+S29*(D2-R27)*(D2-R28)/((R29-R27)*(R29-R28)))</f>
        <v>219.12323107173529</v>
      </c>
      <c r="B20" s="23">
        <f>(B16*A20+(A21*B14))/(D2*(44/17.5))</f>
        <v>-0.32531015653802259</v>
      </c>
      <c r="D20"/>
      <c r="F20" s="93">
        <v>90</v>
      </c>
      <c r="G20" s="93">
        <v>236.16</v>
      </c>
      <c r="H20" s="93">
        <v>204</v>
      </c>
      <c r="I20" s="93">
        <v>246.08</v>
      </c>
      <c r="J20" s="93">
        <v>226</v>
      </c>
      <c r="K20" s="16"/>
      <c r="L20" s="93" t="s">
        <v>10</v>
      </c>
      <c r="M20" s="93">
        <v>-10</v>
      </c>
      <c r="N20" s="93">
        <f>G15</f>
        <v>232.43</v>
      </c>
      <c r="O20" s="93" t="s">
        <v>10</v>
      </c>
      <c r="P20" s="93">
        <v>-10</v>
      </c>
      <c r="Q20" s="93">
        <f>H15</f>
        <v>193</v>
      </c>
      <c r="R20" s="93" t="s">
        <v>10</v>
      </c>
      <c r="S20" s="93">
        <v>-10</v>
      </c>
      <c r="T20" s="93">
        <f>I15</f>
        <v>241.8</v>
      </c>
      <c r="U20" s="93" t="s">
        <v>10</v>
      </c>
      <c r="V20" s="93">
        <v>-10</v>
      </c>
      <c r="W20" s="93">
        <f>J15</f>
        <v>222.83</v>
      </c>
      <c r="Y20" s="93">
        <v>90</v>
      </c>
      <c r="Z20" s="93">
        <v>202.19</v>
      </c>
      <c r="AA20" s="93">
        <v>124</v>
      </c>
      <c r="AB20" s="93">
        <v>207.91</v>
      </c>
      <c r="AC20" s="93">
        <v>196.26</v>
      </c>
      <c r="AE20" s="93" t="s">
        <v>27</v>
      </c>
      <c r="AF20" s="93">
        <v>10</v>
      </c>
      <c r="AG20" s="93">
        <f>Z15</f>
        <v>211</v>
      </c>
      <c r="AH20" s="93" t="s">
        <v>27</v>
      </c>
      <c r="AI20" s="93">
        <v>10</v>
      </c>
      <c r="AJ20" s="93">
        <f>AA15</f>
        <v>141</v>
      </c>
      <c r="AK20" s="93" t="s">
        <v>27</v>
      </c>
      <c r="AL20" s="93">
        <v>10</v>
      </c>
      <c r="AM20" s="93">
        <f>AB15</f>
        <v>217.67</v>
      </c>
      <c r="AN20" s="93" t="s">
        <v>27</v>
      </c>
      <c r="AO20" s="93">
        <v>10</v>
      </c>
      <c r="AP20" s="93">
        <f>AC15</f>
        <v>204.15</v>
      </c>
    </row>
    <row r="21" spans="1:42">
      <c r="A21" s="22">
        <f>A20*1</f>
        <v>219.12323107173529</v>
      </c>
      <c r="D21"/>
      <c r="K21" s="16"/>
      <c r="L21" s="93" t="s">
        <v>10</v>
      </c>
      <c r="M21" s="93">
        <v>-15</v>
      </c>
      <c r="N21" s="93">
        <f>G20</f>
        <v>236.16</v>
      </c>
      <c r="O21" s="93" t="s">
        <v>10</v>
      </c>
      <c r="P21" s="93">
        <v>-15</v>
      </c>
      <c r="Q21" s="93">
        <f>H20</f>
        <v>204</v>
      </c>
      <c r="R21" s="93" t="s">
        <v>10</v>
      </c>
      <c r="S21" s="93">
        <v>-15</v>
      </c>
      <c r="T21" s="93">
        <f>I20</f>
        <v>246.08</v>
      </c>
      <c r="U21" s="93" t="s">
        <v>10</v>
      </c>
      <c r="V21" s="93">
        <v>-15</v>
      </c>
      <c r="W21" s="93">
        <f>J20</f>
        <v>226</v>
      </c>
      <c r="AE21" s="93" t="s">
        <v>27</v>
      </c>
      <c r="AF21" s="93">
        <v>15</v>
      </c>
      <c r="AG21" s="93">
        <f>Z20</f>
        <v>202.19</v>
      </c>
      <c r="AH21" s="93" t="s">
        <v>27</v>
      </c>
      <c r="AI21" s="93">
        <v>15</v>
      </c>
      <c r="AJ21" s="93">
        <f>AA20</f>
        <v>124</v>
      </c>
      <c r="AK21" s="93" t="s">
        <v>27</v>
      </c>
      <c r="AL21" s="93">
        <v>15</v>
      </c>
      <c r="AM21" s="93">
        <f>AB20</f>
        <v>207.91</v>
      </c>
      <c r="AN21" s="93" t="s">
        <v>27</v>
      </c>
      <c r="AO21" s="93">
        <v>15</v>
      </c>
      <c r="AP21" s="93">
        <f>AC20</f>
        <v>196.26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93" t="s">
        <v>10</v>
      </c>
      <c r="M22" s="93">
        <v>-20</v>
      </c>
      <c r="N22" s="93">
        <f>G25</f>
        <v>239.52</v>
      </c>
      <c r="O22" s="93" t="s">
        <v>10</v>
      </c>
      <c r="P22" s="93">
        <v>-20</v>
      </c>
      <c r="Q22" s="93">
        <f>H25</f>
        <v>214</v>
      </c>
      <c r="R22" s="93" t="s">
        <v>10</v>
      </c>
      <c r="S22" s="93">
        <v>-20</v>
      </c>
      <c r="T22" s="93">
        <f>I25</f>
        <v>249.95</v>
      </c>
      <c r="U22" s="93" t="s">
        <v>10</v>
      </c>
      <c r="V22" s="93">
        <v>-20</v>
      </c>
      <c r="W22" s="93">
        <f>J25</f>
        <v>228.83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93" t="s">
        <v>27</v>
      </c>
      <c r="AF22" s="93">
        <v>20</v>
      </c>
      <c r="AG22" s="93">
        <f>Z25</f>
        <v>188.98</v>
      </c>
      <c r="AH22" s="93" t="s">
        <v>27</v>
      </c>
      <c r="AI22" s="93">
        <v>20</v>
      </c>
      <c r="AJ22" s="93">
        <f>AA25</f>
        <v>101</v>
      </c>
      <c r="AK22" s="93" t="s">
        <v>27</v>
      </c>
      <c r="AL22" s="93">
        <v>20</v>
      </c>
      <c r="AM22" s="93">
        <f>AB25</f>
        <v>193.47</v>
      </c>
      <c r="AN22" s="93" t="s">
        <v>27</v>
      </c>
      <c r="AO22" s="93">
        <v>20</v>
      </c>
      <c r="AP22" s="93">
        <f>AC25</f>
        <v>184.54</v>
      </c>
    </row>
    <row r="23" spans="1:42">
      <c r="A23" s="93" t="s">
        <v>36</v>
      </c>
      <c r="B23" s="23">
        <f>B3*SIN(RADIANS(B4+B20*0.707))</f>
        <v>0.95913141812274849</v>
      </c>
      <c r="D23"/>
      <c r="F23" s="93">
        <v>100</v>
      </c>
      <c r="G23" s="93">
        <v>270.24</v>
      </c>
      <c r="H23" s="93">
        <v>299</v>
      </c>
      <c r="I23" s="93">
        <v>284.45</v>
      </c>
      <c r="J23" s="93">
        <v>255.51</v>
      </c>
      <c r="L23" s="93" t="s">
        <v>10</v>
      </c>
      <c r="M23" s="93">
        <v>-25</v>
      </c>
      <c r="N23" s="93">
        <f>G30</f>
        <v>242.57</v>
      </c>
      <c r="O23" s="93" t="s">
        <v>10</v>
      </c>
      <c r="P23" s="93">
        <v>-25</v>
      </c>
      <c r="Q23" s="93">
        <f>H30</f>
        <v>224</v>
      </c>
      <c r="R23" s="93" t="s">
        <v>10</v>
      </c>
      <c r="S23" s="93">
        <v>-25</v>
      </c>
      <c r="T23" s="93">
        <f>I30</f>
        <v>253.5</v>
      </c>
      <c r="U23" s="93" t="s">
        <v>10</v>
      </c>
      <c r="V23" s="93">
        <v>-25</v>
      </c>
      <c r="W23" s="93">
        <f>J30</f>
        <v>231.38</v>
      </c>
      <c r="Y23" s="93">
        <v>100</v>
      </c>
      <c r="Z23" s="93">
        <v>242.75</v>
      </c>
      <c r="AA23" s="93">
        <v>204</v>
      </c>
      <c r="AB23" s="93">
        <v>252.02</v>
      </c>
      <c r="AC23" s="93">
        <v>233.11</v>
      </c>
      <c r="AE23" s="93" t="s">
        <v>28</v>
      </c>
      <c r="AF23" s="9">
        <f>$B$2</f>
        <v>6.0220000000000002</v>
      </c>
      <c r="AG23" s="11">
        <f>AG18*(AF23-AF19)*(AF23-AF20)*(AF23-AF21)*(AF23-AF22)/((AF18-AF19)*(AF18-AF20)*(AF18-AF21)*(AF18-AF22))+AG19*(AF23-AF18)*(AF23-AF20)*(AF23-AF21)*(AF23-AF22)/((AF19-AF18)*(AF19-AF20)*(AF19-AF21)*(AF19-AF22))+AG20*(AF23-AF18)*(AF23-AF19)*(AF23-AF21)*(AF23-AF22)/((AF20-AF18)*(AF20-AF19)*(AF20-AF21)*(AF20-AF22))+AG21*(AF23-AF18)*(AF23-AF19)*(AF23-AF20)*(AF23-AF22)/((AF21-AF18)*(AF21-AF19)*(AF21-AF20)*(AF21-AF22))+AG22*(AF23-AF18)*(AF23-AF19)*(AF23-AF20)*(AF23-AF21)/((AF22-AF18)*(AF22-AF19)*(AF22-AF20)*(AF22-AF21))</f>
        <v>216.52595393410181</v>
      </c>
      <c r="AH23" s="95" t="s">
        <v>28</v>
      </c>
      <c r="AI23" s="9">
        <f>$B$2</f>
        <v>6.0220000000000002</v>
      </c>
      <c r="AJ23" s="11">
        <f t="shared" ref="AJ23:AP23" si="7">AJ18*(AI23-AI19)*(AI23-AI20)*(AI23-AI21)*(AI23-AI22)/((AI18-AI19)*(AI18-AI20)*(AI18-AI21)*(AI18-AI22))+AJ19*(AI23-AI18)*(AI23-AI20)*(AI23-AI21)*(AI23-AI22)/((AI19-AI18)*(AI19-AI20)*(AI19-AI21)*(AI19-AI22))+AJ20*(AI23-AI18)*(AI23-AI19)*(AI23-AI21)*(AI23-AI22)/((AI20-AI18)*(AI20-AI19)*(AI20-AI21)*(AI20-AI22))+AJ21*(AI23-AI18)*(AI23-AI19)*(AI23-AI20)*(AI23-AI22)/((AI21-AI18)*(AI21-AI19)*(AI21-AI20)*(AI21-AI22))+AJ22*(AI23-AI18)*(AI23-AI19)*(AI23-AI20)*(AI23-AI21)/((AI22-AI18)*(AI22-AI19)*(AI22-AI20)*(AI22-AI21))</f>
        <v>153.00399285906678</v>
      </c>
      <c r="AK23" s="95" t="s">
        <v>28</v>
      </c>
      <c r="AL23" s="9">
        <f>$B$2</f>
        <v>6.0220000000000002</v>
      </c>
      <c r="AM23" s="11">
        <f t="shared" si="7"/>
        <v>223.83334821898683</v>
      </c>
      <c r="AN23" s="95" t="s">
        <v>28</v>
      </c>
      <c r="AO23" s="9">
        <f>$B$2</f>
        <v>6.0220000000000002</v>
      </c>
      <c r="AP23" s="11">
        <f t="shared" si="7"/>
        <v>209.03733122197744</v>
      </c>
    </row>
    <row r="24" spans="1:42">
      <c r="A24" s="93" t="s">
        <v>37</v>
      </c>
      <c r="B24" s="23">
        <f>B3*COS(RADIANS(B4+B20*0.5))</f>
        <v>-0.28408805424629258</v>
      </c>
      <c r="D24"/>
      <c r="F24" s="93">
        <v>95</v>
      </c>
      <c r="G24" s="93">
        <v>254.78</v>
      </c>
      <c r="H24" s="93">
        <v>252</v>
      </c>
      <c r="I24" s="93">
        <v>266.92</v>
      </c>
      <c r="J24" s="93">
        <v>242.28</v>
      </c>
      <c r="L24" s="93" t="s">
        <v>11</v>
      </c>
      <c r="M24" s="9">
        <f>$B$2</f>
        <v>6.0220000000000002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216.63885593735944</v>
      </c>
      <c r="O24" s="93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143.61571032898331</v>
      </c>
      <c r="R24" s="93" t="s">
        <v>11</v>
      </c>
      <c r="S24" s="9">
        <f>$B$2</f>
        <v>6.0220000000000002</v>
      </c>
      <c r="T24" s="93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223.79204657609961</v>
      </c>
      <c r="U24" s="93" t="s">
        <v>11</v>
      </c>
      <c r="V24" s="9">
        <f>$B$2</f>
        <v>6.0220000000000002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209.27515476515015</v>
      </c>
      <c r="Y24" s="93">
        <v>95</v>
      </c>
      <c r="Z24" s="93">
        <v>218</v>
      </c>
      <c r="AA24" s="93">
        <v>149</v>
      </c>
      <c r="AB24" s="93">
        <v>224.74</v>
      </c>
      <c r="AC24" s="93">
        <v>211.01</v>
      </c>
    </row>
    <row r="25" spans="1:42">
      <c r="D25"/>
      <c r="E25" s="12"/>
      <c r="F25" s="93">
        <v>90</v>
      </c>
      <c r="G25" s="93">
        <v>239.52</v>
      </c>
      <c r="H25" s="93">
        <v>214</v>
      </c>
      <c r="I25" s="93">
        <v>249.95</v>
      </c>
      <c r="J25" s="93">
        <v>228.83</v>
      </c>
      <c r="Y25" s="93">
        <v>90</v>
      </c>
      <c r="Z25" s="93">
        <v>188.98</v>
      </c>
      <c r="AA25" s="93">
        <v>101</v>
      </c>
      <c r="AB25" s="93">
        <v>193.47</v>
      </c>
      <c r="AC25" s="93">
        <v>184.54</v>
      </c>
    </row>
    <row r="26" spans="1:42">
      <c r="A26" s="240" t="s">
        <v>39</v>
      </c>
      <c r="B26" s="241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93">
        <f>N31*(D4-M32)*(D4-M33)/((M31-M32)*(M31-M33))+N32*(D4-M31)*(D4-M33)/((M32-M31)*(M32-M33))+N33*(D4-M31)*(D4-M32)/((M33-M31)*(M33-M32))</f>
        <v>257.08931720360346</v>
      </c>
      <c r="B27" s="93">
        <f>O31*(D4-M32)*(D4-M33)/((M31-M32)*(M31-M33))+O32*(D4-M31)*(D4-M33)/((M32-M31)*(M32-M33))+O33*(D4-M31)*(D4-M32)/((M33-M31)*(M33-M32))</f>
        <v>257.37218416335861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93">
        <v>100</v>
      </c>
      <c r="M27" s="93">
        <f>G3</f>
        <v>259.51</v>
      </c>
      <c r="N27" s="93">
        <f>M27+0.56</f>
        <v>260.07</v>
      </c>
      <c r="O27" s="93">
        <v>258.77999999999997</v>
      </c>
      <c r="Q27" s="10">
        <v>100</v>
      </c>
      <c r="R27" s="93">
        <f>IF($B$2&gt;0,AG7,N8)</f>
        <v>255.36765269728284</v>
      </c>
      <c r="S27" s="93">
        <f>IF($B$2&gt;0,AJ7,Q8)</f>
        <v>242.65644761034127</v>
      </c>
      <c r="T27" s="93">
        <f>IF($B$2&gt;0,AM7,T8)</f>
        <v>266.70670103867349</v>
      </c>
      <c r="U27" s="22">
        <f>IF($B$2&gt;0,AP7,W8)</f>
        <v>243.61804561008529</v>
      </c>
      <c r="V27" s="1"/>
      <c r="W27" s="1"/>
      <c r="X27" s="1"/>
    </row>
    <row r="28" spans="1:42">
      <c r="D28"/>
      <c r="E28" s="12"/>
      <c r="F28" s="93">
        <v>100</v>
      </c>
      <c r="G28" s="93">
        <v>272.42</v>
      </c>
      <c r="H28" s="93">
        <v>308</v>
      </c>
      <c r="I28" s="93">
        <v>287.10000000000002</v>
      </c>
      <c r="J28" s="93">
        <v>257.22000000000003</v>
      </c>
      <c r="L28" s="10">
        <v>95</v>
      </c>
      <c r="M28" s="93">
        <f>G4</f>
        <v>241.49</v>
      </c>
      <c r="N28" s="93">
        <f>M28+0.44</f>
        <v>241.93</v>
      </c>
      <c r="O28" s="93">
        <f>M28-0.68</f>
        <v>240.81</v>
      </c>
      <c r="Q28" s="10">
        <v>95</v>
      </c>
      <c r="R28" s="93">
        <f>IF($B$2&gt;0,AG15,N16)</f>
        <v>236.09710558924968</v>
      </c>
      <c r="S28" s="93">
        <f>IF($B$2&gt;0,AJ15,Q16)</f>
        <v>193.49934460816701</v>
      </c>
      <c r="T28" s="93">
        <f>IF($B$2&gt;0,AM15,T16)</f>
        <v>245.22075621662424</v>
      </c>
      <c r="U28" s="22">
        <f>IF($B$2&gt;0,AP15,W16)</f>
        <v>226.68966026474601</v>
      </c>
    </row>
    <row r="29" spans="1:42">
      <c r="A29" s="93" t="s">
        <v>41</v>
      </c>
      <c r="B29" s="93" t="s">
        <v>42</v>
      </c>
      <c r="D29"/>
      <c r="E29" s="12"/>
      <c r="F29" s="93">
        <v>95</v>
      </c>
      <c r="G29" s="93">
        <v>257.39</v>
      </c>
      <c r="H29" s="93">
        <v>262</v>
      </c>
      <c r="I29" s="93">
        <v>270.01</v>
      </c>
      <c r="J29" s="93">
        <v>244.4</v>
      </c>
      <c r="L29" s="10">
        <v>90</v>
      </c>
      <c r="M29" s="93">
        <f>G5</f>
        <v>223.43</v>
      </c>
      <c r="N29" s="93">
        <f>M29+0.63</f>
        <v>224.06</v>
      </c>
      <c r="O29" s="93">
        <v>222.56</v>
      </c>
      <c r="Q29" s="10">
        <v>90</v>
      </c>
      <c r="R29" s="93">
        <f>IF($B$2&gt;0,AG23,N24)</f>
        <v>216.52595393410181</v>
      </c>
      <c r="S29" s="93">
        <f>IF($B$2&gt;0,AJ23,Q24)</f>
        <v>153.00399285906678</v>
      </c>
      <c r="T29" s="93">
        <f>IF($B$2&gt;0,AM23,T24)</f>
        <v>223.83334821898683</v>
      </c>
      <c r="U29" s="22">
        <f>IF($B$2&gt;0,AP23,W24)</f>
        <v>209.03733122197744</v>
      </c>
      <c r="W29" s="97"/>
      <c r="X29" s="97"/>
      <c r="Z29" s="97"/>
      <c r="AA29" s="97"/>
    </row>
    <row r="30" spans="1:42">
      <c r="A30" s="11">
        <f>L36*(D4-M37)*(D4-M38)/((M36-M37)*(M36-M38))+L37*(D4-M36)*(D4-M38)/((M37-M36)*(M37-M38))+L38*(D4-M36)*(D4-M37)/((M38-M36)*(M38-M37))</f>
        <v>100.8112757191973</v>
      </c>
      <c r="B30" s="24">
        <f>(S27*(A30-Q28)*(A30-Q29)/((Q27-Q28)*(Q27-Q29))+S28*(A30-Q27)*(A30-Q29)/((Q28-Q27)*(Q28-Q29))+S29*(A30-Q27)*(A30-Q28)/((Q29-Q27)*(Q29-Q28)))*(B23+(B14*(A21/A20))*(A30/100))</f>
        <v>-234.99025384399241</v>
      </c>
      <c r="D30"/>
      <c r="E30" s="12"/>
      <c r="F30" s="93">
        <v>90</v>
      </c>
      <c r="G30" s="93">
        <v>242.57</v>
      </c>
      <c r="H30" s="93">
        <v>224</v>
      </c>
      <c r="I30" s="93">
        <v>253.5</v>
      </c>
      <c r="J30" s="93">
        <v>231.38</v>
      </c>
      <c r="N30" s="1" t="s">
        <v>38</v>
      </c>
      <c r="W30" s="97"/>
      <c r="X30" s="97"/>
      <c r="Z30" s="97"/>
      <c r="AA30" s="97"/>
    </row>
    <row r="31" spans="1:42">
      <c r="A31" s="93" t="s">
        <v>44</v>
      </c>
      <c r="B31" s="93" t="s">
        <v>43</v>
      </c>
      <c r="D31">
        <v>207.52</v>
      </c>
      <c r="E31">
        <f>D32-D31</f>
        <v>0.43999999999999773</v>
      </c>
      <c r="K31">
        <f>276*L31/100</f>
        <v>276</v>
      </c>
      <c r="L31" s="93">
        <v>100</v>
      </c>
      <c r="M31" s="93">
        <f>M27</f>
        <v>259.51</v>
      </c>
      <c r="N31" s="11">
        <f>M27*((L27-(100/360))-L28)*((L27-(100/360))-L29)/((L27-L28)*(L27-L29))+M28*((L27-(100/360))-L27)*((L27-(100/360))-L29)/((L28-L27)*(L28-L29))+M29*((L27-(100/360))-L27)*((L27-(100/360))-L28)/((L29-L27)*(L29-L28))</f>
        <v>258.50993827160494</v>
      </c>
      <c r="O31" s="93">
        <f>O27</f>
        <v>258.77999999999997</v>
      </c>
      <c r="W31" s="97"/>
      <c r="X31" s="97"/>
      <c r="Z31" s="97"/>
      <c r="AA31" s="97"/>
    </row>
    <row r="32" spans="1:42">
      <c r="A32" s="25">
        <f>(360-ROUNDDOWN((1-(A30/100))*360,0))*276/360</f>
        <v>277.53333333333336</v>
      </c>
      <c r="B32" s="11">
        <f>MOD((A30/100)*-360,1)*-((D4-A27)/(D4-B27))+30</f>
        <v>29.889281369986456</v>
      </c>
      <c r="D32">
        <v>207.96</v>
      </c>
      <c r="K32">
        <f t="shared" ref="K32:K33" si="8">276*L32/100</f>
        <v>262.2</v>
      </c>
      <c r="L32" s="10">
        <v>95</v>
      </c>
      <c r="M32" s="93">
        <f>M28</f>
        <v>241.49</v>
      </c>
      <c r="N32" s="11">
        <f>M27*((L28-(100/360))-L28)*((L28-(100/360))-L29)/((L27-L28)*(L27-L29))+M28*((L28-(100/360))-L27)*((L28-(100/360))-L29)/((L28-L27)*(L28-L29))+M29*((L28-(100/360))-L27)*((L28-(100/360))-L28)/((L29-L27)*(L29-L28))</f>
        <v>240.48771604938273</v>
      </c>
      <c r="O32" s="99">
        <f t="shared" ref="O32:O33" si="9">O28</f>
        <v>240.81</v>
      </c>
      <c r="R32" s="14"/>
    </row>
    <row r="33" spans="4:28">
      <c r="D33"/>
      <c r="K33">
        <f t="shared" si="8"/>
        <v>248.4</v>
      </c>
      <c r="L33" s="10">
        <v>90</v>
      </c>
      <c r="M33" s="93">
        <f>M29</f>
        <v>223.43</v>
      </c>
      <c r="N33" s="11">
        <f>M27*((L29-(100/360))-L28)*((L29-(100/360))-L29)/((L27-L28)*(L27-L29))+M28*((L29-(100/360))-L27)*((L29-(100/360))-L29)/((L28-L27)*(L28-L29))+M29*((L29-(100/360))-L27)*((L29-(100/360))-L28)/((L29-L27)*(L29-L28))</f>
        <v>222.42549382716055</v>
      </c>
      <c r="O33" s="99">
        <f t="shared" si="9"/>
        <v>222.56</v>
      </c>
      <c r="Q33" s="14"/>
      <c r="R33" s="14"/>
      <c r="AB33" s="1"/>
    </row>
    <row r="34" spans="4:28">
      <c r="D34"/>
    </row>
    <row r="35" spans="4:28">
      <c r="D35"/>
      <c r="L35" s="240" t="s">
        <v>40</v>
      </c>
      <c r="M35" s="241"/>
    </row>
    <row r="36" spans="4:28">
      <c r="D36"/>
      <c r="L36" s="10">
        <v>100</v>
      </c>
      <c r="M36" s="11">
        <f>R27*(B24-9)*(B24--9)/((0-9)*(0--9))+T27*(B24-0)*(B24--9)/((9-0)*(9--9))+U27*(B24-0)*(B24-9)/((-9-0)*(-9-9))</f>
        <v>255.00304754094799</v>
      </c>
    </row>
    <row r="37" spans="4:28">
      <c r="L37" s="10">
        <v>95</v>
      </c>
      <c r="M37" s="11">
        <f>R28*(B24-9)*(B24--9)/((0-9)*(0--9))+T28*(B24-0)*(B24--9)/((9-0)*(9--9))+U28*(B24-0)*(B24-9)/((-9-0)*(-9-9))</f>
        <v>235.80449404067301</v>
      </c>
    </row>
    <row r="38" spans="4:28">
      <c r="L38" s="10">
        <v>90</v>
      </c>
      <c r="M38" s="11">
        <f>R29*(B24-9)*(B24--9)/((0-9)*(0--9))+T29*(B24-0)*(B24--9)/((9-0)*(9--9))+U29*(B24-0)*(B24-9)/((-9-0)*(-9-9))</f>
        <v>216.29234299991035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P38"/>
  <sheetViews>
    <sheetView topLeftCell="A10" zoomScaleNormal="100" workbookViewId="0">
      <selection activeCell="C37" sqref="C37:C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38" t="s">
        <v>46</v>
      </c>
      <c r="D1" s="238"/>
      <c r="E1" s="23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6.0220000000000002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8" t="s">
        <v>10</v>
      </c>
      <c r="M2" s="8">
        <v>0</v>
      </c>
      <c r="N2" s="8">
        <f>G3</f>
        <v>272.47000000000003</v>
      </c>
      <c r="O2" s="8" t="s">
        <v>10</v>
      </c>
      <c r="P2" s="8">
        <v>0</v>
      </c>
      <c r="Q2" s="8">
        <f>H3</f>
        <v>263</v>
      </c>
      <c r="R2" s="8" t="s">
        <v>10</v>
      </c>
      <c r="S2" s="8">
        <v>0</v>
      </c>
      <c r="T2" s="8">
        <f>I3</f>
        <v>284.76</v>
      </c>
      <c r="U2" s="8" t="s">
        <v>10</v>
      </c>
      <c r="V2" s="8">
        <v>0</v>
      </c>
      <c r="W2" s="8">
        <f>J3</f>
        <v>259.75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8" t="s">
        <v>27</v>
      </c>
      <c r="AF2" s="8">
        <v>0</v>
      </c>
      <c r="AG2" s="8">
        <f>Z3</f>
        <v>272.47000000000003</v>
      </c>
      <c r="AH2" s="8" t="s">
        <v>27</v>
      </c>
      <c r="AI2" s="8">
        <v>0</v>
      </c>
      <c r="AJ2" s="8">
        <f>AA3</f>
        <v>263</v>
      </c>
      <c r="AK2" s="8" t="s">
        <v>27</v>
      </c>
      <c r="AL2" s="8">
        <v>0</v>
      </c>
      <c r="AM2" s="8">
        <f>AB3</f>
        <v>284.76</v>
      </c>
      <c r="AN2" s="8" t="s">
        <v>27</v>
      </c>
      <c r="AO2" s="8">
        <v>0</v>
      </c>
      <c r="AP2" s="8">
        <f>AC3</f>
        <v>259.75</v>
      </c>
    </row>
    <row r="3" spans="1:42">
      <c r="A3" s="7" t="s">
        <v>2</v>
      </c>
      <c r="B3" s="27">
        <f>Plan1!B3</f>
        <v>1</v>
      </c>
      <c r="C3" s="5"/>
      <c r="D3" s="26">
        <f>A9</f>
        <v>258.43625000000003</v>
      </c>
      <c r="F3" s="8">
        <v>100</v>
      </c>
      <c r="G3" s="8">
        <v>272.47000000000003</v>
      </c>
      <c r="H3" s="8">
        <v>263</v>
      </c>
      <c r="I3" s="8">
        <v>284.76</v>
      </c>
      <c r="J3" s="8">
        <v>259.75</v>
      </c>
      <c r="L3" s="8" t="s">
        <v>10</v>
      </c>
      <c r="M3" s="8">
        <v>-5</v>
      </c>
      <c r="N3" s="8">
        <f>G8</f>
        <v>275.43</v>
      </c>
      <c r="O3" s="8" t="s">
        <v>10</v>
      </c>
      <c r="P3" s="8">
        <v>-5</v>
      </c>
      <c r="Q3" s="8">
        <f>H8</f>
        <v>274</v>
      </c>
      <c r="R3" s="8" t="s">
        <v>10</v>
      </c>
      <c r="S3" s="8">
        <v>-5</v>
      </c>
      <c r="T3" s="8">
        <f>I8</f>
        <v>288.27999999999997</v>
      </c>
      <c r="U3" s="8" t="s">
        <v>10</v>
      </c>
      <c r="V3" s="8">
        <v>-5</v>
      </c>
      <c r="W3" s="8">
        <f>J8</f>
        <v>262.14</v>
      </c>
      <c r="Y3" s="8">
        <v>100</v>
      </c>
      <c r="Z3" s="8">
        <v>272.47000000000003</v>
      </c>
      <c r="AA3" s="8">
        <v>263</v>
      </c>
      <c r="AB3" s="8">
        <v>284.76</v>
      </c>
      <c r="AC3" s="8">
        <v>259.75</v>
      </c>
      <c r="AE3" s="8" t="s">
        <v>27</v>
      </c>
      <c r="AF3" s="8">
        <v>5</v>
      </c>
      <c r="AG3" s="8">
        <f>Z8</f>
        <v>269.2</v>
      </c>
      <c r="AH3" s="8" t="s">
        <v>27</v>
      </c>
      <c r="AI3" s="8">
        <v>5</v>
      </c>
      <c r="AJ3" s="8">
        <f>AA8</f>
        <v>252</v>
      </c>
      <c r="AK3" s="8" t="s">
        <v>27</v>
      </c>
      <c r="AL3" s="8">
        <v>5</v>
      </c>
      <c r="AM3" s="8">
        <f>AB8</f>
        <v>280.89</v>
      </c>
      <c r="AN3" s="8" t="s">
        <v>27</v>
      </c>
      <c r="AO3" s="8">
        <v>5</v>
      </c>
      <c r="AP3" s="8">
        <f>AC8</f>
        <v>257.08999999999997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258.00159059069188</v>
      </c>
      <c r="F4" s="8">
        <v>95</v>
      </c>
      <c r="G4" s="8">
        <v>254.41</v>
      </c>
      <c r="H4" s="8">
        <v>215</v>
      </c>
      <c r="I4" s="8">
        <v>264.52999999999997</v>
      </c>
      <c r="J4" s="8">
        <v>243.98</v>
      </c>
      <c r="K4" s="16"/>
      <c r="L4" s="8" t="s">
        <v>10</v>
      </c>
      <c r="M4" s="8">
        <v>-10</v>
      </c>
      <c r="N4" s="8">
        <f>G13</f>
        <v>278.13</v>
      </c>
      <c r="O4" s="8" t="s">
        <v>10</v>
      </c>
      <c r="P4" s="8">
        <v>-10</v>
      </c>
      <c r="Q4" s="8">
        <f>H13</f>
        <v>284</v>
      </c>
      <c r="R4" s="8" t="s">
        <v>10</v>
      </c>
      <c r="S4" s="8">
        <v>-10</v>
      </c>
      <c r="T4" s="8">
        <f>I13</f>
        <v>291.5</v>
      </c>
      <c r="U4" s="8" t="s">
        <v>10</v>
      </c>
      <c r="V4" s="8">
        <v>-10</v>
      </c>
      <c r="W4" s="8">
        <f>J13</f>
        <v>264.29000000000002</v>
      </c>
      <c r="Y4" s="8">
        <v>95</v>
      </c>
      <c r="Z4" s="8">
        <v>254.41</v>
      </c>
      <c r="AA4" s="8">
        <v>215</v>
      </c>
      <c r="AB4" s="8">
        <v>264.52999999999997</v>
      </c>
      <c r="AC4" s="8">
        <v>243.98</v>
      </c>
      <c r="AE4" s="8" t="s">
        <v>27</v>
      </c>
      <c r="AF4" s="8">
        <v>10</v>
      </c>
      <c r="AG4" s="8">
        <f>Z13</f>
        <v>265.54000000000002</v>
      </c>
      <c r="AH4" s="8" t="s">
        <v>27</v>
      </c>
      <c r="AI4" s="8">
        <v>10</v>
      </c>
      <c r="AJ4" s="8">
        <f>AA13</f>
        <v>240</v>
      </c>
      <c r="AK4" s="8" t="s">
        <v>27</v>
      </c>
      <c r="AL4" s="8">
        <v>10</v>
      </c>
      <c r="AM4" s="8">
        <f>AB13</f>
        <v>276.58999999999997</v>
      </c>
      <c r="AN4" s="8" t="s">
        <v>27</v>
      </c>
      <c r="AO4" s="8">
        <v>10</v>
      </c>
      <c r="AP4" s="8">
        <f>AC13</f>
        <v>254.07</v>
      </c>
    </row>
    <row r="5" spans="1:42">
      <c r="A5" s="7" t="s">
        <v>4</v>
      </c>
      <c r="B5" s="7">
        <f>Plan1!B5</f>
        <v>-1.8784359062401523</v>
      </c>
      <c r="C5" s="2"/>
      <c r="F5" s="8">
        <v>90</v>
      </c>
      <c r="G5" s="8">
        <v>236.27</v>
      </c>
      <c r="H5" s="8">
        <v>175</v>
      </c>
      <c r="I5" s="8">
        <v>244.62</v>
      </c>
      <c r="J5" s="8">
        <v>227.71</v>
      </c>
      <c r="K5" s="16"/>
      <c r="L5" s="8" t="s">
        <v>10</v>
      </c>
      <c r="M5" s="8">
        <v>-15</v>
      </c>
      <c r="N5" s="8">
        <f>G18</f>
        <v>280.61</v>
      </c>
      <c r="O5" s="8" t="s">
        <v>10</v>
      </c>
      <c r="P5" s="8">
        <v>-15</v>
      </c>
      <c r="Q5" s="8">
        <f>H18</f>
        <v>294</v>
      </c>
      <c r="R5" s="8" t="s">
        <v>10</v>
      </c>
      <c r="S5" s="8">
        <v>-15</v>
      </c>
      <c r="T5" s="8">
        <f>I18</f>
        <v>294.49</v>
      </c>
      <c r="U5" s="8" t="s">
        <v>10</v>
      </c>
      <c r="V5" s="8">
        <v>-15</v>
      </c>
      <c r="W5" s="8">
        <f>J18</f>
        <v>266.25</v>
      </c>
      <c r="Y5" s="8">
        <v>90</v>
      </c>
      <c r="Z5" s="8">
        <v>236.27</v>
      </c>
      <c r="AA5" s="8">
        <v>175</v>
      </c>
      <c r="AB5" s="8">
        <v>244.62</v>
      </c>
      <c r="AC5" s="8">
        <v>227.71</v>
      </c>
      <c r="AE5" s="8" t="s">
        <v>27</v>
      </c>
      <c r="AF5" s="8">
        <v>15</v>
      </c>
      <c r="AG5" s="8">
        <f>Z18</f>
        <v>261.37</v>
      </c>
      <c r="AH5" s="8" t="s">
        <v>27</v>
      </c>
      <c r="AI5" s="8">
        <v>15</v>
      </c>
      <c r="AJ5" s="8">
        <f>AA18</f>
        <v>226.667</v>
      </c>
      <c r="AK5" s="8" t="s">
        <v>27</v>
      </c>
      <c r="AL5" s="8">
        <v>15</v>
      </c>
      <c r="AM5" s="8">
        <f>AB18</f>
        <v>271.74</v>
      </c>
      <c r="AN5" s="8" t="s">
        <v>27</v>
      </c>
      <c r="AO5" s="8">
        <v>15</v>
      </c>
      <c r="AP5" s="8">
        <f>AC18</f>
        <v>250.62</v>
      </c>
    </row>
    <row r="6" spans="1:42">
      <c r="A6" s="7" t="s">
        <v>5</v>
      </c>
      <c r="B6" s="29">
        <f>Plan1!B6</f>
        <v>0.85</v>
      </c>
      <c r="C6" s="6"/>
      <c r="K6" s="16"/>
      <c r="L6" s="8" t="s">
        <v>10</v>
      </c>
      <c r="M6" s="8">
        <v>-20</v>
      </c>
      <c r="N6" s="8">
        <f>G23</f>
        <v>282.89999999999998</v>
      </c>
      <c r="O6" s="8" t="s">
        <v>10</v>
      </c>
      <c r="P6" s="8">
        <v>-20</v>
      </c>
      <c r="Q6" s="8">
        <f>H23</f>
        <v>304</v>
      </c>
      <c r="R6" s="8" t="s">
        <v>10</v>
      </c>
      <c r="S6" s="8">
        <v>-20</v>
      </c>
      <c r="T6" s="8">
        <f>I23</f>
        <v>297.26</v>
      </c>
      <c r="U6" s="8" t="s">
        <v>10</v>
      </c>
      <c r="V6" s="8">
        <v>-20</v>
      </c>
      <c r="W6" s="8">
        <f>J23</f>
        <v>268.04000000000002</v>
      </c>
      <c r="AE6" s="8" t="s">
        <v>27</v>
      </c>
      <c r="AF6" s="8">
        <v>20</v>
      </c>
      <c r="AG6" s="8">
        <f>Z23</f>
        <v>256.54000000000002</v>
      </c>
      <c r="AH6" s="8" t="s">
        <v>27</v>
      </c>
      <c r="AI6" s="8">
        <v>20</v>
      </c>
      <c r="AJ6" s="8">
        <f>AA23</f>
        <v>211.667</v>
      </c>
      <c r="AK6" s="8" t="s">
        <v>27</v>
      </c>
      <c r="AL6" s="8">
        <v>20</v>
      </c>
      <c r="AM6" s="8">
        <f>AB23</f>
        <v>266.14</v>
      </c>
      <c r="AN6" s="8" t="s">
        <v>27</v>
      </c>
      <c r="AO6" s="8">
        <v>20</v>
      </c>
      <c r="AP6" s="8">
        <f>AC23</f>
        <v>246.57</v>
      </c>
    </row>
    <row r="7" spans="1:42"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8" t="s">
        <v>10</v>
      </c>
      <c r="M7" s="8">
        <v>-25</v>
      </c>
      <c r="N7" s="8">
        <f>G28</f>
        <v>285.02999999999997</v>
      </c>
      <c r="O7" s="8" t="s">
        <v>10</v>
      </c>
      <c r="P7" s="8">
        <v>-25</v>
      </c>
      <c r="Q7" s="8">
        <f>H28</f>
        <v>313</v>
      </c>
      <c r="R7" s="8" t="s">
        <v>10</v>
      </c>
      <c r="S7" s="8">
        <v>-25</v>
      </c>
      <c r="T7" s="8">
        <f>I28</f>
        <v>299.85000000000002</v>
      </c>
      <c r="U7" s="8" t="s">
        <v>10</v>
      </c>
      <c r="V7" s="8">
        <v>-25</v>
      </c>
      <c r="W7" s="8">
        <f>J28</f>
        <v>269.69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8" t="s">
        <v>27</v>
      </c>
      <c r="AF7" s="8">
        <v>25</v>
      </c>
      <c r="AG7" s="8">
        <f>Z28</f>
        <v>250.75</v>
      </c>
      <c r="AH7" s="8" t="s">
        <v>27</v>
      </c>
      <c r="AI7" s="8">
        <v>25</v>
      </c>
      <c r="AJ7" s="30">
        <f>AA28</f>
        <v>195.833</v>
      </c>
      <c r="AK7" s="8" t="s">
        <v>27</v>
      </c>
      <c r="AL7" s="8">
        <v>25</v>
      </c>
      <c r="AM7" s="8">
        <f>AB28</f>
        <v>259.47000000000003</v>
      </c>
      <c r="AN7" s="8" t="s">
        <v>27</v>
      </c>
      <c r="AO7" s="8">
        <v>25</v>
      </c>
      <c r="AP7" s="8">
        <f>AC28</f>
        <v>241.66</v>
      </c>
    </row>
    <row r="8" spans="1:42">
      <c r="F8" s="8">
        <v>100</v>
      </c>
      <c r="G8" s="8">
        <v>275.43</v>
      </c>
      <c r="H8" s="8">
        <v>274</v>
      </c>
      <c r="I8" s="8">
        <v>288.27999999999997</v>
      </c>
      <c r="J8" s="8">
        <v>262.14</v>
      </c>
      <c r="K8" s="13"/>
      <c r="L8" s="8" t="s">
        <v>11</v>
      </c>
      <c r="M8" s="9">
        <f>$B$2</f>
        <v>6.0220000000000002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268.47269412156436</v>
      </c>
      <c r="O8" s="8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245.51578183785398</v>
      </c>
      <c r="R8" s="8" t="s">
        <v>11</v>
      </c>
      <c r="S8" s="9">
        <f>$B$2</f>
        <v>6.0220000000000002</v>
      </c>
      <c r="T8" s="8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279.79396724971991</v>
      </c>
      <c r="U8" s="8" t="s">
        <v>11</v>
      </c>
      <c r="V8" s="9">
        <f>$B$2</f>
        <v>6.0220000000000002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256.37522511276512</v>
      </c>
      <c r="Y8" s="8">
        <v>100</v>
      </c>
      <c r="Z8" s="8">
        <v>269.2</v>
      </c>
      <c r="AA8" s="8">
        <v>252</v>
      </c>
      <c r="AB8" s="8">
        <v>280.89</v>
      </c>
      <c r="AC8" s="8">
        <v>257.08999999999997</v>
      </c>
      <c r="AE8" s="8" t="s">
        <v>28</v>
      </c>
      <c r="AF8" s="9">
        <f>$B$2</f>
        <v>6.0220000000000002</v>
      </c>
      <c r="AG8" s="11">
        <f>AG2*(AF8-AF3)*(AF8-AF4)*(AF8-AF5)*(AF8-AF6)*(AF8-AF7)/((AF2-AF3)*(AF2-AF4)*(AF2-AF5)*(AF2-AF6)*(AF2-AF7))+AG3*(AF8-AF2)*(AF8-AF4)*(AF8-AF5)*(AF8-AF6)*(AF8-AF7)/((AF3-AF2)*(AF3-AF4)*(AF3-AF5)*(AF3-AF6)*(AF3-AF7))+AG4*(AF8-AF2)*(AF8-AF3)*(AF8-AF5)*(AF8-AF6)*(AF8-AF7)/((AF4-AF2)*(AF4-AF3)*(AF4-AF5)*(AF4-AF6)*(AF4-AF7))+AG5*(AF8-AF2)*(AF8-AF3)*(AF8-AF4)*(AF8-AF6)*(AF8-AF7)/((AF5-AF2)*(AF5-AF3)*(AF5-AF4)*(AF5-AF6)*(AF5-AF7))+AG6*(AF8-AF2)*(AF8-AF3)*(AF8-AF4)*(AF8-AF5)*(AF8-AF7)/((AF6-AF2)*(AF6-AF3)*(AF6-AF4)*(AF6-AF5)*(AF6-AF7))+AG7*(AF8-AF2)*(AF8-AF3)*(AF8-AF4)*(AF8-AF5)*(AF8-AF6)/((AF7-AF2)*(AF7-AF3)*(AF7-AF4)*(AF7-AF5)*(AF7-AF6))</f>
        <v>268.48806779782109</v>
      </c>
      <c r="AH8" s="8" t="s">
        <v>28</v>
      </c>
      <c r="AI8" s="9">
        <f>$B$2</f>
        <v>6.0220000000000002</v>
      </c>
      <c r="AJ8" s="11">
        <f>AJ2*(AI8-AI3)*(AI8-AI4)*(AI8-AI5)*(AI8-AI6)*(AI8-AI7)/((AI2-AI3)*(AI2-AI4)*(AI2-AI5)*(AI2-AI6)*(AI2-AI7))+AJ3*(AI8-AI2)*(AI8-AI4)*(AI8-AI5)*(AI8-AI6)*(AI8-AI7)/((AI3-AI2)*(AI3-AI4)*(AI3-AI5)*(AI3-AI6)*(AI3-AI7))+AJ4*(AI8-AI2)*(AI8-AI3)*(AI8-AI5)*(AI8-AI6)*(AI8-AI7)/((AI4-AI2)*(AI4-AI3)*(AI4-AI5)*(AI4-AI6)*(AI4-AI7))+AJ5*(AI8-AI2)*(AI8-AI3)*(AI8-AI4)*(AI8-AI6)*(AI8-AI7)/((AI5-AI2)*(AI5-AI3)*(AI5-AI4)*(AI5-AI6)*(AI5-AI7))+AJ6*(AI8-AI2)*(AI8-AI3)*(AI8-AI4)*(AI8-AI5)*(AI8-AI7)/((AI6-AI2)*(AI6-AI3)*(AI6-AI4)*(AI6-AI5)*(AI6-AI7))+AJ7*(AI8-AI2)*(AI8-AI3)*(AI8-AI4)*(AI8-AI5)*(AI8-AI6)/((AI7-AI2)*(AI7-AI3)*(AI7-AI4)*(AI7-AI5)*(AI7-AI6))</f>
        <v>249.62979633824466</v>
      </c>
      <c r="AK8" s="8" t="s">
        <v>28</v>
      </c>
      <c r="AL8" s="9">
        <f>$B$2</f>
        <v>6.0220000000000002</v>
      </c>
      <c r="AM8" s="8">
        <f>AM2*(AL8-AL3)*(AL8-AL4)*(AL8-AL5)*(AL8-AL6)*(AL8-AL7)/((AL2-AL3)*(AL2-AL4)*(AL2-AL5)*(AL2-AL6)*(AL2-AL7))+AM3*(AL8-AL2)*(AL8-AL4)*(AL8-AL5)*(AL8-AL6)*(AL8-AL7)/((AL3-AL2)*(AL3-AL4)*(AL3-AL5)*(AL3-AL6)*(AL3-AL7))+AM4*(AL8-AL2)*(AL8-AL3)*(AL8-AL5)*(AL8-AL6)*(AL8-AL7)/((AL4-AL2)*(AL4-AL3)*(AL4-AL5)*(AL4-AL6)*(AL4-AL7))+AM5*(AL8-AL2)*(AL8-AL3)*(AL8-AL4)*(AL8-AL6)*(AL8-AL7)/((AL5-AL2)*(AL5-AL3)*(AL5-AL4)*(AL5-AL6)*(AL5-AL7))+AM6*(AL8-AL2)*(AL8-AL3)*(AL8-AL4)*(AL8-AL5)*(AL8-AL7)/((AL6-AL2)*(AL6-AL3)*(AL6-AL4)*(AL6-AL5)*(AL6-AL7))+AM7*(AL8-AL2)*(AL8-AL3)*(AL8-AL4)*(AL8-AL5)*(AL8-AL6)/((AL7-AL2)*(AL7-AL3)*(AL7-AL4)*(AL7-AL5)*(AL7-AL6))</f>
        <v>280.04911607956285</v>
      </c>
      <c r="AN8" s="8" t="s">
        <v>28</v>
      </c>
      <c r="AO8" s="9">
        <f>$B$2</f>
        <v>6.0220000000000002</v>
      </c>
      <c r="AP8" s="11">
        <f>AP2*(AO8-AO3)*(AO8-AO4)*(AO8-AO5)*(AO8-AO6)*(AO8-AO7)/((AO2-AO3)*(AO2-AO4)*(AO2-AO5)*(AO2-AO6)*(AO2-AO7))+AP3*(AO8-AO2)*(AO8-AO4)*(AO8-AO5)*(AO8-AO6)*(AO8-AO7)/((AO3-AO2)*(AO3-AO4)*(AO3-AO5)*(AO3-AO6)*(AO3-AO7))+AP4*(AO8-AO2)*(AO8-AO3)*(AO8-AO5)*(AO8-AO6)*(AO8-AO7)/((AO4-AO2)*(AO4-AO3)*(AO4-AO5)*(AO4-AO6)*(AO4-AO7))+AP5*(AO8-AO2)*(AO8-AO3)*(AO8-AO4)*(AO8-AO6)*(AO8-AO7)/((AO5-AO2)*(AO5-AO3)*(AO5-AO4)*(AO5-AO6)*(AO5-AO7))+AP6*(AO8-AO2)*(AO8-AO3)*(AO8-AO4)*(AO8-AO5)*(AO8-AO7)/((AO6-AO2)*(AO6-AO3)*(AO6-AO4)*(AO6-AO5)*(AO6-AO7))+AP7*(AO8-AO2)*(AO8-AO3)*(AO8-AO4)*(AO8-AO5)*(AO8-AO6)/((AO7-AO2)*(AO7-AO3)*(AO7-AO4)*(AO7-AO5)*(AO7-AO6))</f>
        <v>256.5027214592601</v>
      </c>
    </row>
    <row r="9" spans="1:42">
      <c r="A9" s="4">
        <f>0*(B6-0.9)*(B6-0.8)/((1-0.9)*(1-0.8))+7.7*(B6-1)*(B6-0.8)/((0.9-1)*(0.9-0.8))+16.19*(B6-1)*(B6-0.9)/((0.8-1)*(0.8-0.9))+B1</f>
        <v>258.43625000000003</v>
      </c>
      <c r="F9" s="8">
        <v>95</v>
      </c>
      <c r="G9" s="8">
        <v>258.14</v>
      </c>
      <c r="H9" s="8">
        <v>226</v>
      </c>
      <c r="I9" s="8">
        <v>268.85000000000002</v>
      </c>
      <c r="J9" s="8">
        <v>247.12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8">
        <v>95</v>
      </c>
      <c r="Z9" s="8">
        <v>250.18</v>
      </c>
      <c r="AA9" s="8">
        <v>203</v>
      </c>
      <c r="AB9" s="8">
        <v>259.67</v>
      </c>
      <c r="AC9" s="8">
        <v>240.4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F10" s="8">
        <v>90</v>
      </c>
      <c r="G10" s="8">
        <v>240.9</v>
      </c>
      <c r="H10" s="8">
        <v>187</v>
      </c>
      <c r="I10" s="8">
        <v>249.85</v>
      </c>
      <c r="J10" s="8">
        <v>231.72</v>
      </c>
      <c r="K10" s="13"/>
      <c r="L10" s="8" t="s">
        <v>10</v>
      </c>
      <c r="M10" s="8">
        <v>0</v>
      </c>
      <c r="N10" s="8">
        <f>G4</f>
        <v>254.41</v>
      </c>
      <c r="O10" s="8" t="s">
        <v>10</v>
      </c>
      <c r="P10" s="8">
        <v>0</v>
      </c>
      <c r="Q10" s="8">
        <f>H4</f>
        <v>215</v>
      </c>
      <c r="R10" s="8" t="s">
        <v>10</v>
      </c>
      <c r="S10" s="8">
        <v>0</v>
      </c>
      <c r="T10" s="8">
        <f>I4</f>
        <v>264.52999999999997</v>
      </c>
      <c r="U10" s="8" t="s">
        <v>10</v>
      </c>
      <c r="V10" s="8">
        <v>0</v>
      </c>
      <c r="W10" s="8">
        <f>J4</f>
        <v>243.98</v>
      </c>
      <c r="Y10" s="8">
        <v>90</v>
      </c>
      <c r="Z10" s="8">
        <v>230.91</v>
      </c>
      <c r="AA10" s="8">
        <v>162</v>
      </c>
      <c r="AB10" s="8">
        <v>238.59</v>
      </c>
      <c r="AC10" s="8">
        <v>223.03</v>
      </c>
      <c r="AE10" s="8" t="s">
        <v>27</v>
      </c>
      <c r="AF10" s="8">
        <v>0</v>
      </c>
      <c r="AG10" s="8">
        <f>Z4</f>
        <v>254.41</v>
      </c>
      <c r="AH10" s="8" t="s">
        <v>27</v>
      </c>
      <c r="AI10" s="8">
        <v>0</v>
      </c>
      <c r="AJ10" s="8">
        <f>AA4</f>
        <v>215</v>
      </c>
      <c r="AK10" s="8" t="s">
        <v>27</v>
      </c>
      <c r="AL10" s="8">
        <v>0</v>
      </c>
      <c r="AM10" s="8">
        <f>AB4</f>
        <v>264.52999999999997</v>
      </c>
      <c r="AN10" s="8" t="s">
        <v>27</v>
      </c>
      <c r="AO10" s="8">
        <v>0</v>
      </c>
      <c r="AP10" s="8">
        <f>AC4</f>
        <v>243.98</v>
      </c>
    </row>
    <row r="11" spans="1:42">
      <c r="A11" s="8" t="s">
        <v>23</v>
      </c>
      <c r="B11" s="93">
        <f>Plan1!B17</f>
        <v>86</v>
      </c>
      <c r="K11" s="13"/>
      <c r="L11" s="8" t="s">
        <v>10</v>
      </c>
      <c r="M11" s="8">
        <v>-5</v>
      </c>
      <c r="N11" s="8">
        <f>G9</f>
        <v>258.14</v>
      </c>
      <c r="O11" s="8" t="s">
        <v>10</v>
      </c>
      <c r="P11" s="8">
        <v>-5</v>
      </c>
      <c r="Q11" s="8">
        <f>H9</f>
        <v>226</v>
      </c>
      <c r="R11" s="8" t="s">
        <v>10</v>
      </c>
      <c r="S11" s="8">
        <v>-5</v>
      </c>
      <c r="T11" s="8">
        <f>I9</f>
        <v>268.85000000000002</v>
      </c>
      <c r="U11" s="8" t="s">
        <v>10</v>
      </c>
      <c r="V11" s="8">
        <v>-5</v>
      </c>
      <c r="W11" s="8">
        <f>J9</f>
        <v>247.12</v>
      </c>
      <c r="AE11" s="8" t="s">
        <v>27</v>
      </c>
      <c r="AF11" s="8">
        <v>5</v>
      </c>
      <c r="AG11" s="8">
        <f>Z9</f>
        <v>250.18</v>
      </c>
      <c r="AH11" s="8" t="s">
        <v>27</v>
      </c>
      <c r="AI11" s="8">
        <v>5</v>
      </c>
      <c r="AJ11" s="8">
        <f>AA9</f>
        <v>203</v>
      </c>
      <c r="AK11" s="8" t="s">
        <v>27</v>
      </c>
      <c r="AL11" s="8">
        <v>5</v>
      </c>
      <c r="AM11" s="8">
        <f>AB9</f>
        <v>259.67</v>
      </c>
      <c r="AN11" s="8" t="s">
        <v>27</v>
      </c>
      <c r="AO11" s="8">
        <v>5</v>
      </c>
      <c r="AP11" s="8">
        <f>AC9</f>
        <v>240.4</v>
      </c>
    </row>
    <row r="12" spans="1:42">
      <c r="A12" s="8" t="s">
        <v>24</v>
      </c>
      <c r="B12" s="93">
        <f>Plan1!B18</f>
        <v>49.06</v>
      </c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8" t="s">
        <v>10</v>
      </c>
      <c r="M12" s="8">
        <v>-10</v>
      </c>
      <c r="N12" s="8">
        <f>G14</f>
        <v>261.5</v>
      </c>
      <c r="O12" s="8" t="s">
        <v>10</v>
      </c>
      <c r="P12" s="8">
        <v>-10</v>
      </c>
      <c r="Q12" s="8">
        <f>H14</f>
        <v>237</v>
      </c>
      <c r="R12" s="8" t="s">
        <v>10</v>
      </c>
      <c r="S12" s="8">
        <v>-10</v>
      </c>
      <c r="T12" s="8">
        <f>I14</f>
        <v>272.75</v>
      </c>
      <c r="U12" s="8" t="s">
        <v>10</v>
      </c>
      <c r="V12" s="8">
        <v>-10</v>
      </c>
      <c r="W12" s="8">
        <f>J14</f>
        <v>249.91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8" t="s">
        <v>27</v>
      </c>
      <c r="AF12" s="8">
        <v>10</v>
      </c>
      <c r="AG12" s="8">
        <f>Z14</f>
        <v>245.31</v>
      </c>
      <c r="AH12" s="8" t="s">
        <v>27</v>
      </c>
      <c r="AI12" s="8">
        <v>10</v>
      </c>
      <c r="AJ12" s="8">
        <f>AA14</f>
        <v>189</v>
      </c>
      <c r="AK12" s="8" t="s">
        <v>27</v>
      </c>
      <c r="AL12" s="8">
        <v>10</v>
      </c>
      <c r="AM12" s="8">
        <f>AB14</f>
        <v>254.11</v>
      </c>
      <c r="AN12" s="8" t="s">
        <v>27</v>
      </c>
      <c r="AO12" s="8">
        <v>10</v>
      </c>
      <c r="AP12" s="8">
        <f>AC14</f>
        <v>236.23</v>
      </c>
    </row>
    <row r="13" spans="1:42">
      <c r="A13" s="8" t="s">
        <v>25</v>
      </c>
      <c r="B13" s="93">
        <f>COS(RADIANS(B12))</f>
        <v>0.65526833938609963</v>
      </c>
      <c r="F13" s="8">
        <v>100</v>
      </c>
      <c r="G13" s="8">
        <v>278.13</v>
      </c>
      <c r="H13" s="8">
        <v>284</v>
      </c>
      <c r="I13" s="8">
        <v>291.5</v>
      </c>
      <c r="J13" s="8">
        <v>264.29000000000002</v>
      </c>
      <c r="K13" s="17"/>
      <c r="L13" s="8" t="s">
        <v>10</v>
      </c>
      <c r="M13" s="8">
        <v>-15</v>
      </c>
      <c r="N13" s="8">
        <f>G19</f>
        <v>264.54000000000002</v>
      </c>
      <c r="O13" s="8" t="s">
        <v>10</v>
      </c>
      <c r="P13" s="8">
        <v>-15</v>
      </c>
      <c r="Q13" s="8">
        <f>H19</f>
        <v>247</v>
      </c>
      <c r="R13" s="8" t="s">
        <v>10</v>
      </c>
      <c r="S13" s="8">
        <v>-15</v>
      </c>
      <c r="T13" s="8">
        <f>I19</f>
        <v>276.31</v>
      </c>
      <c r="U13" s="8" t="s">
        <v>10</v>
      </c>
      <c r="V13" s="8">
        <v>-15</v>
      </c>
      <c r="W13" s="8">
        <f>J19</f>
        <v>252.42</v>
      </c>
      <c r="Y13" s="8">
        <v>100</v>
      </c>
      <c r="Z13" s="8">
        <v>265.54000000000002</v>
      </c>
      <c r="AA13" s="8">
        <v>240</v>
      </c>
      <c r="AB13" s="8">
        <v>276.58999999999997</v>
      </c>
      <c r="AC13" s="8">
        <v>254.07</v>
      </c>
      <c r="AE13" s="8" t="s">
        <v>27</v>
      </c>
      <c r="AF13" s="8">
        <v>15</v>
      </c>
      <c r="AG13" s="8">
        <f>Z19</f>
        <v>239.54</v>
      </c>
      <c r="AH13" s="8" t="s">
        <v>27</v>
      </c>
      <c r="AI13" s="8">
        <v>15</v>
      </c>
      <c r="AJ13" s="8">
        <f>AA19</f>
        <v>175</v>
      </c>
      <c r="AK13" s="8" t="s">
        <v>27</v>
      </c>
      <c r="AL13" s="8">
        <v>15</v>
      </c>
      <c r="AM13" s="8">
        <f>AB19</f>
        <v>247.57</v>
      </c>
      <c r="AN13" s="8" t="s">
        <v>27</v>
      </c>
      <c r="AO13" s="8">
        <v>15</v>
      </c>
      <c r="AP13" s="8">
        <f>AC19</f>
        <v>231.26</v>
      </c>
    </row>
    <row r="14" spans="1:42">
      <c r="A14" s="8" t="s">
        <v>26</v>
      </c>
      <c r="B14" s="109">
        <f>B5</f>
        <v>-1.8784359062401523</v>
      </c>
      <c r="D14"/>
      <c r="F14" s="8">
        <v>95</v>
      </c>
      <c r="G14" s="8">
        <v>261.5</v>
      </c>
      <c r="H14" s="8">
        <v>237</v>
      </c>
      <c r="I14" s="8">
        <v>272.75</v>
      </c>
      <c r="J14" s="8">
        <v>249.91</v>
      </c>
      <c r="K14" s="17"/>
      <c r="L14" s="8" t="s">
        <v>10</v>
      </c>
      <c r="M14" s="8">
        <v>-20</v>
      </c>
      <c r="N14" s="8">
        <f>G24</f>
        <v>267.32</v>
      </c>
      <c r="O14" s="8" t="s">
        <v>10</v>
      </c>
      <c r="P14" s="8">
        <v>-20</v>
      </c>
      <c r="Q14" s="8">
        <f>H24</f>
        <v>257</v>
      </c>
      <c r="R14" s="8" t="s">
        <v>10</v>
      </c>
      <c r="S14" s="8">
        <v>-20</v>
      </c>
      <c r="T14" s="8">
        <f>I24</f>
        <v>279.58999999999997</v>
      </c>
      <c r="U14" s="8" t="s">
        <v>10</v>
      </c>
      <c r="V14" s="8">
        <v>-20</v>
      </c>
      <c r="W14" s="8">
        <f>J24</f>
        <v>254.69</v>
      </c>
      <c r="Y14" s="8">
        <v>95</v>
      </c>
      <c r="Z14" s="8">
        <v>245.31</v>
      </c>
      <c r="AA14" s="8">
        <v>189</v>
      </c>
      <c r="AB14" s="8">
        <v>254.11</v>
      </c>
      <c r="AC14" s="8">
        <v>236.23</v>
      </c>
      <c r="AE14" s="8" t="s">
        <v>27</v>
      </c>
      <c r="AF14" s="8">
        <v>20</v>
      </c>
      <c r="AG14" s="8">
        <f>Z24</f>
        <v>232.4</v>
      </c>
      <c r="AH14" s="8" t="s">
        <v>27</v>
      </c>
      <c r="AI14" s="8">
        <v>20</v>
      </c>
      <c r="AJ14" s="8">
        <f>AA24</f>
        <v>158.333</v>
      </c>
      <c r="AK14" s="8" t="s">
        <v>27</v>
      </c>
      <c r="AL14" s="8">
        <v>20</v>
      </c>
      <c r="AM14" s="8">
        <f>AB24</f>
        <v>239.52</v>
      </c>
      <c r="AN14" s="8" t="s">
        <v>27</v>
      </c>
      <c r="AO14" s="8">
        <v>20</v>
      </c>
      <c r="AP14" s="8">
        <f>AC24</f>
        <v>225.04</v>
      </c>
    </row>
    <row r="15" spans="1:42">
      <c r="F15" s="8">
        <v>90</v>
      </c>
      <c r="G15" s="8">
        <v>244.97</v>
      </c>
      <c r="H15" s="8">
        <v>198</v>
      </c>
      <c r="I15" s="8">
        <v>254.49</v>
      </c>
      <c r="J15" s="8">
        <v>235.21</v>
      </c>
      <c r="K15" s="13"/>
      <c r="L15" s="8" t="s">
        <v>10</v>
      </c>
      <c r="M15" s="8">
        <v>-25</v>
      </c>
      <c r="N15" s="8">
        <f>G29</f>
        <v>269.87</v>
      </c>
      <c r="O15" s="8" t="s">
        <v>10</v>
      </c>
      <c r="P15" s="8">
        <v>-25</v>
      </c>
      <c r="Q15" s="8">
        <f>H29</f>
        <v>266</v>
      </c>
      <c r="R15" s="8" t="s">
        <v>10</v>
      </c>
      <c r="S15" s="8">
        <v>-25</v>
      </c>
      <c r="T15" s="8">
        <f>I29</f>
        <v>282.62</v>
      </c>
      <c r="U15" s="8" t="s">
        <v>10</v>
      </c>
      <c r="V15" s="8">
        <v>-25</v>
      </c>
      <c r="W15" s="8">
        <f>J29</f>
        <v>256.75</v>
      </c>
      <c r="Y15" s="8">
        <v>90</v>
      </c>
      <c r="Z15" s="8">
        <v>224.49</v>
      </c>
      <c r="AA15" s="8">
        <v>148</v>
      </c>
      <c r="AB15" s="8">
        <v>231.42</v>
      </c>
      <c r="AC15" s="8">
        <v>217.37</v>
      </c>
      <c r="AE15" s="8" t="s">
        <v>27</v>
      </c>
      <c r="AF15" s="8">
        <v>25</v>
      </c>
      <c r="AG15" s="8">
        <f>Z29</f>
        <v>222.8</v>
      </c>
      <c r="AH15" s="8" t="s">
        <v>27</v>
      </c>
      <c r="AI15" s="8">
        <v>25</v>
      </c>
      <c r="AJ15" s="8">
        <f>AA29</f>
        <v>137.5</v>
      </c>
      <c r="AK15" s="8" t="s">
        <v>27</v>
      </c>
      <c r="AL15" s="8">
        <v>25</v>
      </c>
      <c r="AM15" s="8">
        <f>AB29</f>
        <v>228.75</v>
      </c>
      <c r="AN15" s="8" t="s">
        <v>27</v>
      </c>
      <c r="AO15" s="8">
        <v>25</v>
      </c>
      <c r="AP15" s="8">
        <f>AC29</f>
        <v>216.6</v>
      </c>
    </row>
    <row r="16" spans="1:42">
      <c r="A16" s="8" t="s">
        <v>32</v>
      </c>
      <c r="B16" s="23">
        <f>B3*SIN(RADIANS(B4))</f>
        <v>0.95798784374570456</v>
      </c>
      <c r="K16" s="13"/>
      <c r="L16" s="8" t="s">
        <v>11</v>
      </c>
      <c r="M16" s="9">
        <f>$B$2</f>
        <v>6.0220000000000002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249.43247673464464</v>
      </c>
      <c r="O16" s="8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212.35559999101957</v>
      </c>
      <c r="R16" s="8" t="s">
        <v>11</v>
      </c>
      <c r="S16" s="9">
        <f>$B$2</f>
        <v>6.0220000000000002</v>
      </c>
      <c r="T16" s="8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258.64171680365439</v>
      </c>
      <c r="U16" s="8" t="s">
        <v>11</v>
      </c>
      <c r="V16" s="9">
        <f>$B$2</f>
        <v>6.0220000000000002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239.55856892344343</v>
      </c>
      <c r="AE16" s="8" t="s">
        <v>28</v>
      </c>
      <c r="AF16" s="9">
        <f>$B$2</f>
        <v>6.0220000000000002</v>
      </c>
      <c r="AG16" s="11">
        <f>AG10*(AF16-AF11)*(AF16-AF12)*(AF16-AF13)*(AF16-AF14)*(AF16-AF15)/((AF10-AF11)*(AF10-AF12)*(AF10-AF13)*(AF10-AF14)*(AF10-AF15))+AG11*(AF16-AF10)*(AF16-AF12)*(AF16-AF13)*(AF16-AF14)*(AF16-AF15)/((AF11-AF10)*(AF11-AF12)*(AF11-AF13)*(AF11-AF14)*(AF11-AF15))+AG12*(AF16-AF10)*(AF16-AF11)*(AF16-AF13)*(AF16-AF14)*(AF16-AF15)/((AF12-AF10)*(AF12-AF11)*(AF12-AF13)*(AF12-AF14)*(AF12-AF15))+AG13*(AF16-AF10)*(AF16-AF11)*(AF16-AF12)*(AF16-AF14)*(AF16-AF15)/((AF13-AF10)*(AF13-AF11)*(AF13-AF12)*(AF13-AF14)*(AF13-AF15))+AG14*(AF16-AF10)*(AF16-AF11)*(AF16-AF12)*(AF16-AF13)*(AF16-AF15)/((AF14-AF10)*(AF14-AF11)*(AF14-AF12)*(AF14-AF13)*(AF14-AF15))+AG15*(AF16-AF10)*(AF16-AF11)*(AF16-AF12)*(AF16-AF13)*(AF16-AF14)/((AF15-AF10)*(AF15-AF11)*(AF15-AF12)*(AF15-AF13)*(AF15-AF14))</f>
        <v>249.24537980823914</v>
      </c>
      <c r="AH16" s="8" t="s">
        <v>28</v>
      </c>
      <c r="AI16" s="9">
        <f>$B$2</f>
        <v>6.0220000000000002</v>
      </c>
      <c r="AJ16" s="11">
        <f>AJ10*(AI16-AI11)*(AI16-AI12)*(AI16-AI13)*(AI16-AI14)*(AI16-AI15)/((AI10-AI11)*(AI10-AI12)*(AI10-AI13)*(AI10-AI14)*(AI10-AI15))+AJ11*(AI16-AI10)*(AI16-AI12)*(AI16-AI13)*(AI16-AI14)*(AI16-AI15)/((AI11-AI10)*(AI11-AI12)*(AI11-AI13)*(AI11-AI14)*(AI11-AI15))+AJ12*(AI16-AI10)*(AI16-AI11)*(AI16-AI13)*(AI16-AI14)*(AI16-AI15)/((AI12-AI10)*(AI12-AI11)*(AI12-AI13)*(AI12-AI14)*(AI12-AI15))+AJ13*(AI16-AI10)*(AI16-AI11)*(AI16-AI12)*(AI16-AI14)*(AI16-AI15)/((AI13-AI10)*(AI13-AI11)*(AI13-AI12)*(AI13-AI14)*(AI13-AI15))+AJ14*(AI16-AI10)*(AI16-AI11)*(AI16-AI12)*(AI16-AI13)*(AI16-AI15)/((AI14-AI10)*(AI14-AI11)*(AI14-AI12)*(AI14-AI13)*(AI14-AI15))+AJ15*(AI16-AI10)*(AI16-AI11)*(AI16-AI12)*(AI16-AI13)*(AI16-AI14)/((AI15-AI10)*(AI15-AI11)*(AI15-AI12)*(AI15-AI13)*(AI15-AI14))</f>
        <v>200.11953854599145</v>
      </c>
      <c r="AK16" s="8" t="s">
        <v>28</v>
      </c>
      <c r="AL16" s="9">
        <f>$B$2</f>
        <v>6.0220000000000002</v>
      </c>
      <c r="AM16" s="8">
        <f>AM10*(AL16-AL11)*(AL16-AL12)*(AL16-AL13)*(AL16-AL14)*(AL16-AL15)/((AL10-AL11)*(AL10-AL12)*(AL10-AL13)*(AL10-AL14)*(AL10-AL15))+AM11*(AL16-AL10)*(AL16-AL12)*(AL16-AL13)*(AL16-AL14)*(AL16-AL15)/((AL11-AL10)*(AL11-AL12)*(AL11-AL13)*(AL11-AL14)*(AL11-AL15))+AM12*(AL16-AL10)*(AL16-AL11)*(AL16-AL13)*(AL16-AL14)*(AL16-AL15)/((AL12-AL10)*(AL12-AL11)*(AL12-AL13)*(AL12-AL14)*(AL12-AL15))+AM13*(AL16-AL10)*(AL16-AL11)*(AL16-AL12)*(AL16-AL14)*(AL16-AL15)/((AL13-AL10)*(AL13-AL11)*(AL13-AL12)*(AL13-AL14)*(AL13-AL15))+AM14*(AL16-AL10)*(AL16-AL11)*(AL16-AL12)*(AL16-AL13)*(AL16-AL15)/((AL14-AL10)*(AL14-AL11)*(AL14-AL12)*(AL14-AL13)*(AL14-AL15))+AM15*(AL16-AL10)*(AL16-AL11)*(AL16-AL12)*(AL16-AL13)*(AL16-AL14)/((AL15-AL10)*(AL15-AL11)*(AL15-AL12)*(AL15-AL13)*(AL15-AL14))</f>
        <v>258.59945301309517</v>
      </c>
      <c r="AN16" s="8" t="s">
        <v>28</v>
      </c>
      <c r="AO16" s="9">
        <f>$B$2</f>
        <v>6.0220000000000002</v>
      </c>
      <c r="AP16" s="11">
        <f>AP10*(AO16-AO11)*(AO16-AO12)*(AO16-AO13)*(AO16-AO14)*(AO16-AO15)/((AO10-AO11)*(AO10-AO12)*(AO10-AO13)*(AO10-AO14)*(AO10-AO15))+AP11*(AO16-AO10)*(AO16-AO12)*(AO16-AO13)*(AO16-AO14)*(AO16-AO15)/((AO11-AO10)*(AO11-AO12)*(AO11-AO13)*(AO11-AO14)*(AO11-AO15))+AP12*(AO16-AO10)*(AO16-AO11)*(AO16-AO13)*(AO16-AO14)*(AO16-AO15)/((AO12-AO10)*(AO12-AO11)*(AO12-AO13)*(AO12-AO14)*(AO12-AO15))+AP13*(AO16-AO10)*(AO16-AO11)*(AO16-AO12)*(AO16-AO14)*(AO16-AO15)/((AO13-AO10)*(AO13-AO11)*(AO13-AO12)*(AO13-AO14)*(AO13-AO15))+AP14*(AO16-AO10)*(AO16-AO11)*(AO16-AO12)*(AO16-AO13)*(AO16-AO15)/((AO14-AO10)*(AO14-AO11)*(AO14-AO12)*(AO14-AO13)*(AO14-AO15))+AP15*(AO16-AO10)*(AO16-AO11)*(AO16-AO12)*(AO16-AO13)*(AO16-AO14)/((AO15-AO10)*(AO15-AO11)*(AO15-AO12)*(AO15-AO13)*(AO15-AO14))</f>
        <v>239.60125740786577</v>
      </c>
    </row>
    <row r="17" spans="1:42">
      <c r="A17" s="8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F18" s="8">
        <v>100</v>
      </c>
      <c r="G18" s="8">
        <v>280.61</v>
      </c>
      <c r="H18" s="8">
        <v>294</v>
      </c>
      <c r="I18" s="8">
        <v>294.49</v>
      </c>
      <c r="J18" s="8">
        <v>266.25</v>
      </c>
      <c r="K18" s="13"/>
      <c r="L18" s="8" t="s">
        <v>10</v>
      </c>
      <c r="M18" s="8">
        <v>0</v>
      </c>
      <c r="N18" s="8">
        <f>G5</f>
        <v>236.27</v>
      </c>
      <c r="O18" s="8" t="s">
        <v>10</v>
      </c>
      <c r="P18" s="8">
        <v>0</v>
      </c>
      <c r="Q18" s="8">
        <f>H5</f>
        <v>175</v>
      </c>
      <c r="R18" s="8" t="s">
        <v>10</v>
      </c>
      <c r="S18" s="8">
        <v>0</v>
      </c>
      <c r="T18" s="8">
        <f>I5</f>
        <v>244.62</v>
      </c>
      <c r="U18" s="8" t="s">
        <v>10</v>
      </c>
      <c r="V18" s="8">
        <v>0</v>
      </c>
      <c r="W18" s="8">
        <f>J5</f>
        <v>227.71</v>
      </c>
      <c r="Y18" s="8">
        <v>100</v>
      </c>
      <c r="Z18" s="8">
        <v>261.37</v>
      </c>
      <c r="AA18" s="8">
        <v>226.667</v>
      </c>
      <c r="AB18" s="8">
        <v>271.74</v>
      </c>
      <c r="AC18" s="8">
        <v>250.62</v>
      </c>
      <c r="AE18" s="8" t="s">
        <v>27</v>
      </c>
      <c r="AF18" s="8">
        <v>0</v>
      </c>
      <c r="AG18" s="8">
        <f>Z5</f>
        <v>236.27</v>
      </c>
      <c r="AH18" s="8" t="s">
        <v>27</v>
      </c>
      <c r="AI18" s="8">
        <v>0</v>
      </c>
      <c r="AJ18" s="8">
        <f>AA5</f>
        <v>175</v>
      </c>
      <c r="AK18" s="8" t="s">
        <v>27</v>
      </c>
      <c r="AL18" s="8">
        <v>0</v>
      </c>
      <c r="AM18" s="8">
        <f>AB5</f>
        <v>244.62</v>
      </c>
      <c r="AN18" s="8" t="s">
        <v>27</v>
      </c>
      <c r="AO18" s="8">
        <v>0</v>
      </c>
      <c r="AP18" s="8">
        <f>AC5</f>
        <v>227.71</v>
      </c>
    </row>
    <row r="19" spans="1:42">
      <c r="A19" s="8" t="s">
        <v>31</v>
      </c>
      <c r="B19" s="8" t="s">
        <v>35</v>
      </c>
      <c r="F19" s="8">
        <v>95</v>
      </c>
      <c r="G19" s="8">
        <v>264.54000000000002</v>
      </c>
      <c r="H19" s="8">
        <v>247</v>
      </c>
      <c r="I19" s="8">
        <v>276.31</v>
      </c>
      <c r="J19" s="8">
        <v>252.42</v>
      </c>
      <c r="K19" s="13"/>
      <c r="L19" s="8" t="s">
        <v>10</v>
      </c>
      <c r="M19" s="8">
        <v>-5</v>
      </c>
      <c r="N19" s="8">
        <f>G10</f>
        <v>240.9</v>
      </c>
      <c r="O19" s="8" t="s">
        <v>10</v>
      </c>
      <c r="P19" s="8">
        <v>-5</v>
      </c>
      <c r="Q19" s="8">
        <f>H10</f>
        <v>187</v>
      </c>
      <c r="R19" s="8" t="s">
        <v>10</v>
      </c>
      <c r="S19" s="8">
        <v>-5</v>
      </c>
      <c r="T19" s="8">
        <f>I10</f>
        <v>249.85</v>
      </c>
      <c r="U19" s="8" t="s">
        <v>10</v>
      </c>
      <c r="V19" s="8">
        <v>-5</v>
      </c>
      <c r="W19" s="8">
        <f>J10</f>
        <v>231.72</v>
      </c>
      <c r="Y19" s="8">
        <v>95</v>
      </c>
      <c r="Z19" s="8">
        <v>239.54</v>
      </c>
      <c r="AA19" s="8">
        <v>175</v>
      </c>
      <c r="AB19" s="8">
        <v>247.57</v>
      </c>
      <c r="AC19" s="8">
        <v>231.26</v>
      </c>
      <c r="AE19" s="8" t="s">
        <v>27</v>
      </c>
      <c r="AF19" s="8">
        <v>5</v>
      </c>
      <c r="AG19" s="8">
        <f>Z10</f>
        <v>230.91</v>
      </c>
      <c r="AH19" s="8" t="s">
        <v>27</v>
      </c>
      <c r="AI19" s="8">
        <v>5</v>
      </c>
      <c r="AJ19" s="8">
        <f>AA10</f>
        <v>162</v>
      </c>
      <c r="AK19" s="8" t="s">
        <v>27</v>
      </c>
      <c r="AL19" s="8">
        <v>5</v>
      </c>
      <c r="AM19" s="8">
        <f>AB10</f>
        <v>238.59</v>
      </c>
      <c r="AN19" s="8" t="s">
        <v>27</v>
      </c>
      <c r="AO19" s="8">
        <v>5</v>
      </c>
      <c r="AP19" s="8">
        <f>AC10</f>
        <v>223.03</v>
      </c>
    </row>
    <row r="20" spans="1:42">
      <c r="A20" s="22">
        <f>(S27*(D2-R28)*(D2-R29)/((R27-R28)*(R27-R29))+S28*(D2-R27)*(D2-R29)/((R28-R27)*(R28-R29))+S29*(D2-R27)*(D2-R28)/((R29-R27)*(R29-R28)))</f>
        <v>194.01067517063154</v>
      </c>
      <c r="B20" s="23">
        <f>(B16*A20+(A21*B14))/(D2*(44/17.5))</f>
        <v>-0.28802807808700032</v>
      </c>
      <c r="D20"/>
      <c r="F20" s="8">
        <v>90</v>
      </c>
      <c r="G20" s="8">
        <v>248.6</v>
      </c>
      <c r="H20" s="8">
        <v>209</v>
      </c>
      <c r="I20" s="8">
        <v>258.66000000000003</v>
      </c>
      <c r="J20" s="8">
        <v>238.3</v>
      </c>
      <c r="K20" s="16"/>
      <c r="L20" s="8" t="s">
        <v>10</v>
      </c>
      <c r="M20" s="8">
        <v>-10</v>
      </c>
      <c r="N20" s="8">
        <f>G15</f>
        <v>244.97</v>
      </c>
      <c r="O20" s="8" t="s">
        <v>10</v>
      </c>
      <c r="P20" s="8">
        <v>-10</v>
      </c>
      <c r="Q20" s="8">
        <f>H15</f>
        <v>198</v>
      </c>
      <c r="R20" s="8" t="s">
        <v>10</v>
      </c>
      <c r="S20" s="8">
        <v>-10</v>
      </c>
      <c r="T20" s="8">
        <f>I15</f>
        <v>254.49</v>
      </c>
      <c r="U20" s="8" t="s">
        <v>10</v>
      </c>
      <c r="V20" s="8">
        <v>-10</v>
      </c>
      <c r="W20" s="8">
        <f>J15</f>
        <v>235.21</v>
      </c>
      <c r="Y20" s="8">
        <v>90</v>
      </c>
      <c r="Z20" s="8">
        <v>216.41</v>
      </c>
      <c r="AA20" s="8">
        <v>131.667</v>
      </c>
      <c r="AB20" s="8">
        <v>222.46</v>
      </c>
      <c r="AC20" s="8">
        <v>210.18</v>
      </c>
      <c r="AE20" s="8" t="s">
        <v>27</v>
      </c>
      <c r="AF20" s="8">
        <v>10</v>
      </c>
      <c r="AG20" s="8">
        <f>Z15</f>
        <v>224.49</v>
      </c>
      <c r="AH20" s="8" t="s">
        <v>27</v>
      </c>
      <c r="AI20" s="8">
        <v>10</v>
      </c>
      <c r="AJ20" s="8">
        <f>AA15</f>
        <v>148</v>
      </c>
      <c r="AK20" s="8" t="s">
        <v>27</v>
      </c>
      <c r="AL20" s="8">
        <v>10</v>
      </c>
      <c r="AM20" s="8">
        <f>AB15</f>
        <v>231.42</v>
      </c>
      <c r="AN20" s="8" t="s">
        <v>27</v>
      </c>
      <c r="AO20" s="8">
        <v>10</v>
      </c>
      <c r="AP20" s="8">
        <f>AC15</f>
        <v>217.37</v>
      </c>
    </row>
    <row r="21" spans="1:42">
      <c r="A21" s="22">
        <f>A20*1</f>
        <v>194.01067517063154</v>
      </c>
      <c r="D21"/>
      <c r="K21" s="16"/>
      <c r="L21" s="8" t="s">
        <v>10</v>
      </c>
      <c r="M21" s="8">
        <v>-15</v>
      </c>
      <c r="N21" s="8">
        <f>G20</f>
        <v>248.6</v>
      </c>
      <c r="O21" s="8" t="s">
        <v>10</v>
      </c>
      <c r="P21" s="8">
        <v>-15</v>
      </c>
      <c r="Q21" s="8">
        <f>H20</f>
        <v>209</v>
      </c>
      <c r="R21" s="8" t="s">
        <v>10</v>
      </c>
      <c r="S21" s="8">
        <v>-15</v>
      </c>
      <c r="T21" s="8">
        <f>I20</f>
        <v>258.66000000000003</v>
      </c>
      <c r="U21" s="8" t="s">
        <v>10</v>
      </c>
      <c r="V21" s="8">
        <v>-15</v>
      </c>
      <c r="W21" s="8">
        <f>J20</f>
        <v>238.3</v>
      </c>
      <c r="AE21" s="8" t="s">
        <v>27</v>
      </c>
      <c r="AF21" s="8">
        <v>15</v>
      </c>
      <c r="AG21" s="8">
        <f>Z20</f>
        <v>216.41</v>
      </c>
      <c r="AH21" s="8" t="s">
        <v>27</v>
      </c>
      <c r="AI21" s="8">
        <v>15</v>
      </c>
      <c r="AJ21" s="8">
        <f>AA20</f>
        <v>131.667</v>
      </c>
      <c r="AK21" s="8" t="s">
        <v>27</v>
      </c>
      <c r="AL21" s="8">
        <v>15</v>
      </c>
      <c r="AM21" s="8">
        <f>AB20</f>
        <v>222.46</v>
      </c>
      <c r="AN21" s="8" t="s">
        <v>27</v>
      </c>
      <c r="AO21" s="8">
        <v>15</v>
      </c>
      <c r="AP21" s="8">
        <f>AC20</f>
        <v>210.18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8" t="s">
        <v>10</v>
      </c>
      <c r="M22" s="8">
        <v>-20</v>
      </c>
      <c r="N22" s="8">
        <f>G25</f>
        <v>251.89</v>
      </c>
      <c r="O22" s="8" t="s">
        <v>10</v>
      </c>
      <c r="P22" s="8">
        <v>-20</v>
      </c>
      <c r="Q22" s="8">
        <f>H25</f>
        <v>219</v>
      </c>
      <c r="R22" s="8" t="s">
        <v>10</v>
      </c>
      <c r="S22" s="8">
        <v>-20</v>
      </c>
      <c r="T22" s="8">
        <f>I25</f>
        <v>262.45</v>
      </c>
      <c r="U22" s="8" t="s">
        <v>10</v>
      </c>
      <c r="V22" s="8">
        <v>-20</v>
      </c>
      <c r="W22" s="8">
        <f>J25</f>
        <v>241.08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8" t="s">
        <v>27</v>
      </c>
      <c r="AF22" s="8">
        <v>20</v>
      </c>
      <c r="AG22" s="8">
        <f>Z25</f>
        <v>205.15</v>
      </c>
      <c r="AH22" s="8" t="s">
        <v>27</v>
      </c>
      <c r="AI22" s="8">
        <v>20</v>
      </c>
      <c r="AJ22" s="8">
        <f>AA25</f>
        <v>111.667</v>
      </c>
      <c r="AK22" s="8" t="s">
        <v>27</v>
      </c>
      <c r="AL22" s="8">
        <v>20</v>
      </c>
      <c r="AM22" s="8">
        <f>AB25</f>
        <v>210.04</v>
      </c>
      <c r="AN22" s="8" t="s">
        <v>27</v>
      </c>
      <c r="AO22" s="8">
        <v>20</v>
      </c>
      <c r="AP22" s="8">
        <f>AC25</f>
        <v>200.08</v>
      </c>
    </row>
    <row r="23" spans="1:42">
      <c r="A23" s="8" t="s">
        <v>36</v>
      </c>
      <c r="B23" s="23">
        <f>B3*SIN(RADIANS(B4+B20*0.707))</f>
        <v>0.95900114286796823</v>
      </c>
      <c r="D23"/>
      <c r="F23" s="8">
        <v>100</v>
      </c>
      <c r="G23" s="8">
        <v>282.89999999999998</v>
      </c>
      <c r="H23" s="8">
        <v>304</v>
      </c>
      <c r="I23" s="8">
        <v>297.26</v>
      </c>
      <c r="J23" s="8">
        <v>268.04000000000002</v>
      </c>
      <c r="L23" s="8" t="s">
        <v>10</v>
      </c>
      <c r="M23" s="8">
        <v>-25</v>
      </c>
      <c r="N23" s="8">
        <f>G30</f>
        <v>254.88</v>
      </c>
      <c r="O23" s="8" t="s">
        <v>10</v>
      </c>
      <c r="P23" s="8">
        <v>-25</v>
      </c>
      <c r="Q23" s="8">
        <f>H30</f>
        <v>228</v>
      </c>
      <c r="R23" s="8" t="s">
        <v>10</v>
      </c>
      <c r="S23" s="8">
        <v>-25</v>
      </c>
      <c r="T23" s="8">
        <f>I30</f>
        <v>265.92</v>
      </c>
      <c r="U23" s="8" t="s">
        <v>10</v>
      </c>
      <c r="V23" s="8">
        <v>-25</v>
      </c>
      <c r="W23" s="8">
        <f>J30</f>
        <v>243.58</v>
      </c>
      <c r="Y23" s="8">
        <v>100</v>
      </c>
      <c r="Z23" s="8">
        <v>256.54000000000002</v>
      </c>
      <c r="AA23" s="8">
        <v>211.667</v>
      </c>
      <c r="AB23" s="8">
        <v>266.14</v>
      </c>
      <c r="AC23" s="8">
        <v>246.57</v>
      </c>
      <c r="AE23" s="8" t="s">
        <v>27</v>
      </c>
      <c r="AF23" s="8">
        <v>25</v>
      </c>
      <c r="AG23" s="8">
        <f>Z30</f>
        <v>182.36</v>
      </c>
      <c r="AH23" s="8" t="s">
        <v>27</v>
      </c>
      <c r="AI23" s="8">
        <v>25</v>
      </c>
      <c r="AJ23" s="8">
        <f>AA30</f>
        <v>78.332999999999998</v>
      </c>
      <c r="AK23" s="8" t="s">
        <v>27</v>
      </c>
      <c r="AL23" s="8">
        <v>25</v>
      </c>
      <c r="AM23" s="8">
        <f>AB30</f>
        <v>184.54</v>
      </c>
      <c r="AN23" s="8" t="s">
        <v>27</v>
      </c>
      <c r="AO23" s="8">
        <v>25</v>
      </c>
      <c r="AP23" s="8">
        <f>AC30</f>
        <v>179.83</v>
      </c>
    </row>
    <row r="24" spans="1:42">
      <c r="A24" s="8" t="s">
        <v>37</v>
      </c>
      <c r="B24" s="23">
        <f>B3*COS(RADIANS(B4+B20*0.5))</f>
        <v>-0.28439998181086085</v>
      </c>
      <c r="D24"/>
      <c r="F24" s="8">
        <v>95</v>
      </c>
      <c r="G24" s="8">
        <v>267.32</v>
      </c>
      <c r="H24" s="8">
        <v>257</v>
      </c>
      <c r="I24" s="8">
        <v>279.58999999999997</v>
      </c>
      <c r="J24" s="8">
        <v>254.69</v>
      </c>
      <c r="L24" s="8" t="s">
        <v>11</v>
      </c>
      <c r="M24" s="9">
        <f>$B$2</f>
        <v>6.0220000000000002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229.81232640190422</v>
      </c>
      <c r="O24" s="8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150.16703007987684</v>
      </c>
      <c r="R24" s="8" t="s">
        <v>11</v>
      </c>
      <c r="S24" s="9">
        <f>$B$2</f>
        <v>6.0220000000000002</v>
      </c>
      <c r="T24" s="8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237.32290499642011</v>
      </c>
      <c r="U24" s="8" t="s">
        <v>11</v>
      </c>
      <c r="V24" s="9">
        <f>$B$2</f>
        <v>6.0220000000000002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222.0217368665451</v>
      </c>
      <c r="Y24" s="8">
        <v>95</v>
      </c>
      <c r="Z24" s="8">
        <v>232.4</v>
      </c>
      <c r="AA24" s="8">
        <v>158.333</v>
      </c>
      <c r="AB24" s="8">
        <v>239.52</v>
      </c>
      <c r="AC24" s="8">
        <v>225.04</v>
      </c>
      <c r="AE24" s="8" t="s">
        <v>28</v>
      </c>
      <c r="AF24" s="9">
        <f>$B$2</f>
        <v>6.0220000000000002</v>
      </c>
      <c r="AG24" s="11">
        <f>AG18*(AF24-AF19)*(AF24-AF20)*(AF24-AF21)*(AF24-AF22)*(AF24-AF23)/((AF18-AF19)*(AF18-AF20)*(AF18-AF21)*(AF18-AF22)*(AF18-AF23))+AG19*(AF24-AF18)*(AF24-AF20)*(AF24-AF21)*(AF24-AF22)*(AF24-AF23)/((AF19-AF18)*(AF19-AF20)*(AF19-AF21)*(AF19-AF22)*(AF19-AF23))+AG20*(AF24-AF18)*(AF24-AF19)*(AF24-AF21)*(AF24-AF22)*(AF24-AF23)/((AF20-AF18)*(AF20-AF19)*(AF20-AF21)*(AF20-AF22)*(AF20-AF23))+AG21*(AF24-AF18)*(AF24-AF19)*(AF24-AF20)*(AF24-AF22)*(AF24-AF23)/((AF21-AF18)*(AF21-AF19)*(AF21-AF20)*(AF21-AF22)*(AF21-AF23))+AG22*(AF24-AF18)*(AF24-AF19)*(AF24-AF20)*(AF24-AF21)*(AF24-AF23)/((AF22-AF18)*(AF22-AF19)*(AF22-AF20)*(AF22-AF21)*(AF22-AF23))+AG23*(AF24-AF18)*(AF24-AF19)*(AF24-AF20)*(AF24-AF21)*(AF24-AF22)/((AF23-AF18)*(AF23-AF19)*(AF23-AF20)*(AF23-AF21)*(AF23-AF22))</f>
        <v>229.73846703622499</v>
      </c>
      <c r="AH24" s="8" t="s">
        <v>28</v>
      </c>
      <c r="AI24" s="9">
        <f>$B$2</f>
        <v>6.0220000000000002</v>
      </c>
      <c r="AJ24" s="11">
        <f>AJ18*(AI24-AI19)*(AI24-AI20)*(AI24-AI21)*(AI24-AI22)*(AI24-AI23)/((AI18-AI19)*(AI18-AI20)*(AI18-AI21)*(AI18-AI22)*(AI18-AI23))+AJ19*(AI24-AI18)*(AI24-AI20)*(AI24-AI21)*(AI24-AI22)*(AI24-AI23)/((AI19-AI18)*(AI19-AI20)*(AI19-AI21)*(AI19-AI22)*(AI19-AI23))+AJ20*(AI24-AI18)*(AI24-AI19)*(AI24-AI21)*(AI24-AI22)*(AI24-AI23)/((AI20-AI18)*(AI20-AI19)*(AI20-AI21)*(AI20-AI22)*(AI20-AI23))+AJ21*(AI24-AI18)*(AI24-AI19)*(AI24-AI20)*(AI24-AI22)*(AI24-AI23)/((AI21-AI18)*(AI21-AI19)*(AI21-AI20)*(AI21-AI22)*(AI21-AI23))+AJ22*(AI24-AI18)*(AI24-AI19)*(AI24-AI20)*(AI24-AI21)*(AI24-AI23)/((AI22-AI18)*(AI22-AI19)*(AI22-AI20)*(AI22-AI21)*(AI22-AI23))+AJ23*(AI24-AI18)*(AI24-AI19)*(AI24-AI20)*(AI24-AI21)*(AI24-AI22)/((AI23-AI18)*(AI23-AI19)*(AI23-AI20)*(AI23-AI21)*(AI23-AI22))</f>
        <v>159.33147444731131</v>
      </c>
      <c r="AK24" s="8" t="s">
        <v>28</v>
      </c>
      <c r="AL24" s="9">
        <f>$B$2</f>
        <v>6.0220000000000002</v>
      </c>
      <c r="AM24" s="8">
        <f>AM18*(AL24-AL19)*(AL24-AL20)*(AL24-AL21)*(AL24-AL22)*(AL24-AL23)/((AL18-AL19)*(AL18-AL20)*(AL18-AL21)*(AL18-AL22)*(AL18-AL23))+AM19*(AL24-AL18)*(AL24-AL20)*(AL24-AL21)*(AL24-AL22)*(AL24-AL23)/((AL19-AL18)*(AL19-AL20)*(AL19-AL21)*(AL19-AL22)*(AL19-AL23))+AM20*(AL24-AL18)*(AL24-AL19)*(AL24-AL21)*(AL24-AL22)*(AL24-AL23)/((AL20-AL18)*(AL20-AL19)*(AL20-AL21)*(AL20-AL22)*(AL20-AL23))+AM21*(AL24-AL18)*(AL24-AL19)*(AL24-AL20)*(AL24-AL22)*(AL24-AL23)/((AL21-AL18)*(AL21-AL19)*(AL21-AL20)*(AL21-AL22)*(AL21-AL23))+AM22*(AL24-AL18)*(AL24-AL19)*(AL24-AL20)*(AL24-AL21)*(AL24-AL23)/((AL22-AL18)*(AL22-AL19)*(AL22-AL20)*(AL22-AL21)*(AL22-AL23))+AM23*(AL24-AL18)*(AL24-AL19)*(AL24-AL20)*(AL24-AL21)*(AL24-AL22)/((AL23-AL18)*(AL23-AL19)*(AL23-AL20)*(AL23-AL21)*(AL23-AL22))</f>
        <v>237.28019566113898</v>
      </c>
      <c r="AN24" s="8" t="s">
        <v>28</v>
      </c>
      <c r="AO24" s="9">
        <f>$B$2</f>
        <v>6.0220000000000002</v>
      </c>
      <c r="AP24" s="11">
        <f>AP18*(AO24-AO19)*(AO24-AO20)*(AO24-AO21)*(AO24-AO22)*(AO24-AO23)/((AO18-AO19)*(AO18-AO20)*(AO18-AO21)*(AO18-AO22)*(AO18-AO23))+AP19*(AO24-AO18)*(AO24-AO20)*(AO24-AO21)*(AO24-AO22)*(AO24-AO23)/((AO19-AO18)*(AO19-AO20)*(AO19-AO21)*(AO19-AO22)*(AO19-AO23))+AP20*(AO24-AO18)*(AO24-AO19)*(AO24-AO21)*(AO24-AO22)*(AO24-AO23)/((AO20-AO18)*(AO20-AO19)*(AO20-AO21)*(AO20-AO22)*(AO20-AO23))+AP21*(AO24-AO18)*(AO24-AO19)*(AO24-AO20)*(AO24-AO22)*(AO24-AO23)/((AO21-AO18)*(AO21-AO19)*(AO21-AO20)*(AO21-AO22)*(AO21-AO23))+AP22*(AO24-AO18)*(AO24-AO19)*(AO24-AO20)*(AO24-AO21)*(AO24-AO23)/((AO22-AO18)*(AO22-AO19)*(AO22-AO20)*(AO22-AO21)*(AO22-AO23))+AP23*(AO24-AO18)*(AO24-AO19)*(AO24-AO20)*(AO24-AO21)*(AO24-AO22)/((AO23-AO18)*(AO23-AO19)*(AO23-AO20)*(AO23-AO21)*(AO23-AO22))</f>
        <v>221.9997829132304</v>
      </c>
    </row>
    <row r="25" spans="1:42">
      <c r="D25"/>
      <c r="E25" s="12"/>
      <c r="F25" s="8">
        <v>90</v>
      </c>
      <c r="G25" s="8">
        <v>251.89</v>
      </c>
      <c r="H25" s="8">
        <v>219</v>
      </c>
      <c r="I25" s="8">
        <v>262.45</v>
      </c>
      <c r="J25" s="8">
        <v>241.08</v>
      </c>
      <c r="Y25" s="8">
        <v>90</v>
      </c>
      <c r="Z25" s="8">
        <v>205.15</v>
      </c>
      <c r="AA25" s="8">
        <v>111.667</v>
      </c>
      <c r="AB25" s="8">
        <v>210.04</v>
      </c>
      <c r="AC25" s="8">
        <v>200.08</v>
      </c>
    </row>
    <row r="26" spans="1:42">
      <c r="A26" s="240" t="s">
        <v>39</v>
      </c>
      <c r="B26" s="241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8">
        <f>N31*(D4-M32)*(D4-M33)/((M31-M32)*(M31-M33))+N32*(D4-M31)*(D4-M33)/((M32-M31)*(M32-M33))+N33*(D4-M31)*(D4-M32)/((M33-M31)*(M33-M32))</f>
        <v>256.99679388667414</v>
      </c>
      <c r="B27" s="8">
        <f>O31*(D4-M32)*(D4-M33)/((M31-M32)*(M31-M33))+O32*(D4-M31)*(D4-M33)/((M32-M31)*(M32-M33))+O33*(D4-M31)*(D4-M32)/((M33-M31)*(M33-M32))</f>
        <v>257.30008194694943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8">
        <v>100</v>
      </c>
      <c r="M27" s="8">
        <f>G3</f>
        <v>272.47000000000003</v>
      </c>
      <c r="N27" s="8">
        <f>M27+0.64</f>
        <v>273.11</v>
      </c>
      <c r="O27" s="8">
        <v>271.73</v>
      </c>
      <c r="Q27" s="10">
        <v>100</v>
      </c>
      <c r="R27" s="8">
        <f>IF($B$2&gt;0,AG8,N8)</f>
        <v>268.48806779782109</v>
      </c>
      <c r="S27" s="8">
        <f>IF($B$2&gt;0,AJ8,Q8)</f>
        <v>249.62979633824466</v>
      </c>
      <c r="T27" s="8">
        <f>IF($B$2&gt;0,AM8,T8)</f>
        <v>280.04911607956285</v>
      </c>
      <c r="U27" s="22">
        <f>IF($B$2&gt;0,AP8,W8)</f>
        <v>256.5027214592601</v>
      </c>
      <c r="V27" s="1"/>
      <c r="W27" s="1"/>
      <c r="X27" s="1"/>
      <c r="Y27" s="15">
        <v>25</v>
      </c>
      <c r="Z27" s="7" t="s">
        <v>6</v>
      </c>
      <c r="AA27" s="7" t="s">
        <v>7</v>
      </c>
      <c r="AB27" s="7" t="s">
        <v>8</v>
      </c>
      <c r="AC27" s="7" t="s">
        <v>9</v>
      </c>
    </row>
    <row r="28" spans="1:42">
      <c r="D28"/>
      <c r="E28" s="12">
        <f>292*F28/100</f>
        <v>292</v>
      </c>
      <c r="F28" s="8">
        <v>100</v>
      </c>
      <c r="G28" s="8">
        <v>285.02999999999997</v>
      </c>
      <c r="H28" s="8">
        <v>313</v>
      </c>
      <c r="I28" s="8">
        <v>299.85000000000002</v>
      </c>
      <c r="J28" s="8">
        <v>269.69</v>
      </c>
      <c r="L28" s="10">
        <v>95</v>
      </c>
      <c r="M28" s="8">
        <f>G4</f>
        <v>254.41</v>
      </c>
      <c r="N28" s="8">
        <f>M28+0.52</f>
        <v>254.93</v>
      </c>
      <c r="O28" s="8">
        <v>253.72</v>
      </c>
      <c r="Q28" s="10">
        <v>95</v>
      </c>
      <c r="R28" s="8">
        <f>IF($B$2&gt;0,AG16,N16)</f>
        <v>249.24537980823914</v>
      </c>
      <c r="S28" s="8">
        <f>IF($B$2&gt;0,AJ16,Q16)</f>
        <v>200.11953854599145</v>
      </c>
      <c r="T28" s="8">
        <f>IF($B$2&gt;0,AM16,T16)</f>
        <v>258.59945301309517</v>
      </c>
      <c r="U28" s="22">
        <f>IF($B$2&gt;0,AP16,W16)</f>
        <v>239.60125740786577</v>
      </c>
      <c r="Y28" s="8">
        <v>100</v>
      </c>
      <c r="Z28" s="8">
        <v>250.75</v>
      </c>
      <c r="AA28" s="8">
        <v>195.833</v>
      </c>
      <c r="AB28" s="8">
        <v>259.47000000000003</v>
      </c>
      <c r="AC28" s="8">
        <v>241.66</v>
      </c>
    </row>
    <row r="29" spans="1:42">
      <c r="A29" s="8" t="s">
        <v>41</v>
      </c>
      <c r="B29" s="8" t="s">
        <v>42</v>
      </c>
      <c r="D29"/>
      <c r="E29" s="12">
        <f t="shared" ref="E29:E30" si="0">292*F29/100</f>
        <v>277.39999999999998</v>
      </c>
      <c r="F29" s="8">
        <v>95</v>
      </c>
      <c r="G29" s="8">
        <v>269.87</v>
      </c>
      <c r="H29" s="8">
        <v>266</v>
      </c>
      <c r="I29" s="8">
        <v>282.62</v>
      </c>
      <c r="J29" s="8">
        <v>256.75</v>
      </c>
      <c r="L29" s="10">
        <v>90</v>
      </c>
      <c r="M29" s="8">
        <f>G5</f>
        <v>236.27</v>
      </c>
      <c r="N29" s="8">
        <f>M29+0.6</f>
        <v>236.87</v>
      </c>
      <c r="O29" s="8">
        <v>235.65</v>
      </c>
      <c r="Q29" s="10">
        <v>90</v>
      </c>
      <c r="R29" s="8">
        <f>IF($B$2&gt;0,AG24,N24)</f>
        <v>229.73846703622499</v>
      </c>
      <c r="S29" s="8">
        <f>IF($B$2&gt;0,AJ24,Q24)</f>
        <v>159.33147444731131</v>
      </c>
      <c r="T29" s="8">
        <f>IF($B$2&gt;0,AM24,T24)</f>
        <v>237.28019566113898</v>
      </c>
      <c r="U29" s="22">
        <f>IF($B$2&gt;0,AP24,W24)</f>
        <v>221.9997829132304</v>
      </c>
      <c r="Y29" s="8">
        <v>95</v>
      </c>
      <c r="Z29" s="8">
        <v>222.8</v>
      </c>
      <c r="AA29" s="8">
        <v>137.5</v>
      </c>
      <c r="AB29" s="8">
        <v>228.75</v>
      </c>
      <c r="AC29" s="8">
        <v>216.6</v>
      </c>
    </row>
    <row r="30" spans="1:42">
      <c r="A30" s="11">
        <f>(L36*(D4-M37)*(D4-M38)/((M36-M37)*(M36-M38))+L37*(D4-M36)*(D4-M38)/((M37-M36)*(M37-M38))+L38*(D4-M36)*(D4-M37)/((M38-M36)*(M38-M37)))-A34</f>
        <v>96.953245207037696</v>
      </c>
      <c r="B30" s="24">
        <f>(S27*(A30-Q28)*(A30-Q29)/((Q27-Q28)*(Q27-Q29))+S28*(A30-Q27)*(A30-Q29)/((Q28-Q27)*(Q28-Q29))+S29*(A30-Q27)*(A30-Q28)/((Q29-Q27)*(Q29-Q28)))*(B23+(B14*(A21/A20))*(A30/100))</f>
        <v>-188.32466904484014</v>
      </c>
      <c r="D30"/>
      <c r="E30" s="12">
        <f t="shared" si="0"/>
        <v>262.8</v>
      </c>
      <c r="F30" s="8">
        <v>90</v>
      </c>
      <c r="G30" s="8">
        <v>254.88</v>
      </c>
      <c r="H30" s="8">
        <v>228</v>
      </c>
      <c r="I30" s="8">
        <v>265.92</v>
      </c>
      <c r="J30" s="8">
        <v>243.58</v>
      </c>
      <c r="N30" s="1" t="s">
        <v>38</v>
      </c>
      <c r="Y30" s="8">
        <v>90</v>
      </c>
      <c r="Z30" s="8">
        <v>182.36</v>
      </c>
      <c r="AA30" s="8">
        <v>78.332999999999998</v>
      </c>
      <c r="AB30" s="8">
        <v>184.54</v>
      </c>
      <c r="AC30" s="8">
        <v>179.83</v>
      </c>
    </row>
    <row r="31" spans="1:42">
      <c r="A31" s="8" t="s">
        <v>44</v>
      </c>
      <c r="B31" s="8" t="s">
        <v>43</v>
      </c>
      <c r="D31">
        <v>219.79</v>
      </c>
      <c r="E31">
        <f>D32-D31</f>
        <v>0.59999999999999432</v>
      </c>
      <c r="L31" s="8">
        <v>100</v>
      </c>
      <c r="M31" s="8">
        <f>M27</f>
        <v>272.47000000000003</v>
      </c>
      <c r="N31" s="11">
        <f>M27*((L27-(100/360))-L28)*((L27-(100/360))-L29)/((L27-L28)*(L27-L29))+M28*((L27-(100/360))-L27)*((L27-(100/360))-L29)/((L28-L27)*(L28-L29))+M29*((L27-(100/360))-L27)*((L27-(100/360))-L28)/((L29-L27)*(L29-L28))</f>
        <v>271.46876543209885</v>
      </c>
      <c r="O31" s="8">
        <f>O27</f>
        <v>271.73</v>
      </c>
    </row>
    <row r="32" spans="1:42">
      <c r="A32" s="25">
        <f>(360-ROUNDDOWN((1-(A30/100))*360,0))*292/360</f>
        <v>283.88888888888891</v>
      </c>
      <c r="B32" s="11">
        <f>MOD((A30/100)*-360,1)*-((D4-A27)/(D4-B27))+30</f>
        <v>28.613043481916979</v>
      </c>
      <c r="D32">
        <v>220.39</v>
      </c>
      <c r="L32" s="10">
        <v>95</v>
      </c>
      <c r="M32" s="8">
        <f>M28</f>
        <v>254.41</v>
      </c>
      <c r="N32" s="11">
        <f>M27*((L28-(100/360))-L28)*((L28-(100/360))-L29)/((L27-L28)*(L27-L29))+M28*((L28-(100/360))-L27)*((L28-(100/360))-L29)/((L28-L27)*(L28-L29))+M29*((L28-(100/360))-L27)*((L28-(100/360))-L28)/((L29-L27)*(L29-L28))</f>
        <v>253.40432098765436</v>
      </c>
      <c r="O32" s="99">
        <f t="shared" ref="O32:O33" si="1">O28</f>
        <v>253.72</v>
      </c>
      <c r="R32" s="14"/>
      <c r="W32">
        <v>395</v>
      </c>
      <c r="X32">
        <f>(W32-630)/1.2</f>
        <v>-195.83333333333334</v>
      </c>
    </row>
    <row r="33" spans="1:24">
      <c r="A33" s="219" t="s">
        <v>240</v>
      </c>
      <c r="D33"/>
      <c r="L33" s="10">
        <v>90</v>
      </c>
      <c r="M33" s="8">
        <f>M29</f>
        <v>236.27</v>
      </c>
      <c r="N33" s="11">
        <f>M27*((L29-(100/360))-L28)*((L29-(100/360))-L29)/((L27-L28)*(L27-L29))+M28*((L29-(100/360))-L27)*((L29-(100/360))-L29)/((L28-L27)*(L28-L29))+M29*((L29-(100/360))-L27)*((L29-(100/360))-L28)/((L29-L27)*(L29-L28))</f>
        <v>235.25987654320991</v>
      </c>
      <c r="O33" s="99">
        <f t="shared" si="1"/>
        <v>235.65</v>
      </c>
      <c r="Q33" s="14"/>
      <c r="R33" s="14"/>
      <c r="W33">
        <v>465</v>
      </c>
      <c r="X33">
        <f>(W33-630)/1.2</f>
        <v>-137.5</v>
      </c>
    </row>
    <row r="34" spans="1:24">
      <c r="A34" s="219">
        <f>IF(Plan1!E16=4,0.4,IF(Plan1!E16=8,0))</f>
        <v>0.4</v>
      </c>
      <c r="D34"/>
      <c r="W34">
        <v>536</v>
      </c>
      <c r="X34">
        <f>(W34-630)/1.2</f>
        <v>-78.333333333333343</v>
      </c>
    </row>
    <row r="35" spans="1:24">
      <c r="D35"/>
      <c r="L35" s="240" t="s">
        <v>40</v>
      </c>
      <c r="M35" s="241"/>
      <c r="S35" s="1"/>
    </row>
    <row r="36" spans="1:24">
      <c r="D36"/>
      <c r="L36" s="10">
        <v>100</v>
      </c>
      <c r="M36" s="11">
        <f>R27*(B24-9)*(B24--9)/((0-9)*(0--9))+T27*(B24-0)*(B24--9)/((9-0)*(9--9))+U27*(B24-0)*(B24-9)/((-9-0)*(-9-9))</f>
        <v>268.11582294310739</v>
      </c>
      <c r="S36" s="1"/>
    </row>
    <row r="37" spans="1:24">
      <c r="L37" s="10">
        <v>95</v>
      </c>
      <c r="M37" s="11">
        <f>R28*(B24-9)*(B24--9)/((0-9)*(0--9))+T28*(B24-0)*(B24--9)/((9-0)*(9--9))+U28*(B24-0)*(B24-9)/((-9-0)*(-9-9))</f>
        <v>248.94506352113049</v>
      </c>
      <c r="S37" s="1"/>
    </row>
    <row r="38" spans="1:24">
      <c r="L38" s="10">
        <v>90</v>
      </c>
      <c r="M38" s="11">
        <f>R29*(B24-9)*(B24--9)/((0-9)*(0--9))+T29*(B24-0)*(B24--9)/((9-0)*(9--9))+U29*(B24-0)*(B24-9)/((-9-0)*(-9-9))</f>
        <v>229.49693819432053</v>
      </c>
    </row>
  </sheetData>
  <mergeCells count="3">
    <mergeCell ref="A26:B26"/>
    <mergeCell ref="L35:M35"/>
    <mergeCell ref="C1:E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P41"/>
  <sheetViews>
    <sheetView topLeftCell="A13" zoomScaleNormal="100" workbookViewId="0">
      <selection activeCell="B38" sqref="B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38" t="s">
        <v>46</v>
      </c>
      <c r="D1" s="238"/>
      <c r="E1" s="23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6.0220000000000002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30" t="s">
        <v>10</v>
      </c>
      <c r="M2" s="30">
        <v>0</v>
      </c>
      <c r="N2" s="30">
        <f>G3</f>
        <v>279.29000000000002</v>
      </c>
      <c r="O2" s="30" t="s">
        <v>10</v>
      </c>
      <c r="P2" s="30">
        <v>0</v>
      </c>
      <c r="Q2" s="30">
        <f>H3</f>
        <v>264</v>
      </c>
      <c r="R2" s="30" t="s">
        <v>10</v>
      </c>
      <c r="S2" s="30">
        <v>0</v>
      </c>
      <c r="T2" s="30">
        <f>I3</f>
        <v>291.54000000000002</v>
      </c>
      <c r="U2" s="30" t="s">
        <v>10</v>
      </c>
      <c r="V2" s="30">
        <v>0</v>
      </c>
      <c r="W2" s="30">
        <f>J3</f>
        <v>266.60000000000002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30" t="s">
        <v>10</v>
      </c>
      <c r="AF2" s="30">
        <v>0</v>
      </c>
      <c r="AG2" s="30">
        <f>Z3</f>
        <v>279.29000000000002</v>
      </c>
      <c r="AH2" s="30" t="s">
        <v>10</v>
      </c>
      <c r="AI2" s="95">
        <v>0</v>
      </c>
      <c r="AJ2" s="30">
        <f>AA3</f>
        <v>264</v>
      </c>
      <c r="AK2" s="30" t="s">
        <v>10</v>
      </c>
      <c r="AL2" s="95">
        <v>0</v>
      </c>
      <c r="AM2" s="30">
        <f>AB3</f>
        <v>291.54000000000002</v>
      </c>
      <c r="AN2" s="30" t="s">
        <v>10</v>
      </c>
      <c r="AO2" s="95">
        <v>0</v>
      </c>
      <c r="AP2" s="30">
        <f>AC3</f>
        <v>266.60000000000002</v>
      </c>
    </row>
    <row r="3" spans="1:42">
      <c r="A3" s="7" t="s">
        <v>2</v>
      </c>
      <c r="B3" s="27">
        <f>Plan1!B3</f>
        <v>1</v>
      </c>
      <c r="C3" s="5"/>
      <c r="D3" s="26">
        <f>A9</f>
        <v>258.43625000000003</v>
      </c>
      <c r="F3" s="30">
        <v>100</v>
      </c>
      <c r="G3" s="30">
        <v>279.29000000000002</v>
      </c>
      <c r="H3" s="30">
        <v>264</v>
      </c>
      <c r="I3" s="30">
        <v>291.54000000000002</v>
      </c>
      <c r="J3" s="30">
        <v>266.60000000000002</v>
      </c>
      <c r="L3" s="30" t="s">
        <v>10</v>
      </c>
      <c r="M3" s="30">
        <v>-5</v>
      </c>
      <c r="N3" s="30">
        <f>G8</f>
        <v>282.23</v>
      </c>
      <c r="O3" s="30" t="s">
        <v>10</v>
      </c>
      <c r="P3" s="30">
        <v>-5</v>
      </c>
      <c r="Q3" s="30">
        <f>H8</f>
        <v>274</v>
      </c>
      <c r="R3" s="30" t="s">
        <v>10</v>
      </c>
      <c r="S3" s="30">
        <v>-5</v>
      </c>
      <c r="T3" s="30">
        <f>I8</f>
        <v>295.02999999999997</v>
      </c>
      <c r="U3" s="30" t="s">
        <v>10</v>
      </c>
      <c r="V3" s="30">
        <v>-5</v>
      </c>
      <c r="W3" s="30">
        <f>J8</f>
        <v>268.98</v>
      </c>
      <c r="Y3" s="30">
        <v>100</v>
      </c>
      <c r="Z3" s="30">
        <f>G3</f>
        <v>279.29000000000002</v>
      </c>
      <c r="AA3" s="95">
        <f t="shared" ref="AA3:AC3" si="0">H3</f>
        <v>264</v>
      </c>
      <c r="AB3" s="95">
        <f t="shared" si="0"/>
        <v>291.54000000000002</v>
      </c>
      <c r="AC3" s="95">
        <f t="shared" si="0"/>
        <v>266.60000000000002</v>
      </c>
      <c r="AE3" s="30" t="s">
        <v>10</v>
      </c>
      <c r="AF3" s="30">
        <v>5</v>
      </c>
      <c r="AG3" s="30">
        <f>Z8</f>
        <v>276.02999999999997</v>
      </c>
      <c r="AH3" s="30" t="s">
        <v>10</v>
      </c>
      <c r="AI3" s="95">
        <v>5</v>
      </c>
      <c r="AJ3" s="30">
        <f>AA8</f>
        <v>252</v>
      </c>
      <c r="AK3" s="30" t="s">
        <v>10</v>
      </c>
      <c r="AL3" s="95">
        <v>5</v>
      </c>
      <c r="AM3" s="30">
        <f>AB8</f>
        <v>287.7</v>
      </c>
      <c r="AN3" s="30" t="s">
        <v>10</v>
      </c>
      <c r="AO3" s="95">
        <v>5</v>
      </c>
      <c r="AP3" s="30">
        <f>AC8</f>
        <v>263.94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257.97378555551279</v>
      </c>
      <c r="F4" s="30">
        <v>95</v>
      </c>
      <c r="G4" s="30">
        <v>261.24</v>
      </c>
      <c r="H4" s="30">
        <v>216</v>
      </c>
      <c r="I4" s="30">
        <v>271.36</v>
      </c>
      <c r="J4" s="30">
        <v>250.82</v>
      </c>
      <c r="K4" s="16"/>
      <c r="L4" s="30" t="s">
        <v>10</v>
      </c>
      <c r="M4" s="30">
        <v>-10</v>
      </c>
      <c r="N4" s="30">
        <f>G13</f>
        <v>284.92</v>
      </c>
      <c r="O4" s="30" t="s">
        <v>10</v>
      </c>
      <c r="P4" s="30">
        <v>-10</v>
      </c>
      <c r="Q4" s="30">
        <f>H13</f>
        <v>284</v>
      </c>
      <c r="R4" s="30" t="s">
        <v>10</v>
      </c>
      <c r="S4" s="30">
        <v>-10</v>
      </c>
      <c r="T4" s="30">
        <f>I13</f>
        <v>298.24</v>
      </c>
      <c r="U4" s="30" t="s">
        <v>10</v>
      </c>
      <c r="V4" s="30">
        <v>-10</v>
      </c>
      <c r="W4" s="30">
        <f>J13</f>
        <v>271.14</v>
      </c>
      <c r="Y4" s="30">
        <v>95</v>
      </c>
      <c r="Z4" s="95">
        <f t="shared" ref="Z4:Z5" si="1">G4</f>
        <v>261.24</v>
      </c>
      <c r="AA4" s="95">
        <f t="shared" ref="AA4:AA5" si="2">H4</f>
        <v>216</v>
      </c>
      <c r="AB4" s="95">
        <f t="shared" ref="AB4:AB5" si="3">I4</f>
        <v>271.36</v>
      </c>
      <c r="AC4" s="95">
        <f t="shared" ref="AC4:AC5" si="4">J4</f>
        <v>250.82</v>
      </c>
      <c r="AE4" s="30" t="s">
        <v>10</v>
      </c>
      <c r="AF4" s="30">
        <v>10</v>
      </c>
      <c r="AG4" s="30">
        <f>Z13</f>
        <v>272.39</v>
      </c>
      <c r="AH4" s="30" t="s">
        <v>10</v>
      </c>
      <c r="AI4" s="95">
        <v>10</v>
      </c>
      <c r="AJ4" s="30">
        <f>AA13</f>
        <v>240</v>
      </c>
      <c r="AK4" s="30" t="s">
        <v>10</v>
      </c>
      <c r="AL4" s="95">
        <v>10</v>
      </c>
      <c r="AM4" s="30">
        <f>AB13</f>
        <v>283.44</v>
      </c>
      <c r="AN4" s="30" t="s">
        <v>10</v>
      </c>
      <c r="AO4" s="95">
        <v>10</v>
      </c>
      <c r="AP4" s="30">
        <f>AC13</f>
        <v>260.95</v>
      </c>
    </row>
    <row r="5" spans="1:42">
      <c r="A5" s="7" t="s">
        <v>4</v>
      </c>
      <c r="B5" s="7">
        <f>Plan1!B5</f>
        <v>-1.8784359062401523</v>
      </c>
      <c r="C5" s="2"/>
      <c r="F5" s="30">
        <v>90</v>
      </c>
      <c r="G5" s="30">
        <v>243.14</v>
      </c>
      <c r="H5" s="30">
        <v>177</v>
      </c>
      <c r="I5" s="30">
        <v>251.5</v>
      </c>
      <c r="J5" s="30">
        <v>234.56</v>
      </c>
      <c r="K5" s="16"/>
      <c r="L5" s="30" t="s">
        <v>10</v>
      </c>
      <c r="M5" s="30">
        <v>-15</v>
      </c>
      <c r="N5" s="30">
        <f>G18</f>
        <v>287.39</v>
      </c>
      <c r="O5" s="30" t="s">
        <v>10</v>
      </c>
      <c r="P5" s="30">
        <v>-15</v>
      </c>
      <c r="Q5" s="30">
        <f>H18</f>
        <v>294</v>
      </c>
      <c r="R5" s="30" t="s">
        <v>10</v>
      </c>
      <c r="S5" s="30">
        <v>-15</v>
      </c>
      <c r="T5" s="30">
        <f>I18</f>
        <v>301.20999999999998</v>
      </c>
      <c r="U5" s="30" t="s">
        <v>10</v>
      </c>
      <c r="V5" s="30">
        <v>-15</v>
      </c>
      <c r="W5" s="30">
        <f>J18</f>
        <v>274.08999999999997</v>
      </c>
      <c r="Y5" s="30">
        <v>90</v>
      </c>
      <c r="Z5" s="95">
        <f t="shared" si="1"/>
        <v>243.14</v>
      </c>
      <c r="AA5" s="95">
        <f t="shared" si="2"/>
        <v>177</v>
      </c>
      <c r="AB5" s="95">
        <f t="shared" si="3"/>
        <v>251.5</v>
      </c>
      <c r="AC5" s="95">
        <f t="shared" si="4"/>
        <v>234.56</v>
      </c>
      <c r="AE5" s="30" t="s">
        <v>10</v>
      </c>
      <c r="AF5" s="30">
        <v>15</v>
      </c>
      <c r="AG5" s="30">
        <f>Z18</f>
        <v>268.27</v>
      </c>
      <c r="AH5" s="30" t="s">
        <v>10</v>
      </c>
      <c r="AI5" s="95">
        <v>15</v>
      </c>
      <c r="AJ5" s="30">
        <f>AA18</f>
        <v>227</v>
      </c>
      <c r="AK5" s="30" t="s">
        <v>10</v>
      </c>
      <c r="AL5" s="95">
        <v>15</v>
      </c>
      <c r="AM5" s="30">
        <f>AB18</f>
        <v>278.64</v>
      </c>
      <c r="AN5" s="30" t="s">
        <v>10</v>
      </c>
      <c r="AO5" s="95">
        <v>15</v>
      </c>
      <c r="AP5" s="30">
        <f>AC18</f>
        <v>257.52</v>
      </c>
    </row>
    <row r="6" spans="1:42">
      <c r="A6" s="7" t="s">
        <v>5</v>
      </c>
      <c r="B6" s="29">
        <f>Plan1!B6</f>
        <v>0.85</v>
      </c>
      <c r="C6" s="6"/>
      <c r="K6" s="16"/>
      <c r="L6" s="30" t="s">
        <v>10</v>
      </c>
      <c r="M6" s="30">
        <v>-20</v>
      </c>
      <c r="N6" s="30">
        <f>G23</f>
        <v>289.68</v>
      </c>
      <c r="O6" s="30" t="s">
        <v>10</v>
      </c>
      <c r="P6" s="30">
        <v>-20</v>
      </c>
      <c r="Q6" s="30">
        <f>H23</f>
        <v>304</v>
      </c>
      <c r="R6" s="30" t="s">
        <v>10</v>
      </c>
      <c r="S6" s="30">
        <v>-20</v>
      </c>
      <c r="T6" s="30">
        <f>I23</f>
        <v>303.98</v>
      </c>
      <c r="U6" s="30" t="s">
        <v>10</v>
      </c>
      <c r="V6" s="30">
        <v>-20</v>
      </c>
      <c r="W6" s="30">
        <f>J23</f>
        <v>274.89</v>
      </c>
      <c r="AE6" s="30" t="s">
        <v>10</v>
      </c>
      <c r="AF6" s="30">
        <v>20</v>
      </c>
      <c r="AG6" s="30">
        <f>Z23</f>
        <v>263.51</v>
      </c>
      <c r="AH6" s="30" t="s">
        <v>10</v>
      </c>
      <c r="AI6" s="95">
        <v>20</v>
      </c>
      <c r="AJ6" s="30">
        <f>AA23</f>
        <v>213</v>
      </c>
      <c r="AK6" s="30" t="s">
        <v>10</v>
      </c>
      <c r="AL6" s="95">
        <v>20</v>
      </c>
      <c r="AM6" s="30">
        <f>AB23</f>
        <v>273.12</v>
      </c>
      <c r="AN6" s="30" t="s">
        <v>10</v>
      </c>
      <c r="AO6" s="95">
        <v>20</v>
      </c>
      <c r="AP6" s="30">
        <f>AC23</f>
        <v>253.52</v>
      </c>
    </row>
    <row r="7" spans="1:42"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30" t="s">
        <v>10</v>
      </c>
      <c r="M7" s="30">
        <v>-25</v>
      </c>
      <c r="N7" s="30">
        <f>G28</f>
        <v>291.8</v>
      </c>
      <c r="O7" s="30" t="s">
        <v>10</v>
      </c>
      <c r="P7" s="30">
        <v>-25</v>
      </c>
      <c r="Q7" s="30">
        <f>H28</f>
        <v>312</v>
      </c>
      <c r="R7" s="30" t="s">
        <v>10</v>
      </c>
      <c r="S7" s="30">
        <v>-25</v>
      </c>
      <c r="T7" s="30">
        <f>I28</f>
        <v>306.54000000000002</v>
      </c>
      <c r="U7" s="30" t="s">
        <v>10</v>
      </c>
      <c r="V7" s="30">
        <v>-25</v>
      </c>
      <c r="W7" s="30">
        <f>J28</f>
        <v>276.54000000000002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30" t="s">
        <v>10</v>
      </c>
      <c r="AF7" s="30">
        <v>25</v>
      </c>
      <c r="AG7" s="30">
        <f>Z28</f>
        <v>257.82</v>
      </c>
      <c r="AH7" s="30" t="s">
        <v>10</v>
      </c>
      <c r="AI7" s="95">
        <v>25</v>
      </c>
      <c r="AJ7" s="30">
        <f>AA28</f>
        <v>197</v>
      </c>
      <c r="AK7" s="30" t="s">
        <v>10</v>
      </c>
      <c r="AL7" s="95">
        <v>25</v>
      </c>
      <c r="AM7" s="30">
        <f>AB28</f>
        <v>266.58999999999997</v>
      </c>
      <c r="AN7" s="30" t="s">
        <v>10</v>
      </c>
      <c r="AO7" s="95">
        <v>25</v>
      </c>
      <c r="AP7" s="30">
        <f>AC28</f>
        <v>248.7</v>
      </c>
    </row>
    <row r="8" spans="1:42">
      <c r="F8" s="30">
        <v>100</v>
      </c>
      <c r="G8" s="30">
        <v>282.23</v>
      </c>
      <c r="H8" s="30">
        <v>274</v>
      </c>
      <c r="I8" s="30">
        <v>295.02999999999997</v>
      </c>
      <c r="J8" s="30">
        <v>268.98</v>
      </c>
      <c r="K8" s="13"/>
      <c r="L8" s="30" t="s">
        <v>11</v>
      </c>
      <c r="M8" s="9">
        <f>$B$2</f>
        <v>6.0220000000000002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275.45161021578394</v>
      </c>
      <c r="O8" s="30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255.05863950179514</v>
      </c>
      <c r="R8" s="30" t="s">
        <v>11</v>
      </c>
      <c r="S8" s="9">
        <f>$B$2</f>
        <v>6.0220000000000002</v>
      </c>
      <c r="T8" s="30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286.98579543807159</v>
      </c>
      <c r="U8" s="30" t="s">
        <v>11</v>
      </c>
      <c r="V8" s="9">
        <f>$B$2</f>
        <v>6.0220000000000002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240.7797622015259</v>
      </c>
      <c r="Y8" s="30">
        <v>100</v>
      </c>
      <c r="Z8" s="30">
        <v>276.02999999999997</v>
      </c>
      <c r="AA8" s="30">
        <v>252</v>
      </c>
      <c r="AB8" s="30">
        <v>287.7</v>
      </c>
      <c r="AC8" s="30">
        <v>263.94</v>
      </c>
      <c r="AE8" s="30" t="s">
        <v>11</v>
      </c>
      <c r="AF8" s="9">
        <f>$B$2</f>
        <v>6.0220000000000002</v>
      </c>
      <c r="AG8" s="11">
        <f>AG2*(AF8-AF3)*(AF8-AF4)*(AF8-AF5)*(AF8-AF6)*(AF8-AF7)/((AF2-AF3)*(AF2-AF4)*(AF2-AF5)*(AF2-AF6)*(AF2-AF7))+AG3*(AF8-AF2)*(AF8-AF4)*(AF8-AF5)*(AF8-AF6)*(AF8-AF7)/((AF3-AF2)*(AF3-AF4)*(AF3-AF5)*(AF3-AF6)*(AF3-AF7))+AG4*(AF8-AF2)*(AF8-AF3)*(AF8-AF5)*(AF8-AF6)*(AF8-AF7)/((AF4-AF2)*(AF4-AF3)*(AF4-AF5)*(AF4-AF6)*(AF4-AF7))+AG5*(AF8-AF2)*(AF8-AF3)*(AF8-AF4)*(AF8-AF6)*(AF8-AF7)/((AF5-AF2)*(AF5-AF3)*(AF5-AF4)*(AF5-AF6)*(AF5-AF7))+AG6*(AF8-AF2)*(AF8-AF3)*(AF8-AF4)*(AF8-AF5)*(AF8-AF7)/((AF6-AF2)*(AF6-AF3)*(AF6-AF4)*(AF6-AF5)*(AF6-AF7))+AG7*(AF8-AF2)*(AF8-AF3)*(AF8-AF4)*(AF8-AF5)*(AF8-AF6)/((AF7-AF2)*(AF7-AF3)*(AF7-AF4)*(AF7-AF5)*(AF7-AF6))</f>
        <v>275.31984056206534</v>
      </c>
      <c r="AH8" s="30" t="s">
        <v>11</v>
      </c>
      <c r="AI8" s="9">
        <f>$B$2</f>
        <v>6.0220000000000002</v>
      </c>
      <c r="AJ8" s="11">
        <f>AJ2*(AI8-AI3)*(AI8-AI4)*(AI8-AI5)*(AI8-AI6)*(AI8-AI7)/((AI2-AI3)*(AI2-AI4)*(AI2-AI5)*(AI2-AI6)*(AI2-AI7))+AJ3*(AI8-AI2)*(AI8-AI4)*(AI8-AI5)*(AI8-AI6)*(AI8-AI7)/((AI3-AI2)*(AI3-AI4)*(AI3-AI5)*(AI3-AI6)*(AI3-AI7))+AJ4*(AI8-AI2)*(AI8-AI3)*(AI8-AI5)*(AI8-AI6)*(AI8-AI7)/((AI4-AI2)*(AI4-AI3)*(AI4-AI5)*(AI4-AI6)*(AI4-AI7))+AJ5*(AI8-AI2)*(AI8-AI3)*(AI8-AI4)*(AI8-AI6)*(AI8-AI7)/((AI5-AI2)*(AI5-AI3)*(AI5-AI4)*(AI5-AI6)*(AI5-AI7))+AJ6*(AI8-AI2)*(AI8-AI3)*(AI8-AI4)*(AI8-AI5)*(AI8-AI7)/((AI6-AI2)*(AI6-AI3)*(AI6-AI4)*(AI6-AI5)*(AI6-AI7))+AJ7*(AI8-AI2)*(AI8-AI3)*(AI8-AI4)*(AI8-AI5)*(AI8-AI6)/((AI7-AI2)*(AI7-AI3)*(AI7-AI4)*(AI7-AI5)*(AI7-AI6))</f>
        <v>249.61088325591646</v>
      </c>
      <c r="AK8" s="30" t="s">
        <v>11</v>
      </c>
      <c r="AL8" s="9">
        <f>$B$2</f>
        <v>6.0220000000000002</v>
      </c>
      <c r="AM8" s="30">
        <f>AM2*(AL8-AL3)*(AL8-AL4)*(AL8-AL5)*(AL8-AL6)*(AL8-AL7)/((AL2-AL3)*(AL2-AL4)*(AL2-AL5)*(AL2-AL6)*(AL2-AL7))+AM3*(AL8-AL2)*(AL8-AL4)*(AL8-AL5)*(AL8-AL6)*(AL8-AL7)/((AL3-AL2)*(AL3-AL4)*(AL3-AL5)*(AL3-AL6)*(AL3-AL7))+AM4*(AL8-AL2)*(AL8-AL3)*(AL8-AL5)*(AL8-AL6)*(AL8-AL7)/((AL4-AL2)*(AL4-AL3)*(AL4-AL5)*(AL4-AL6)*(AL4-AL7))+AM5*(AL8-AL2)*(AL8-AL3)*(AL8-AL4)*(AL8-AL6)*(AL8-AL7)/((AL5-AL2)*(AL5-AL3)*(AL5-AL4)*(AL5-AL6)*(AL5-AL7))+AM6*(AL8-AL2)*(AL8-AL3)*(AL8-AL4)*(AL8-AL5)*(AL8-AL7)/((AL6-AL2)*(AL6-AL3)*(AL6-AL4)*(AL6-AL5)*(AL6-AL7))+AM7*(AL8-AL2)*(AL8-AL3)*(AL8-AL4)*(AL8-AL5)*(AL8-AL6)/((AL7-AL2)*(AL7-AL3)*(AL7-AL4)*(AL7-AL5)*(AL7-AL6))</f>
        <v>286.86685397994717</v>
      </c>
      <c r="AN8" s="30" t="s">
        <v>11</v>
      </c>
      <c r="AO8" s="9">
        <f>$B$2</f>
        <v>6.0220000000000002</v>
      </c>
      <c r="AP8" s="11">
        <f>AP2*(AO8-AO3)*(AO8-AO4)*(AO8-AO5)*(AO8-AO6)*(AO8-AO7)/((AO2-AO3)*(AO2-AO4)*(AO2-AO5)*(AO2-AO6)*(AO2-AO7))+AP3*(AO8-AO2)*(AO8-AO4)*(AO8-AO5)*(AO8-AO6)*(AO8-AO7)/((AO3-AO2)*(AO3-AO4)*(AO3-AO5)*(AO3-AO6)*(AO3-AO7))+AP4*(AO8-AO2)*(AO8-AO3)*(AO8-AO5)*(AO8-AO6)*(AO8-AO7)/((AO4-AO2)*(AO4-AO3)*(AO4-AO5)*(AO4-AO6)*(AO4-AO7))+AP5*(AO8-AO2)*(AO8-AO3)*(AO8-AO4)*(AO8-AO6)*(AO8-AO7)/((AO5-AO2)*(AO5-AO3)*(AO5-AO4)*(AO5-AO6)*(AO5-AO7))+AP6*(AO8-AO2)*(AO8-AO3)*(AO8-AO4)*(AO8-AO5)*(AO8-AO7)/((AO6-AO2)*(AO6-AO3)*(AO6-AO4)*(AO6-AO5)*(AO6-AO7))+AP7*(AO8-AO2)*(AO8-AO3)*(AO8-AO4)*(AO8-AO5)*(AO8-AO6)/((AO7-AO2)*(AO7-AO3)*(AO7-AO4)*(AO7-AO5)*(AO7-AO6))</f>
        <v>263.35979341835571</v>
      </c>
    </row>
    <row r="9" spans="1:42">
      <c r="A9" s="4">
        <f>0*(B6-0.9)*(B6-0.8)/((1-0.9)*(1-0.8))+7.7*(B6-1)*(B6-0.8)/((0.9-1)*(0.9-0.8))+16.19*(B6-1)*(B6-0.9)/((0.8-1)*(0.8-0.9))+B1</f>
        <v>258.43625000000003</v>
      </c>
      <c r="F9" s="30">
        <v>95</v>
      </c>
      <c r="G9" s="30">
        <v>264.95</v>
      </c>
      <c r="H9" s="30">
        <v>227</v>
      </c>
      <c r="I9" s="30">
        <v>275.64</v>
      </c>
      <c r="J9" s="30">
        <v>253.94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30">
        <v>95</v>
      </c>
      <c r="Z9" s="30">
        <v>257.05</v>
      </c>
      <c r="AA9" s="30">
        <v>204</v>
      </c>
      <c r="AB9" s="30">
        <v>266.55</v>
      </c>
      <c r="AC9" s="30">
        <v>247.27</v>
      </c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F10" s="30">
        <v>90</v>
      </c>
      <c r="G10" s="30">
        <v>247.71</v>
      </c>
      <c r="H10" s="30">
        <v>188</v>
      </c>
      <c r="I10" s="30">
        <v>256.68</v>
      </c>
      <c r="J10" s="30">
        <v>238.53</v>
      </c>
      <c r="K10" s="13"/>
      <c r="L10" s="30" t="s">
        <v>10</v>
      </c>
      <c r="M10" s="30">
        <v>0</v>
      </c>
      <c r="N10" s="30">
        <f>G4</f>
        <v>261.24</v>
      </c>
      <c r="O10" s="30" t="s">
        <v>10</v>
      </c>
      <c r="P10" s="30">
        <v>0</v>
      </c>
      <c r="Q10" s="30">
        <f>H4</f>
        <v>216</v>
      </c>
      <c r="R10" s="30" t="s">
        <v>10</v>
      </c>
      <c r="S10" s="30">
        <v>0</v>
      </c>
      <c r="T10" s="30">
        <f>I4</f>
        <v>271.36</v>
      </c>
      <c r="U10" s="30" t="s">
        <v>10</v>
      </c>
      <c r="V10" s="30">
        <v>0</v>
      </c>
      <c r="W10" s="30">
        <f>J4</f>
        <v>250.82</v>
      </c>
      <c r="Y10" s="30">
        <v>90</v>
      </c>
      <c r="Z10" s="30">
        <v>237.85</v>
      </c>
      <c r="AA10" s="30">
        <v>164</v>
      </c>
      <c r="AB10" s="30">
        <v>245.56</v>
      </c>
      <c r="AC10" s="30">
        <v>229.93</v>
      </c>
      <c r="AE10" s="30" t="s">
        <v>10</v>
      </c>
      <c r="AF10" s="95">
        <v>0</v>
      </c>
      <c r="AG10" s="30">
        <f>Z4</f>
        <v>261.24</v>
      </c>
      <c r="AH10" s="30" t="s">
        <v>10</v>
      </c>
      <c r="AI10" s="95">
        <v>0</v>
      </c>
      <c r="AJ10" s="30">
        <f>AA4</f>
        <v>216</v>
      </c>
      <c r="AK10" s="30" t="s">
        <v>10</v>
      </c>
      <c r="AL10" s="95">
        <v>0</v>
      </c>
      <c r="AM10" s="30">
        <f>AB4</f>
        <v>271.36</v>
      </c>
      <c r="AN10" s="30" t="s">
        <v>10</v>
      </c>
      <c r="AO10" s="95">
        <v>0</v>
      </c>
      <c r="AP10" s="30">
        <f>AC4</f>
        <v>250.82</v>
      </c>
    </row>
    <row r="11" spans="1:42">
      <c r="A11" s="30" t="s">
        <v>23</v>
      </c>
      <c r="B11" s="93">
        <f>Plan1!B17</f>
        <v>86</v>
      </c>
      <c r="K11" s="13"/>
      <c r="L11" s="30" t="s">
        <v>10</v>
      </c>
      <c r="M11" s="30">
        <v>-5</v>
      </c>
      <c r="N11" s="30">
        <f>G9</f>
        <v>264.95</v>
      </c>
      <c r="O11" s="30" t="s">
        <v>10</v>
      </c>
      <c r="P11" s="30">
        <v>-5</v>
      </c>
      <c r="Q11" s="30">
        <f>H9</f>
        <v>227</v>
      </c>
      <c r="R11" s="30" t="s">
        <v>10</v>
      </c>
      <c r="S11" s="30">
        <v>-5</v>
      </c>
      <c r="T11" s="30">
        <f>I9</f>
        <v>275.64</v>
      </c>
      <c r="U11" s="30" t="s">
        <v>10</v>
      </c>
      <c r="V11" s="30">
        <v>-5</v>
      </c>
      <c r="W11" s="30">
        <f>J9</f>
        <v>253.94</v>
      </c>
      <c r="AE11" s="30" t="s">
        <v>10</v>
      </c>
      <c r="AF11" s="95">
        <v>5</v>
      </c>
      <c r="AG11" s="30">
        <f>Z9</f>
        <v>257.05</v>
      </c>
      <c r="AH11" s="30" t="s">
        <v>10</v>
      </c>
      <c r="AI11" s="95">
        <v>5</v>
      </c>
      <c r="AJ11" s="30">
        <f>AA9</f>
        <v>204</v>
      </c>
      <c r="AK11" s="30" t="s">
        <v>10</v>
      </c>
      <c r="AL11" s="95">
        <v>5</v>
      </c>
      <c r="AM11" s="30">
        <f>AB9</f>
        <v>266.55</v>
      </c>
      <c r="AN11" s="30" t="s">
        <v>10</v>
      </c>
      <c r="AO11" s="95">
        <v>5</v>
      </c>
      <c r="AP11" s="30">
        <f>AC9</f>
        <v>247.27</v>
      </c>
    </row>
    <row r="12" spans="1:42">
      <c r="A12" s="30" t="s">
        <v>24</v>
      </c>
      <c r="B12" s="93">
        <f>Plan1!B18</f>
        <v>49.06</v>
      </c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30" t="s">
        <v>10</v>
      </c>
      <c r="M12" s="30">
        <v>-10</v>
      </c>
      <c r="N12" s="30">
        <f>G14</f>
        <v>268.27999999999997</v>
      </c>
      <c r="O12" s="30" t="s">
        <v>10</v>
      </c>
      <c r="P12" s="30">
        <v>-10</v>
      </c>
      <c r="Q12" s="30">
        <f>H14</f>
        <v>238</v>
      </c>
      <c r="R12" s="30" t="s">
        <v>10</v>
      </c>
      <c r="S12" s="30">
        <v>-10</v>
      </c>
      <c r="T12" s="30">
        <f>I14</f>
        <v>279.52</v>
      </c>
      <c r="U12" s="30" t="s">
        <v>10</v>
      </c>
      <c r="V12" s="30">
        <v>-10</v>
      </c>
      <c r="W12" s="30">
        <f>J14</f>
        <v>256.72000000000003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30" t="s">
        <v>10</v>
      </c>
      <c r="AF12" s="95">
        <v>10</v>
      </c>
      <c r="AG12" s="30">
        <f>Z14</f>
        <v>252.25</v>
      </c>
      <c r="AH12" s="30" t="s">
        <v>10</v>
      </c>
      <c r="AI12" s="95">
        <v>10</v>
      </c>
      <c r="AJ12" s="30">
        <f>AA14</f>
        <v>191</v>
      </c>
      <c r="AK12" s="30" t="s">
        <v>10</v>
      </c>
      <c r="AL12" s="95">
        <v>10</v>
      </c>
      <c r="AM12" s="30">
        <f>AB14</f>
        <v>261.07</v>
      </c>
      <c r="AN12" s="30" t="s">
        <v>10</v>
      </c>
      <c r="AO12" s="95">
        <v>10</v>
      </c>
      <c r="AP12" s="30">
        <f>AC14</f>
        <v>243.15</v>
      </c>
    </row>
    <row r="13" spans="1:42">
      <c r="A13" s="30" t="s">
        <v>25</v>
      </c>
      <c r="B13" s="93">
        <f>COS(RADIANS(B12))</f>
        <v>0.65526833938609963</v>
      </c>
      <c r="F13" s="30">
        <v>100</v>
      </c>
      <c r="G13" s="30">
        <v>284.92</v>
      </c>
      <c r="H13" s="30">
        <v>284</v>
      </c>
      <c r="I13" s="30">
        <v>298.24</v>
      </c>
      <c r="J13" s="30">
        <v>271.14</v>
      </c>
      <c r="K13" s="17"/>
      <c r="L13" s="30" t="s">
        <v>10</v>
      </c>
      <c r="M13" s="30">
        <v>-15</v>
      </c>
      <c r="N13" s="30">
        <f>G19</f>
        <v>271.31</v>
      </c>
      <c r="O13" s="30" t="s">
        <v>10</v>
      </c>
      <c r="P13" s="30">
        <v>-15</v>
      </c>
      <c r="Q13" s="30">
        <f>H19</f>
        <v>248</v>
      </c>
      <c r="R13" s="30" t="s">
        <v>10</v>
      </c>
      <c r="S13" s="30">
        <v>-15</v>
      </c>
      <c r="T13" s="30">
        <f>I19</f>
        <v>283.06</v>
      </c>
      <c r="U13" s="30" t="s">
        <v>10</v>
      </c>
      <c r="V13" s="30">
        <v>-15</v>
      </c>
      <c r="W13" s="30">
        <f>J19</f>
        <v>259.22000000000003</v>
      </c>
      <c r="Y13" s="30">
        <v>100</v>
      </c>
      <c r="Z13" s="30">
        <v>272.39</v>
      </c>
      <c r="AA13" s="30">
        <v>240</v>
      </c>
      <c r="AB13" s="30">
        <v>283.44</v>
      </c>
      <c r="AC13" s="30">
        <v>260.95</v>
      </c>
      <c r="AE13" s="30" t="s">
        <v>10</v>
      </c>
      <c r="AF13" s="95">
        <v>15</v>
      </c>
      <c r="AG13" s="30">
        <f>Z19</f>
        <v>246.58</v>
      </c>
      <c r="AH13" s="30" t="s">
        <v>10</v>
      </c>
      <c r="AI13" s="95">
        <v>15</v>
      </c>
      <c r="AJ13" s="30">
        <f>AA19</f>
        <v>176</v>
      </c>
      <c r="AK13" s="30" t="s">
        <v>10</v>
      </c>
      <c r="AL13" s="95">
        <v>15</v>
      </c>
      <c r="AM13" s="30">
        <f>AB19</f>
        <v>254.65</v>
      </c>
      <c r="AN13" s="30" t="s">
        <v>10</v>
      </c>
      <c r="AO13" s="95">
        <v>15</v>
      </c>
      <c r="AP13" s="30">
        <f>AC19</f>
        <v>238.26</v>
      </c>
    </row>
    <row r="14" spans="1:42">
      <c r="A14" s="30" t="s">
        <v>26</v>
      </c>
      <c r="B14" s="109">
        <f>B5</f>
        <v>-1.8784359062401523</v>
      </c>
      <c r="D14"/>
      <c r="F14" s="30">
        <v>95</v>
      </c>
      <c r="G14" s="30">
        <v>268.27999999999997</v>
      </c>
      <c r="H14" s="30">
        <v>238</v>
      </c>
      <c r="I14" s="30">
        <v>279.52</v>
      </c>
      <c r="J14" s="30">
        <v>256.72000000000003</v>
      </c>
      <c r="K14" s="17"/>
      <c r="L14" s="30" t="s">
        <v>10</v>
      </c>
      <c r="M14" s="30">
        <v>-20</v>
      </c>
      <c r="N14" s="30">
        <f>G24</f>
        <v>274.08</v>
      </c>
      <c r="O14" s="30" t="s">
        <v>10</v>
      </c>
      <c r="P14" s="30">
        <v>-20</v>
      </c>
      <c r="Q14" s="30">
        <f>H24</f>
        <v>257</v>
      </c>
      <c r="R14" s="30" t="s">
        <v>10</v>
      </c>
      <c r="S14" s="30">
        <v>-20</v>
      </c>
      <c r="T14" s="30">
        <f>I24</f>
        <v>286.32</v>
      </c>
      <c r="U14" s="30" t="s">
        <v>10</v>
      </c>
      <c r="V14" s="30">
        <v>-20</v>
      </c>
      <c r="W14" s="30">
        <f>J24</f>
        <v>261.49</v>
      </c>
      <c r="Y14" s="30">
        <v>95</v>
      </c>
      <c r="Z14" s="30">
        <v>252.25</v>
      </c>
      <c r="AA14" s="30">
        <v>191</v>
      </c>
      <c r="AB14" s="30">
        <v>261.07</v>
      </c>
      <c r="AC14" s="30">
        <v>243.15</v>
      </c>
      <c r="AE14" s="30" t="s">
        <v>10</v>
      </c>
      <c r="AF14" s="95">
        <v>20</v>
      </c>
      <c r="AG14" s="30">
        <f>Z24</f>
        <v>239.63</v>
      </c>
      <c r="AH14" s="30" t="s">
        <v>10</v>
      </c>
      <c r="AI14" s="95">
        <v>20</v>
      </c>
      <c r="AJ14" s="30">
        <f>AA24</f>
        <v>160</v>
      </c>
      <c r="AK14" s="30" t="s">
        <v>10</v>
      </c>
      <c r="AL14" s="95">
        <v>20</v>
      </c>
      <c r="AM14" s="30">
        <f>AB24</f>
        <v>246.82</v>
      </c>
      <c r="AN14" s="30" t="s">
        <v>10</v>
      </c>
      <c r="AO14" s="95">
        <v>20</v>
      </c>
      <c r="AP14" s="30">
        <f>AC24</f>
        <v>232.19</v>
      </c>
    </row>
    <row r="15" spans="1:42">
      <c r="F15" s="30">
        <v>90</v>
      </c>
      <c r="G15" s="30">
        <v>251.75</v>
      </c>
      <c r="H15" s="30">
        <v>199</v>
      </c>
      <c r="I15" s="30">
        <v>261.27</v>
      </c>
      <c r="J15" s="30">
        <v>241.99</v>
      </c>
      <c r="K15" s="13"/>
      <c r="L15" s="30" t="s">
        <v>10</v>
      </c>
      <c r="M15" s="30">
        <v>-25</v>
      </c>
      <c r="N15" s="30">
        <f>G29</f>
        <v>276.63</v>
      </c>
      <c r="O15" s="30" t="s">
        <v>10</v>
      </c>
      <c r="P15" s="30">
        <v>-25</v>
      </c>
      <c r="Q15" s="30">
        <f>H29</f>
        <v>267</v>
      </c>
      <c r="R15" s="30" t="s">
        <v>10</v>
      </c>
      <c r="S15" s="30">
        <v>-25</v>
      </c>
      <c r="T15" s="30">
        <f>I29</f>
        <v>289.33</v>
      </c>
      <c r="U15" s="30" t="s">
        <v>10</v>
      </c>
      <c r="V15" s="30">
        <v>-25</v>
      </c>
      <c r="W15" s="30">
        <f>J29</f>
        <v>263.55</v>
      </c>
      <c r="Y15" s="30">
        <v>90</v>
      </c>
      <c r="Z15" s="30">
        <v>231.55</v>
      </c>
      <c r="AA15" s="30">
        <v>150</v>
      </c>
      <c r="AB15" s="30">
        <v>238.54</v>
      </c>
      <c r="AC15" s="30">
        <v>224.38</v>
      </c>
      <c r="AE15" s="30" t="s">
        <v>10</v>
      </c>
      <c r="AF15" s="95">
        <v>25</v>
      </c>
      <c r="AG15" s="30">
        <f>Z29</f>
        <v>230.43</v>
      </c>
      <c r="AH15" s="30" t="s">
        <v>10</v>
      </c>
      <c r="AI15" s="95">
        <v>25</v>
      </c>
      <c r="AJ15" s="30">
        <f>AA29</f>
        <v>141</v>
      </c>
      <c r="AK15" s="30" t="s">
        <v>10</v>
      </c>
      <c r="AL15" s="95">
        <v>25</v>
      </c>
      <c r="AM15" s="30">
        <f>AB29</f>
        <v>236.52</v>
      </c>
      <c r="AN15" s="30" t="s">
        <v>10</v>
      </c>
      <c r="AO15" s="95">
        <v>25</v>
      </c>
      <c r="AP15" s="30">
        <f>AC29</f>
        <v>224.1</v>
      </c>
    </row>
    <row r="16" spans="1:42">
      <c r="A16" s="30" t="s">
        <v>32</v>
      </c>
      <c r="B16" s="23">
        <f>B3*SIN(RADIANS(B4))</f>
        <v>0.95798784374570456</v>
      </c>
      <c r="K16" s="13"/>
      <c r="L16" s="30" t="s">
        <v>11</v>
      </c>
      <c r="M16" s="9">
        <f>$B$2</f>
        <v>6.0220000000000002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256.0321265532038</v>
      </c>
      <c r="O16" s="30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204.10860873124653</v>
      </c>
      <c r="R16" s="30" t="s">
        <v>11</v>
      </c>
      <c r="S16" s="9">
        <f>$B$2</f>
        <v>6.0220000000000002</v>
      </c>
      <c r="T16" s="30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265.6356355619136</v>
      </c>
      <c r="U16" s="30" t="s">
        <v>11</v>
      </c>
      <c r="V16" s="9">
        <f>$B$2</f>
        <v>6.0220000000000002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246.5419718201552</v>
      </c>
      <c r="AE16" s="30" t="s">
        <v>11</v>
      </c>
      <c r="AF16" s="9">
        <f>$B$2</f>
        <v>6.0220000000000002</v>
      </c>
      <c r="AG16" s="11">
        <f>AG10*(AF16-AF11)*(AF16-AF12)*(AF16-AF13)*(AF16-AF14)*(AF16-AF15)/((AF10-AF11)*(AF10-AF12)*(AF10-AF13)*(AF10-AF14)*(AF10-AF15))+AG11*(AF16-AF10)*(AF16-AF12)*(AF16-AF13)*(AF16-AF14)*(AF16-AF15)/((AF11-AF10)*(AF11-AF12)*(AF11-AF13)*(AF11-AF14)*(AF11-AF15))+AG12*(AF16-AF10)*(AF16-AF11)*(AF16-AF13)*(AF16-AF14)*(AF16-AF15)/((AF12-AF10)*(AF12-AF11)*(AF12-AF13)*(AF12-AF14)*(AF12-AF15))+AG13*(AF16-AF10)*(AF16-AF11)*(AF16-AF12)*(AF16-AF14)*(AF16-AF15)/((AF13-AF10)*(AF13-AF11)*(AF13-AF12)*(AF13-AF14)*(AF13-AF15))+AG14*(AF16-AF10)*(AF16-AF11)*(AF16-AF12)*(AF16-AF13)*(AF16-AF15)/((AF14-AF10)*(AF14-AF11)*(AF14-AF12)*(AF14-AF13)*(AF14-AF15))+AG15*(AF16-AF10)*(AF16-AF11)*(AF16-AF12)*(AF16-AF13)*(AF16-AF14)/((AF15-AF10)*(AF15-AF11)*(AF15-AF12)*(AF15-AF13)*(AF15-AF14))</f>
        <v>256.12812771552052</v>
      </c>
      <c r="AH16" s="30" t="s">
        <v>11</v>
      </c>
      <c r="AI16" s="9">
        <f>$B$2</f>
        <v>6.0220000000000002</v>
      </c>
      <c r="AJ16" s="11">
        <f>AJ10*(AI16-AI11)*(AI16-AI12)*(AI16-AI13)*(AI16-AI14)*(AI16-AI15)/((AI10-AI11)*(AI10-AI12)*(AI10-AI13)*(AI10-AI14)*(AI10-AI15))+AJ11*(AI16-AI10)*(AI16-AI12)*(AI16-AI13)*(AI16-AI14)*(AI16-AI15)/((AI11-AI10)*(AI11-AI12)*(AI11-AI13)*(AI11-AI14)*(AI11-AI15))+AJ12*(AI16-AI10)*(AI16-AI11)*(AI16-AI13)*(AI16-AI14)*(AI16-AI15)/((AI12-AI10)*(AI12-AI11)*(AI12-AI13)*(AI12-AI14)*(AI12-AI15))+AJ13*(AI16-AI10)*(AI16-AI11)*(AI16-AI12)*(AI16-AI14)*(AI16-AI15)/((AI13-AI10)*(AI13-AI11)*(AI13-AI12)*(AI13-AI14)*(AI13-AI15))+AJ14*(AI16-AI10)*(AI16-AI11)*(AI16-AI12)*(AI16-AI13)*(AI16-AI15)/((AI14-AI10)*(AI14-AI11)*(AI14-AI12)*(AI14-AI13)*(AI14-AI15))+AJ15*(AI16-AI10)*(AI16-AI11)*(AI16-AI12)*(AI16-AI13)*(AI16-AI14)/((AI15-AI10)*(AI15-AI11)*(AI15-AI12)*(AI15-AI13)*(AI15-AI14))</f>
        <v>201.52702657774219</v>
      </c>
      <c r="AK16" s="30" t="s">
        <v>11</v>
      </c>
      <c r="AL16" s="9">
        <f>$B$2</f>
        <v>6.0220000000000002</v>
      </c>
      <c r="AM16" s="30">
        <f>AM10*(AL16-AL11)*(AL16-AL12)*(AL16-AL13)*(AL16-AL14)*(AL16-AL15)/((AL10-AL11)*(AL10-AL12)*(AL10-AL13)*(AL10-AL14)*(AL10-AL15))+AM11*(AL16-AL10)*(AL16-AL12)*(AL16-AL13)*(AL16-AL14)*(AL16-AL15)/((AL11-AL10)*(AL11-AL12)*(AL11-AL13)*(AL11-AL14)*(AL11-AL15))+AM12*(AL16-AL10)*(AL16-AL11)*(AL16-AL13)*(AL16-AL14)*(AL16-AL15)/((AL12-AL10)*(AL12-AL11)*(AL12-AL13)*(AL12-AL14)*(AL12-AL15))+AM13*(AL16-AL10)*(AL16-AL11)*(AL16-AL12)*(AL16-AL14)*(AL16-AL15)/((AL13-AL10)*(AL13-AL11)*(AL13-AL12)*(AL13-AL14)*(AL13-AL15))+AM14*(AL16-AL10)*(AL16-AL11)*(AL16-AL12)*(AL16-AL13)*(AL16-AL15)/((AL14-AL10)*(AL14-AL11)*(AL14-AL12)*(AL14-AL13)*(AL14-AL15))+AM15*(AL16-AL10)*(AL16-AL11)*(AL16-AL12)*(AL16-AL13)*(AL16-AL14)/((AL15-AL10)*(AL15-AL11)*(AL15-AL12)*(AL15-AL13)*(AL15-AL14))</f>
        <v>265.49344422523643</v>
      </c>
      <c r="AN16" s="30" t="s">
        <v>11</v>
      </c>
      <c r="AO16" s="9">
        <f>$B$2</f>
        <v>6.0220000000000002</v>
      </c>
      <c r="AP16" s="11">
        <f>AP10*(AO16-AO11)*(AO16-AO12)*(AO16-AO13)*(AO16-AO14)*(AO16-AO15)/((AO10-AO11)*(AO10-AO12)*(AO10-AO13)*(AO10-AO14)*(AO10-AO15))+AP11*(AO16-AO10)*(AO16-AO12)*(AO16-AO13)*(AO16-AO14)*(AO16-AO15)/((AO11-AO10)*(AO11-AO12)*(AO11-AO13)*(AO11-AO14)*(AO11-AO15))+AP12*(AO16-AO10)*(AO16-AO11)*(AO16-AO13)*(AO16-AO14)*(AO16-AO15)/((AO12-AO10)*(AO12-AO11)*(AO12-AO13)*(AO12-AO14)*(AO12-AO15))+AP13*(AO16-AO10)*(AO16-AO11)*(AO16-AO12)*(AO16-AO14)*(AO16-AO15)/((AO13-AO10)*(AO13-AO11)*(AO13-AO12)*(AO13-AO14)*(AO13-AO15))+AP14*(AO16-AO10)*(AO16-AO11)*(AO16-AO12)*(AO16-AO13)*(AO16-AO15)/((AO14-AO10)*(AO14-AO11)*(AO14-AO12)*(AO14-AO13)*(AO14-AO15))+AP15*(AO16-AO10)*(AO16-AO11)*(AO16-AO12)*(AO16-AO13)*(AO16-AO14)/((AO15-AO10)*(AO15-AO11)*(AO15-AO12)*(AO15-AO13)*(AO15-AO14))</f>
        <v>246.47947278833237</v>
      </c>
    </row>
    <row r="17" spans="1:42">
      <c r="A17" s="30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F18" s="30">
        <v>100</v>
      </c>
      <c r="G18" s="30">
        <v>287.39</v>
      </c>
      <c r="H18" s="30">
        <v>294</v>
      </c>
      <c r="I18" s="30">
        <v>301.20999999999998</v>
      </c>
      <c r="J18" s="30">
        <v>274.08999999999997</v>
      </c>
      <c r="K18" s="13"/>
      <c r="L18" s="30" t="s">
        <v>10</v>
      </c>
      <c r="M18" s="30">
        <v>0</v>
      </c>
      <c r="N18" s="30">
        <f>G5</f>
        <v>243.14</v>
      </c>
      <c r="O18" s="30" t="s">
        <v>10</v>
      </c>
      <c r="P18" s="30">
        <v>0</v>
      </c>
      <c r="Q18" s="30">
        <f>H5</f>
        <v>177</v>
      </c>
      <c r="R18" s="30" t="s">
        <v>10</v>
      </c>
      <c r="S18" s="30">
        <v>0</v>
      </c>
      <c r="T18" s="30">
        <f>I5</f>
        <v>251.5</v>
      </c>
      <c r="U18" s="30" t="s">
        <v>10</v>
      </c>
      <c r="V18" s="30">
        <v>0</v>
      </c>
      <c r="W18" s="30">
        <f>J5</f>
        <v>234.56</v>
      </c>
      <c r="Y18" s="30">
        <v>100</v>
      </c>
      <c r="Z18" s="30">
        <v>268.27</v>
      </c>
      <c r="AA18" s="30">
        <v>227</v>
      </c>
      <c r="AB18" s="30">
        <v>278.64</v>
      </c>
      <c r="AC18" s="30">
        <v>257.52</v>
      </c>
      <c r="AE18" s="30" t="s">
        <v>10</v>
      </c>
      <c r="AF18" s="95">
        <v>0</v>
      </c>
      <c r="AG18" s="30">
        <f>Z5</f>
        <v>243.14</v>
      </c>
      <c r="AH18" s="30" t="s">
        <v>10</v>
      </c>
      <c r="AI18" s="95">
        <v>0</v>
      </c>
      <c r="AJ18" s="30">
        <f>AA5</f>
        <v>177</v>
      </c>
      <c r="AK18" s="30" t="s">
        <v>10</v>
      </c>
      <c r="AL18" s="95">
        <v>0</v>
      </c>
      <c r="AM18" s="30">
        <f>AB5</f>
        <v>251.5</v>
      </c>
      <c r="AN18" s="30" t="s">
        <v>10</v>
      </c>
      <c r="AO18" s="95">
        <v>0</v>
      </c>
      <c r="AP18" s="30">
        <f>AC5</f>
        <v>234.56</v>
      </c>
    </row>
    <row r="19" spans="1:42">
      <c r="A19" s="30" t="s">
        <v>31</v>
      </c>
      <c r="B19" s="30" t="s">
        <v>35</v>
      </c>
      <c r="F19" s="30">
        <v>95</v>
      </c>
      <c r="G19" s="30">
        <v>271.31</v>
      </c>
      <c r="H19" s="30">
        <v>248</v>
      </c>
      <c r="I19" s="30">
        <v>283.06</v>
      </c>
      <c r="J19" s="30">
        <v>259.22000000000003</v>
      </c>
      <c r="K19" s="13"/>
      <c r="L19" s="30" t="s">
        <v>10</v>
      </c>
      <c r="M19" s="30">
        <v>-5</v>
      </c>
      <c r="N19" s="30">
        <f>G10</f>
        <v>247.71</v>
      </c>
      <c r="O19" s="30" t="s">
        <v>10</v>
      </c>
      <c r="P19" s="30">
        <v>-5</v>
      </c>
      <c r="Q19" s="30">
        <f>H10</f>
        <v>188</v>
      </c>
      <c r="R19" s="30" t="s">
        <v>10</v>
      </c>
      <c r="S19" s="30">
        <v>-5</v>
      </c>
      <c r="T19" s="30">
        <f>I10</f>
        <v>256.68</v>
      </c>
      <c r="U19" s="30" t="s">
        <v>10</v>
      </c>
      <c r="V19" s="30">
        <v>-5</v>
      </c>
      <c r="W19" s="30">
        <f>J10</f>
        <v>238.53</v>
      </c>
      <c r="Y19" s="30">
        <v>95</v>
      </c>
      <c r="Z19" s="30">
        <v>246.58</v>
      </c>
      <c r="AA19" s="30">
        <v>176</v>
      </c>
      <c r="AB19" s="30">
        <v>254.65</v>
      </c>
      <c r="AC19" s="30">
        <v>238.26</v>
      </c>
      <c r="AE19" s="30" t="s">
        <v>10</v>
      </c>
      <c r="AF19" s="95">
        <v>5</v>
      </c>
      <c r="AG19" s="30">
        <f>Z10</f>
        <v>237.85</v>
      </c>
      <c r="AH19" s="30" t="s">
        <v>10</v>
      </c>
      <c r="AI19" s="95">
        <v>5</v>
      </c>
      <c r="AJ19" s="30">
        <f>AA10</f>
        <v>164</v>
      </c>
      <c r="AK19" s="30" t="s">
        <v>10</v>
      </c>
      <c r="AL19" s="95">
        <v>5</v>
      </c>
      <c r="AM19" s="30">
        <f>AB10</f>
        <v>245.56</v>
      </c>
      <c r="AN19" s="30" t="s">
        <v>10</v>
      </c>
      <c r="AO19" s="95">
        <v>5</v>
      </c>
      <c r="AP19" s="30">
        <f>AC10</f>
        <v>229.93</v>
      </c>
    </row>
    <row r="20" spans="1:42">
      <c r="A20" s="22">
        <f>(S27*(D2-R28)*(D2-R29)/((R27-R28)*(R27-R29))+S28*(D2-R27)*(D2-R29)/((R28-R27)*(R28-R29))+S29*(D2-R27)*(D2-R28)/((R29-R27)*(R29-R28)))</f>
        <v>180.71038389986691</v>
      </c>
      <c r="B20" s="23">
        <f>(B16*A20+(A21*B14))/(D2*(44/17.5))</f>
        <v>-0.2682824773392764</v>
      </c>
      <c r="D20"/>
      <c r="F20" s="30">
        <v>90</v>
      </c>
      <c r="G20" s="30">
        <v>255.36</v>
      </c>
      <c r="H20" s="30">
        <v>209</v>
      </c>
      <c r="I20" s="30">
        <v>265.41000000000003</v>
      </c>
      <c r="J20" s="30">
        <v>245.07</v>
      </c>
      <c r="K20" s="16"/>
      <c r="L20" s="30" t="s">
        <v>10</v>
      </c>
      <c r="M20" s="30">
        <v>-10</v>
      </c>
      <c r="N20" s="30">
        <f>G15</f>
        <v>251.75</v>
      </c>
      <c r="O20" s="30" t="s">
        <v>10</v>
      </c>
      <c r="P20" s="30">
        <v>-10</v>
      </c>
      <c r="Q20" s="30">
        <f>H15</f>
        <v>199</v>
      </c>
      <c r="R20" s="30" t="s">
        <v>10</v>
      </c>
      <c r="S20" s="30">
        <v>-10</v>
      </c>
      <c r="T20" s="30">
        <f>I15</f>
        <v>261.27</v>
      </c>
      <c r="U20" s="30" t="s">
        <v>10</v>
      </c>
      <c r="V20" s="30">
        <v>-10</v>
      </c>
      <c r="W20" s="30">
        <f>J15</f>
        <v>241.99</v>
      </c>
      <c r="Y20" s="30">
        <v>90</v>
      </c>
      <c r="Z20" s="30">
        <v>223.71</v>
      </c>
      <c r="AA20" s="30">
        <v>134</v>
      </c>
      <c r="AB20" s="30">
        <v>229.84</v>
      </c>
      <c r="AC20" s="30">
        <v>217.4</v>
      </c>
      <c r="AE20" s="30" t="s">
        <v>10</v>
      </c>
      <c r="AF20" s="95">
        <v>10</v>
      </c>
      <c r="AG20" s="30">
        <f>Z15</f>
        <v>231.55</v>
      </c>
      <c r="AH20" s="30" t="s">
        <v>10</v>
      </c>
      <c r="AI20" s="95">
        <v>10</v>
      </c>
      <c r="AJ20" s="30">
        <f>AA15</f>
        <v>150</v>
      </c>
      <c r="AK20" s="30" t="s">
        <v>10</v>
      </c>
      <c r="AL20" s="95">
        <v>10</v>
      </c>
      <c r="AM20" s="30">
        <f>AB15</f>
        <v>238.54</v>
      </c>
      <c r="AN20" s="30" t="s">
        <v>10</v>
      </c>
      <c r="AO20" s="95">
        <v>10</v>
      </c>
      <c r="AP20" s="30">
        <f>AC15</f>
        <v>224.38</v>
      </c>
    </row>
    <row r="21" spans="1:42">
      <c r="A21" s="22">
        <f>A20*1</f>
        <v>180.71038389986691</v>
      </c>
      <c r="D21"/>
      <c r="K21" s="16"/>
      <c r="L21" s="30" t="s">
        <v>10</v>
      </c>
      <c r="M21" s="30">
        <v>-15</v>
      </c>
      <c r="N21" s="30">
        <f>G20</f>
        <v>255.36</v>
      </c>
      <c r="O21" s="30" t="s">
        <v>10</v>
      </c>
      <c r="P21" s="30">
        <v>-15</v>
      </c>
      <c r="Q21" s="30">
        <f>H20</f>
        <v>209</v>
      </c>
      <c r="R21" s="30" t="s">
        <v>10</v>
      </c>
      <c r="S21" s="30">
        <v>-15</v>
      </c>
      <c r="T21" s="30">
        <f>I20</f>
        <v>265.41000000000003</v>
      </c>
      <c r="U21" s="30" t="s">
        <v>10</v>
      </c>
      <c r="V21" s="30">
        <v>-15</v>
      </c>
      <c r="W21" s="30">
        <f>J20</f>
        <v>245.07</v>
      </c>
      <c r="AE21" s="30" t="s">
        <v>10</v>
      </c>
      <c r="AF21" s="95">
        <v>15</v>
      </c>
      <c r="AG21" s="30">
        <f>Z20</f>
        <v>223.71</v>
      </c>
      <c r="AH21" s="30" t="s">
        <v>10</v>
      </c>
      <c r="AI21" s="95">
        <v>15</v>
      </c>
      <c r="AJ21" s="30">
        <f>AA20</f>
        <v>134</v>
      </c>
      <c r="AK21" s="30" t="s">
        <v>10</v>
      </c>
      <c r="AL21" s="95">
        <v>15</v>
      </c>
      <c r="AM21" s="30">
        <f>AB20</f>
        <v>229.84</v>
      </c>
      <c r="AN21" s="30" t="s">
        <v>10</v>
      </c>
      <c r="AO21" s="95">
        <v>15</v>
      </c>
      <c r="AP21" s="30">
        <f>AC20</f>
        <v>217.4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30" t="s">
        <v>10</v>
      </c>
      <c r="M22" s="30">
        <v>-20</v>
      </c>
      <c r="N22" s="30">
        <f>G25</f>
        <v>258.63</v>
      </c>
      <c r="O22" s="30" t="s">
        <v>10</v>
      </c>
      <c r="P22" s="30">
        <v>-20</v>
      </c>
      <c r="Q22" s="30">
        <f>H25</f>
        <v>219</v>
      </c>
      <c r="R22" s="30" t="s">
        <v>10</v>
      </c>
      <c r="S22" s="30">
        <v>-20</v>
      </c>
      <c r="T22" s="30">
        <f>I25</f>
        <v>269.17</v>
      </c>
      <c r="U22" s="30" t="s">
        <v>10</v>
      </c>
      <c r="V22" s="30">
        <v>-20</v>
      </c>
      <c r="W22" s="30">
        <f>J25</f>
        <v>247.83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30" t="s">
        <v>10</v>
      </c>
      <c r="AF22" s="95">
        <v>20</v>
      </c>
      <c r="AG22" s="30">
        <f>Z25</f>
        <v>213</v>
      </c>
      <c r="AH22" s="30" t="s">
        <v>10</v>
      </c>
      <c r="AI22" s="95">
        <v>20</v>
      </c>
      <c r="AJ22" s="30">
        <f>AA25</f>
        <v>114</v>
      </c>
      <c r="AK22" s="30" t="s">
        <v>10</v>
      </c>
      <c r="AL22" s="95">
        <v>20</v>
      </c>
      <c r="AM22" s="30">
        <f>AB25</f>
        <v>218.05</v>
      </c>
      <c r="AN22" s="30" t="s">
        <v>10</v>
      </c>
      <c r="AO22" s="95">
        <v>20</v>
      </c>
      <c r="AP22" s="30">
        <f>AC25</f>
        <v>207.79</v>
      </c>
    </row>
    <row r="23" spans="1:42">
      <c r="A23" s="30" t="s">
        <v>36</v>
      </c>
      <c r="B23" s="23">
        <f>B3*SIN(RADIANS(B4+B20*0.707))</f>
        <v>0.95893206334237235</v>
      </c>
      <c r="D23"/>
      <c r="F23" s="30">
        <v>100</v>
      </c>
      <c r="G23" s="30">
        <v>289.68</v>
      </c>
      <c r="H23" s="30">
        <v>304</v>
      </c>
      <c r="I23" s="30">
        <v>303.98</v>
      </c>
      <c r="J23" s="30">
        <v>274.89</v>
      </c>
      <c r="L23" s="30" t="s">
        <v>10</v>
      </c>
      <c r="M23" s="30">
        <v>-25</v>
      </c>
      <c r="N23" s="30">
        <f>G30</f>
        <v>261.61</v>
      </c>
      <c r="O23" s="30" t="s">
        <v>10</v>
      </c>
      <c r="P23" s="30">
        <v>-25</v>
      </c>
      <c r="Q23" s="30">
        <f>H30</f>
        <v>229</v>
      </c>
      <c r="R23" s="30" t="s">
        <v>10</v>
      </c>
      <c r="S23" s="30">
        <v>-25</v>
      </c>
      <c r="T23" s="30">
        <f>I30</f>
        <v>272.63</v>
      </c>
      <c r="U23" s="30" t="s">
        <v>10</v>
      </c>
      <c r="V23" s="30">
        <v>-25</v>
      </c>
      <c r="W23" s="30">
        <f>J30</f>
        <v>250.31</v>
      </c>
      <c r="Y23" s="30">
        <v>100</v>
      </c>
      <c r="Z23" s="30">
        <v>263.51</v>
      </c>
      <c r="AA23" s="30">
        <v>213</v>
      </c>
      <c r="AB23" s="30">
        <v>273.12</v>
      </c>
      <c r="AC23" s="30">
        <v>253.52</v>
      </c>
      <c r="AE23" s="30" t="s">
        <v>10</v>
      </c>
      <c r="AF23" s="95">
        <v>25</v>
      </c>
      <c r="AG23" s="30">
        <f>Z30</f>
        <v>193.82</v>
      </c>
      <c r="AH23" s="30" t="s">
        <v>10</v>
      </c>
      <c r="AI23" s="95">
        <v>25</v>
      </c>
      <c r="AJ23" s="30">
        <f>AA30</f>
        <v>86</v>
      </c>
      <c r="AK23" s="30" t="s">
        <v>10</v>
      </c>
      <c r="AL23" s="95">
        <v>25</v>
      </c>
      <c r="AM23" s="30">
        <f>AB30</f>
        <v>196.84</v>
      </c>
      <c r="AN23" s="30" t="s">
        <v>10</v>
      </c>
      <c r="AO23" s="95">
        <v>25</v>
      </c>
      <c r="AP23" s="30">
        <f>AC30</f>
        <v>190.57</v>
      </c>
    </row>
    <row r="24" spans="1:42">
      <c r="A24" s="30" t="s">
        <v>37</v>
      </c>
      <c r="B24" s="23">
        <f>B3*COS(RADIANS(B4+B20*0.5))</f>
        <v>-0.28456517492412586</v>
      </c>
      <c r="D24"/>
      <c r="F24" s="30">
        <v>95</v>
      </c>
      <c r="G24" s="30">
        <v>274.08</v>
      </c>
      <c r="H24" s="30">
        <v>257</v>
      </c>
      <c r="I24" s="30">
        <v>286.32</v>
      </c>
      <c r="J24" s="30">
        <v>261.49</v>
      </c>
      <c r="L24" s="30" t="s">
        <v>11</v>
      </c>
      <c r="M24" s="9">
        <f>$B$2</f>
        <v>6.0220000000000002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236.82216453939003</v>
      </c>
      <c r="O24" s="30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172.80428024012139</v>
      </c>
      <c r="R24" s="30" t="s">
        <v>11</v>
      </c>
      <c r="S24" s="9">
        <f>$B$2</f>
        <v>6.0220000000000002</v>
      </c>
      <c r="T24" s="30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244.05104499659785</v>
      </c>
      <c r="U24" s="30" t="s">
        <v>11</v>
      </c>
      <c r="V24" s="9">
        <f>$B$2</f>
        <v>6.0220000000000002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228.73528712329494</v>
      </c>
      <c r="Y24" s="30">
        <v>95</v>
      </c>
      <c r="Z24" s="30">
        <v>239.63</v>
      </c>
      <c r="AA24" s="30">
        <v>160</v>
      </c>
      <c r="AB24" s="30">
        <v>246.82</v>
      </c>
      <c r="AC24" s="30">
        <v>232.19</v>
      </c>
      <c r="AE24" s="30" t="s">
        <v>11</v>
      </c>
      <c r="AF24" s="9">
        <f>$B$2</f>
        <v>6.0220000000000002</v>
      </c>
      <c r="AG24" s="11">
        <f>AG18*(AF24-AF19)*(AF24-AF20)*(AF24-AF21)*(AF24-AF22)*(AF24-AF23)/((AF18-AF19)*(AF18-AF20)*(AF18-AF21)*(AF18-AF22)*(AF18-AF23))+AG19*(AF24-AF18)*(AF24-AF20)*(AF24-AF21)*(AF24-AF22)*(AF24-AF23)/((AF19-AF18)*(AF19-AF20)*(AF19-AF21)*(AF19-AF22)*(AF19-AF23))+AG20*(AF24-AF18)*(AF24-AF19)*(AF24-AF21)*(AF24-AF22)*(AF24-AF23)/((AF20-AF18)*(AF20-AF19)*(AF20-AF21)*(AF20-AF22)*(AF20-AF23))+AG21*(AF24-AF18)*(AF24-AF19)*(AF24-AF20)*(AF24-AF22)*(AF24-AF23)/((AF21-AF18)*(AF21-AF19)*(AF21-AF20)*(AF21-AF22)*(AF21-AF23))+AG22*(AF24-AF18)*(AF24-AF19)*(AF24-AF20)*(AF24-AF21)*(AF24-AF23)/((AF22-AF18)*(AF22-AF19)*(AF22-AF20)*(AF22-AF21)*(AF22-AF23))+AG23*(AF24-AF18)*(AF24-AF19)*(AF24-AF20)*(AF24-AF21)*(AF24-AF22)/((AF23-AF18)*(AF23-AF19)*(AF23-AF20)*(AF23-AF21)*(AF23-AF22))</f>
        <v>236.67841168229759</v>
      </c>
      <c r="AH24" s="30" t="s">
        <v>11</v>
      </c>
      <c r="AI24" s="9">
        <f>$B$2</f>
        <v>6.0220000000000002</v>
      </c>
      <c r="AJ24" s="11">
        <f>AJ18*(AI24-AI19)*(AI24-AI20)*(AI24-AI21)*(AI24-AI22)*(AI24-AI23)/((AI18-AI19)*(AI18-AI20)*(AI18-AI21)*(AI18-AI22)*(AI18-AI23))+AJ19*(AI24-AI18)*(AI24-AI20)*(AI24-AI21)*(AI24-AI22)*(AI24-AI23)/((AI19-AI18)*(AI19-AI20)*(AI19-AI21)*(AI19-AI22)*(AI19-AI23))+AJ20*(AI24-AI18)*(AI24-AI19)*(AI24-AI21)*(AI24-AI22)*(AI24-AI23)/((AI20-AI18)*(AI20-AI19)*(AI20-AI21)*(AI20-AI22)*(AI20-AI23))+AJ21*(AI24-AI18)*(AI24-AI19)*(AI24-AI20)*(AI24-AI22)*(AI24-AI23)/((AI21-AI18)*(AI21-AI19)*(AI21-AI20)*(AI21-AI22)*(AI21-AI23))+AJ22*(AI24-AI18)*(AI24-AI19)*(AI24-AI20)*(AI24-AI21)*(AI24-AI23)/((AI22-AI18)*(AI22-AI19)*(AI22-AI20)*(AI22-AI21)*(AI22-AI23))+AJ23*(AI24-AI18)*(AI24-AI19)*(AI24-AI20)*(AI24-AI21)*(AI24-AI22)/((AI23-AI18)*(AI23-AI19)*(AI23-AI20)*(AI23-AI21)*(AI23-AI22))</f>
        <v>161.24589321749158</v>
      </c>
      <c r="AK24" s="30" t="s">
        <v>11</v>
      </c>
      <c r="AL24" s="9">
        <f>$B$2</f>
        <v>6.0220000000000002</v>
      </c>
      <c r="AM24" s="30">
        <f>AM18*(AL24-AL19)*(AL24-AL20)*(AL24-AL21)*(AL24-AL22)*(AL24-AL23)/((AL18-AL19)*(AL18-AL20)*(AL18-AL21)*(AL18-AL22)*(AL18-AL23))+AM19*(AL24-AL18)*(AL24-AL20)*(AL24-AL21)*(AL24-AL22)*(AL24-AL23)/((AL19-AL18)*(AL19-AL20)*(AL19-AL21)*(AL19-AL22)*(AL19-AL23))+AM20*(AL24-AL18)*(AL24-AL19)*(AL24-AL21)*(AL24-AL22)*(AL24-AL23)/((AL20-AL18)*(AL20-AL19)*(AL20-AL21)*(AL20-AL22)*(AL20-AL23))+AM21*(AL24-AL18)*(AL24-AL19)*(AL24-AL20)*(AL24-AL22)*(AL24-AL23)/((AL21-AL18)*(AL21-AL19)*(AL21-AL20)*(AL21-AL22)*(AL21-AL23))+AM22*(AL24-AL18)*(AL24-AL19)*(AL24-AL20)*(AL24-AL21)*(AL24-AL23)/((AL22-AL18)*(AL22-AL19)*(AL22-AL20)*(AL22-AL21)*(AL22-AL23))+AM23*(AL24-AL18)*(AL24-AL19)*(AL24-AL20)*(AL24-AL21)*(AL24-AL22)/((AL23-AL18)*(AL23-AL19)*(AL23-AL20)*(AL23-AL21)*(AL23-AL22))</f>
        <v>244.25431750795926</v>
      </c>
      <c r="AN24" s="30" t="s">
        <v>11</v>
      </c>
      <c r="AO24" s="9">
        <f>$B$2</f>
        <v>6.0220000000000002</v>
      </c>
      <c r="AP24" s="11">
        <f>AP18*(AO24-AO19)*(AO24-AO20)*(AO24-AO21)*(AO24-AO22)*(AO24-AO23)/((AO18-AO19)*(AO18-AO20)*(AO18-AO21)*(AO18-AO22)*(AO18-AO23))+AP19*(AO24-AO18)*(AO24-AO20)*(AO24-AO21)*(AO24-AO22)*(AO24-AO23)/((AO19-AO18)*(AO19-AO20)*(AO19-AO21)*(AO19-AO22)*(AO19-AO23))+AP20*(AO24-AO18)*(AO24-AO19)*(AO24-AO21)*(AO24-AO22)*(AO24-AO23)/((AO20-AO18)*(AO20-AO19)*(AO20-AO21)*(AO20-AO22)*(AO20-AO23))+AP21*(AO24-AO18)*(AO24-AO19)*(AO24-AO20)*(AO24-AO22)*(AO24-AO23)/((AO21-AO18)*(AO21-AO19)*(AO21-AO20)*(AO21-AO22)*(AO21-AO23))+AP22*(AO24-AO18)*(AO24-AO19)*(AO24-AO20)*(AO24-AO21)*(AO24-AO23)/((AO22-AO18)*(AO22-AO19)*(AO22-AO20)*(AO22-AO21)*(AO22-AO23))+AP23*(AO24-AO18)*(AO24-AO19)*(AO24-AO20)*(AO24-AO21)*(AO24-AO22)/((AO23-AO18)*(AO23-AO19)*(AO23-AO20)*(AO23-AO21)*(AO23-AO22))</f>
        <v>228.90223939441353</v>
      </c>
    </row>
    <row r="25" spans="1:42">
      <c r="D25"/>
      <c r="E25" s="12"/>
      <c r="F25" s="30">
        <v>90</v>
      </c>
      <c r="G25" s="30">
        <v>258.63</v>
      </c>
      <c r="H25" s="30">
        <v>219</v>
      </c>
      <c r="I25" s="30">
        <v>269.17</v>
      </c>
      <c r="J25" s="30">
        <v>247.83</v>
      </c>
      <c r="Y25" s="30">
        <v>90</v>
      </c>
      <c r="Z25" s="30">
        <v>213</v>
      </c>
      <c r="AA25" s="30">
        <v>114</v>
      </c>
      <c r="AB25" s="30">
        <v>218.05</v>
      </c>
      <c r="AC25" s="30">
        <v>207.79</v>
      </c>
    </row>
    <row r="26" spans="1:42">
      <c r="A26" s="240" t="s">
        <v>39</v>
      </c>
      <c r="B26" s="241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30">
        <f>N31*(D4-M32)*(D4-M33)/((M31-M32)*(M31-M33))+N32*(D4-M31)*(D4-M33)/((M32-M31)*(M32-M33))+N33*(D4-M31)*(D4-M32)/((M33-M31)*(M33-M32))</f>
        <v>256.96903989792412</v>
      </c>
      <c r="B27" s="30">
        <f>O31*(D4-M32)*(D4-M33)/((M31-M32)*(M31-M33))+O32*(D4-M31)*(D4-M33)/((M32-M31)*(M32-M33))+O33*(D4-M31)*(D4-M32)/((M33-M31)*(M33-M32))</f>
        <v>257.25665377469505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30">
        <v>100</v>
      </c>
      <c r="M27" s="30">
        <f>G3</f>
        <v>279.29000000000002</v>
      </c>
      <c r="N27" s="30">
        <f>M27+0.58</f>
        <v>279.87</v>
      </c>
      <c r="O27" s="30">
        <v>278.52999999999997</v>
      </c>
      <c r="Q27" s="10">
        <v>100</v>
      </c>
      <c r="R27" s="30">
        <f>IF($B$2&gt;0,AG8,N8)</f>
        <v>275.31984056206534</v>
      </c>
      <c r="S27" s="30">
        <f>IF($B$2&gt;0,AJ8,Q8)</f>
        <v>249.61088325591646</v>
      </c>
      <c r="T27" s="30">
        <f>IF($B$2&gt;0,AM8,T8)</f>
        <v>286.86685397994717</v>
      </c>
      <c r="U27" s="22">
        <f>IF($B$2&gt;0,AP8,W8)</f>
        <v>263.35979341835571</v>
      </c>
      <c r="V27" s="1"/>
      <c r="W27" s="1"/>
      <c r="X27" s="1"/>
      <c r="Y27" s="15">
        <v>25</v>
      </c>
      <c r="Z27" s="7" t="s">
        <v>6</v>
      </c>
      <c r="AA27" s="7" t="s">
        <v>7</v>
      </c>
      <c r="AB27" s="7" t="s">
        <v>8</v>
      </c>
      <c r="AC27" s="7" t="s">
        <v>9</v>
      </c>
    </row>
    <row r="28" spans="1:42">
      <c r="D28"/>
      <c r="E28" s="12">
        <f>302*F28/100</f>
        <v>302</v>
      </c>
      <c r="F28" s="30">
        <v>100</v>
      </c>
      <c r="G28" s="30">
        <v>291.8</v>
      </c>
      <c r="H28" s="30">
        <v>312</v>
      </c>
      <c r="I28" s="30">
        <v>306.54000000000002</v>
      </c>
      <c r="J28" s="30">
        <v>276.54000000000002</v>
      </c>
      <c r="L28" s="10">
        <v>95</v>
      </c>
      <c r="M28" s="30">
        <f>G4</f>
        <v>261.24</v>
      </c>
      <c r="N28" s="30">
        <f>M28+0.39</f>
        <v>261.63</v>
      </c>
      <c r="O28" s="30">
        <v>260.51</v>
      </c>
      <c r="Q28" s="10">
        <v>95</v>
      </c>
      <c r="R28" s="30">
        <f>IF($B$2&gt;0,AG16,N16)</f>
        <v>256.12812771552052</v>
      </c>
      <c r="S28" s="30">
        <f>IF($B$2&gt;0,AJ16,Q16)</f>
        <v>201.52702657774219</v>
      </c>
      <c r="T28" s="30">
        <f>IF($B$2&gt;0,AM16,T16)</f>
        <v>265.49344422523643</v>
      </c>
      <c r="U28" s="22">
        <f>IF($B$2&gt;0,AP16,W16)</f>
        <v>246.47947278833237</v>
      </c>
      <c r="Y28" s="30">
        <v>100</v>
      </c>
      <c r="Z28" s="30">
        <v>257.82</v>
      </c>
      <c r="AA28" s="30">
        <v>197</v>
      </c>
      <c r="AB28" s="30">
        <v>266.58999999999997</v>
      </c>
      <c r="AC28" s="30">
        <v>248.7</v>
      </c>
    </row>
    <row r="29" spans="1:42">
      <c r="A29" s="30" t="s">
        <v>41</v>
      </c>
      <c r="B29" s="30" t="s">
        <v>42</v>
      </c>
      <c r="D29"/>
      <c r="E29" s="12">
        <f t="shared" ref="E29:E30" si="5">302*F29/100</f>
        <v>286.89999999999998</v>
      </c>
      <c r="F29" s="30">
        <v>95</v>
      </c>
      <c r="G29" s="30">
        <v>276.63</v>
      </c>
      <c r="H29" s="30">
        <v>267</v>
      </c>
      <c r="I29" s="30">
        <v>289.33</v>
      </c>
      <c r="J29" s="30">
        <v>263.55</v>
      </c>
      <c r="L29" s="10">
        <v>90</v>
      </c>
      <c r="M29" s="30">
        <f>G5</f>
        <v>243.14</v>
      </c>
      <c r="N29" s="30">
        <f>M29+0.63</f>
        <v>243.76999999999998</v>
      </c>
      <c r="O29" s="30">
        <v>242.51</v>
      </c>
      <c r="Q29" s="10">
        <v>90</v>
      </c>
      <c r="R29" s="30">
        <f>IF($B$2&gt;0,AG24,N24)</f>
        <v>236.67841168229759</v>
      </c>
      <c r="S29" s="30">
        <f>IF($B$2&gt;0,AJ24,Q24)</f>
        <v>161.24589321749158</v>
      </c>
      <c r="T29" s="30">
        <f>IF($B$2&gt;0,AM24,T24)</f>
        <v>244.25431750795926</v>
      </c>
      <c r="U29" s="22">
        <f>IF($B$2&gt;0,AP24,W24)</f>
        <v>228.90223939441353</v>
      </c>
      <c r="X29">
        <v>140</v>
      </c>
      <c r="Y29" s="30">
        <v>95</v>
      </c>
      <c r="Z29" s="30">
        <v>230.43</v>
      </c>
      <c r="AA29" s="30">
        <v>141</v>
      </c>
      <c r="AB29" s="30">
        <v>236.52</v>
      </c>
      <c r="AC29" s="30">
        <v>224.1</v>
      </c>
    </row>
    <row r="30" spans="1:42">
      <c r="A30" s="11">
        <f>(L36*(D4-M37)*(D4-M38)/((M36-M37)*(M36-M38))+L37*(D4-M36)*(D4-M38)/((M37-M36)*(M37-M38))+L38*(D4-M36)*(D4-M37)/((M38-M36)*(M38-M37)))-A34</f>
        <v>95.157818319024116</v>
      </c>
      <c r="B30" s="24">
        <f>(S27*(A30-Q28)*(A30-Q29)/((Q27-Q28)*(Q27-Q29))+S28*(A30-Q27)*(A30-Q29)/((Q28-Q27)*(Q28-Q29))+S29*(A30-Q27)*(A30-Q28)/((Q29-Q27)*(Q29-Q28)))*(B23+(B14*(A21/A20))*(A30/100))</f>
        <v>-168.13320479223768</v>
      </c>
      <c r="D30"/>
      <c r="E30" s="12">
        <f t="shared" si="5"/>
        <v>271.8</v>
      </c>
      <c r="F30" s="30">
        <v>90</v>
      </c>
      <c r="G30" s="30">
        <v>261.61</v>
      </c>
      <c r="H30" s="30">
        <v>229</v>
      </c>
      <c r="I30" s="30">
        <v>272.63</v>
      </c>
      <c r="J30" s="30">
        <v>250.31</v>
      </c>
      <c r="N30" s="1" t="s">
        <v>38</v>
      </c>
      <c r="X30">
        <v>85</v>
      </c>
      <c r="Y30" s="30">
        <v>90</v>
      </c>
      <c r="Z30" s="30">
        <v>193.82</v>
      </c>
      <c r="AA30" s="30">
        <v>86</v>
      </c>
      <c r="AB30" s="30">
        <v>196.84</v>
      </c>
      <c r="AC30" s="30">
        <v>190.57</v>
      </c>
    </row>
    <row r="31" spans="1:42">
      <c r="A31" s="30" t="s">
        <v>44</v>
      </c>
      <c r="B31" s="30" t="s">
        <v>43</v>
      </c>
      <c r="D31">
        <v>226.37</v>
      </c>
      <c r="E31">
        <f>D32-D31</f>
        <v>0.62999999999999545</v>
      </c>
      <c r="L31" s="30">
        <v>100</v>
      </c>
      <c r="M31" s="30">
        <f>M27</f>
        <v>279.29000000000002</v>
      </c>
      <c r="N31" s="11">
        <f>M27*((L27-(100/360))-L28)*((L27-(100/360))-L29)/((L27-L28)*(L27-L29))+M28*((L27-(100/360))-L27)*((L27-(100/360))-L29)/((L28-L27)*(L28-L29))+M29*((L27-(100/360))-L27)*((L27-(100/360))-L28)/((L29-L27)*(L29-L28))</f>
        <v>278.28853395061736</v>
      </c>
      <c r="O31" s="30">
        <f>O27</f>
        <v>278.52999999999997</v>
      </c>
    </row>
    <row r="32" spans="1:42">
      <c r="A32" s="25">
        <f>(360-ROUNDDOWN((1-(A30/100))*360,0))*302/360</f>
        <v>287.73888888888888</v>
      </c>
      <c r="B32" s="11">
        <f>MOD((A30/100)*-360,1)*-((D4-A27)/(D4-B27))+30</f>
        <v>29.394945957526545</v>
      </c>
      <c r="D32">
        <v>227</v>
      </c>
      <c r="L32" s="10">
        <v>95</v>
      </c>
      <c r="M32" s="30">
        <f>M28</f>
        <v>261.24</v>
      </c>
      <c r="N32" s="11">
        <f>M27*((L28-(100/360))-L28)*((L28-(100/360))-L29)/((L27-L28)*(L27-L29))+M28*((L28-(100/360))-L27)*((L28-(100/360))-L29)/((L28-L27)*(L28-L29))+M29*((L28-(100/360))-L27)*((L28-(100/360))-L28)/((L29-L27)*(L29-L28))</f>
        <v>260.23575617283956</v>
      </c>
      <c r="O32" s="99">
        <f t="shared" ref="O32:O33" si="6">O28</f>
        <v>260.51</v>
      </c>
      <c r="R32" s="14"/>
    </row>
    <row r="33" spans="1:22">
      <c r="A33" s="219" t="s">
        <v>240</v>
      </c>
      <c r="D33"/>
      <c r="L33" s="10">
        <v>90</v>
      </c>
      <c r="M33" s="30">
        <f>M29</f>
        <v>243.14</v>
      </c>
      <c r="N33" s="11">
        <f>M27*((L29-(100/360))-L28)*((L29-(100/360))-L29)/((L27-L28)*(L27-L29))+M28*((L29-(100/360))-L27)*((L29-(100/360))-L29)/((L28-L27)*(L28-L29))+M29*((L29-(100/360))-L27)*((L29-(100/360))-L28)/((L29-L27)*(L29-L28))</f>
        <v>242.13297839506171</v>
      </c>
      <c r="O33" s="99">
        <f t="shared" si="6"/>
        <v>242.51</v>
      </c>
      <c r="Q33" s="14"/>
      <c r="R33" s="14"/>
      <c r="U33" s="97"/>
      <c r="V33" s="97"/>
    </row>
    <row r="34" spans="1:22">
      <c r="A34" s="219">
        <f>IF(Plan1!E16=4,0.4,IF(Plan1!E16=8,0))</f>
        <v>0.4</v>
      </c>
      <c r="D34"/>
      <c r="U34" s="97"/>
      <c r="V34" s="97"/>
    </row>
    <row r="35" spans="1:22">
      <c r="D35"/>
      <c r="L35" s="240" t="s">
        <v>40</v>
      </c>
      <c r="M35" s="241"/>
      <c r="U35" s="97"/>
      <c r="V35" s="97"/>
    </row>
    <row r="36" spans="1:22">
      <c r="D36"/>
      <c r="L36" s="10">
        <v>100</v>
      </c>
      <c r="M36" s="11">
        <f>R27*(B24-9)*(B24--9)/((0-9)*(0--9))+T27*(B24-0)*(B24--9)/((9-0)*(9--9))+U27*(B24-0)*(B24-9)/((-9-0)*(-9-9))</f>
        <v>274.94800683627585</v>
      </c>
      <c r="U36" s="97"/>
      <c r="V36" s="97"/>
    </row>
    <row r="37" spans="1:22">
      <c r="L37" s="10">
        <v>95</v>
      </c>
      <c r="M37" s="11">
        <f>R28*(B24-9)*(B24--9)/((0-9)*(0--9))+T28*(B24-0)*(B24--9)/((9-0)*(9--9))+U28*(B24-0)*(B24-9)/((-9-0)*(-9-9))</f>
        <v>255.82739085772712</v>
      </c>
      <c r="U37" s="97"/>
      <c r="V37" s="97"/>
    </row>
    <row r="38" spans="1:22">
      <c r="L38" s="10">
        <v>90</v>
      </c>
      <c r="M38" s="11">
        <f>R29*(B24-9)*(B24--9)/((0-9)*(0--9))+T29*(B24-0)*(B24--9)/((9-0)*(9--9))+U29*(B24-0)*(B24-9)/((-9-0)*(-9-9))</f>
        <v>236.43560786631224</v>
      </c>
      <c r="U38" s="97"/>
      <c r="V38" s="97"/>
    </row>
    <row r="39" spans="1:22">
      <c r="U39" s="97"/>
      <c r="V39" s="97"/>
    </row>
    <row r="40" spans="1:22">
      <c r="U40" s="97"/>
      <c r="V40" s="97"/>
    </row>
    <row r="41" spans="1:22">
      <c r="U41" s="97"/>
      <c r="V41" s="97"/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L36"/>
  <sheetViews>
    <sheetView workbookViewId="0">
      <selection activeCell="H8" sqref="H8"/>
    </sheetView>
  </sheetViews>
  <sheetFormatPr defaultRowHeight="15"/>
  <sheetData>
    <row r="1" spans="1:12">
      <c r="D1" t="s">
        <v>54</v>
      </c>
      <c r="E1">
        <v>1</v>
      </c>
      <c r="G1" s="44"/>
      <c r="H1" s="45" t="s">
        <v>55</v>
      </c>
      <c r="I1" s="46" t="s">
        <v>56</v>
      </c>
    </row>
    <row r="2" spans="1:12">
      <c r="D2" t="s">
        <v>57</v>
      </c>
      <c r="E2">
        <v>1</v>
      </c>
      <c r="G2" s="47" t="s">
        <v>58</v>
      </c>
      <c r="H2" s="48">
        <v>1</v>
      </c>
      <c r="I2" s="49">
        <v>45</v>
      </c>
      <c r="K2" s="50" t="s">
        <v>59</v>
      </c>
      <c r="L2" s="51">
        <v>1</v>
      </c>
    </row>
    <row r="3" spans="1:12">
      <c r="A3" s="249"/>
      <c r="B3" s="249"/>
      <c r="C3" s="1"/>
      <c r="D3" s="52" t="s">
        <v>54</v>
      </c>
      <c r="E3">
        <v>1.25</v>
      </c>
      <c r="G3" s="47" t="s">
        <v>57</v>
      </c>
      <c r="H3" s="48">
        <v>2</v>
      </c>
      <c r="I3" s="49">
        <v>45</v>
      </c>
      <c r="K3" s="53" t="s">
        <v>60</v>
      </c>
      <c r="L3" s="54">
        <v>4</v>
      </c>
    </row>
    <row r="4" spans="1:12" ht="15.75" thickBot="1">
      <c r="A4" s="249"/>
      <c r="B4" s="249"/>
      <c r="C4" s="1"/>
      <c r="D4" s="52" t="s">
        <v>61</v>
      </c>
      <c r="E4">
        <v>1.6</v>
      </c>
      <c r="G4" s="55" t="s">
        <v>58</v>
      </c>
      <c r="H4" s="48">
        <v>3</v>
      </c>
      <c r="I4" s="49">
        <v>36</v>
      </c>
    </row>
    <row r="5" spans="1:12" ht="15.75" thickBot="1">
      <c r="A5" s="250"/>
      <c r="B5" s="251"/>
      <c r="D5" s="52" t="s">
        <v>62</v>
      </c>
      <c r="E5">
        <v>1.5</v>
      </c>
      <c r="G5" s="55" t="s">
        <v>64</v>
      </c>
      <c r="H5" s="48">
        <v>4</v>
      </c>
      <c r="I5" s="49">
        <v>30</v>
      </c>
    </row>
    <row r="6" spans="1:12">
      <c r="D6" s="52" t="s">
        <v>63</v>
      </c>
      <c r="E6">
        <v>1.6</v>
      </c>
      <c r="G6" s="55" t="s">
        <v>66</v>
      </c>
      <c r="H6" s="48">
        <v>5</v>
      </c>
      <c r="I6" s="49">
        <v>28.125</v>
      </c>
    </row>
    <row r="7" spans="1:12">
      <c r="D7" s="52" t="s">
        <v>65</v>
      </c>
      <c r="E7">
        <v>1.66</v>
      </c>
      <c r="G7" s="55" t="s">
        <v>68</v>
      </c>
      <c r="H7" s="48">
        <v>6</v>
      </c>
      <c r="I7" s="49">
        <v>24</v>
      </c>
    </row>
    <row r="8" spans="1:12" ht="15.75" thickBot="1">
      <c r="D8" s="52" t="s">
        <v>67</v>
      </c>
      <c r="E8">
        <v>1.6</v>
      </c>
      <c r="G8" s="56">
        <v>1</v>
      </c>
      <c r="H8" s="57">
        <f>IF(G8=H2,I2,IF(G8=H3,I3,IF(G8=H4,I4,IF(G8=H5,I5,IF(G8=H6,I6,IF(G8=H7,I7))))))</f>
        <v>45</v>
      </c>
      <c r="I8" s="58"/>
    </row>
    <row r="9" spans="1:12">
      <c r="D9" s="52" t="s">
        <v>69</v>
      </c>
      <c r="E9">
        <v>1.875</v>
      </c>
    </row>
    <row r="10" spans="1:12">
      <c r="D10" s="52" t="s">
        <v>70</v>
      </c>
      <c r="E10">
        <v>1.875</v>
      </c>
      <c r="H10" s="52"/>
      <c r="I10" s="52"/>
    </row>
    <row r="11" spans="1:12">
      <c r="D11" s="52" t="s">
        <v>71</v>
      </c>
      <c r="E11">
        <v>1.875</v>
      </c>
      <c r="H11" s="52"/>
    </row>
    <row r="13" spans="1:12" ht="15.75" thickBot="1">
      <c r="G13" s="252" t="s">
        <v>72</v>
      </c>
      <c r="H13" s="252"/>
      <c r="I13" s="59" t="s">
        <v>73</v>
      </c>
    </row>
    <row r="14" spans="1:12">
      <c r="G14" s="253" t="s">
        <v>74</v>
      </c>
      <c r="H14" s="254"/>
      <c r="I14" s="60">
        <v>1</v>
      </c>
      <c r="J14" t="b">
        <f t="shared" ref="J14:J34" si="0">IF($I$35=I14,G14)</f>
        <v>0</v>
      </c>
    </row>
    <row r="15" spans="1:12">
      <c r="B15" s="255" t="s">
        <v>161</v>
      </c>
      <c r="C15" s="255"/>
      <c r="G15" s="247" t="s">
        <v>75</v>
      </c>
      <c r="H15" s="248"/>
      <c r="I15" s="61">
        <v>2</v>
      </c>
      <c r="J15" t="b">
        <f t="shared" si="0"/>
        <v>0</v>
      </c>
    </row>
    <row r="16" spans="1:12">
      <c r="B16" s="123"/>
      <c r="C16" s="123"/>
      <c r="G16" s="247" t="s">
        <v>133</v>
      </c>
      <c r="H16" s="248"/>
      <c r="I16" s="61">
        <v>3</v>
      </c>
      <c r="J16" t="str">
        <f t="shared" si="0"/>
        <v>Dunk 1w 1PS 30s</v>
      </c>
    </row>
    <row r="17" spans="2:10">
      <c r="B17" s="124">
        <v>-1</v>
      </c>
      <c r="C17" s="124">
        <v>1</v>
      </c>
      <c r="G17" s="247" t="s">
        <v>134</v>
      </c>
      <c r="H17" s="248"/>
      <c r="I17" s="61">
        <v>4</v>
      </c>
      <c r="J17" t="b">
        <f t="shared" si="0"/>
        <v>0</v>
      </c>
    </row>
    <row r="18" spans="2:10">
      <c r="B18" s="124">
        <f>C19*B17</f>
        <v>-1.8784359062401523</v>
      </c>
      <c r="C18" s="124">
        <f>C19*C17</f>
        <v>1.8784359062401523</v>
      </c>
      <c r="G18" s="247" t="s">
        <v>77</v>
      </c>
      <c r="H18" s="248"/>
      <c r="I18" s="61">
        <v>5</v>
      </c>
      <c r="J18" t="b">
        <f t="shared" si="0"/>
        <v>0</v>
      </c>
    </row>
    <row r="19" spans="2:10">
      <c r="B19" s="124" t="s">
        <v>22</v>
      </c>
      <c r="C19" s="125">
        <f>Plan1!B19</f>
        <v>1.8784359062401523</v>
      </c>
      <c r="G19" s="247" t="s">
        <v>78</v>
      </c>
      <c r="H19" s="248"/>
      <c r="I19" s="61">
        <v>6</v>
      </c>
      <c r="J19" t="b">
        <f t="shared" si="0"/>
        <v>0</v>
      </c>
    </row>
    <row r="20" spans="2:10">
      <c r="G20" s="247" t="s">
        <v>135</v>
      </c>
      <c r="H20" s="248"/>
      <c r="I20" s="61">
        <v>7</v>
      </c>
      <c r="J20" t="b">
        <f t="shared" si="0"/>
        <v>0</v>
      </c>
    </row>
    <row r="21" spans="2:10">
      <c r="G21" s="247" t="s">
        <v>80</v>
      </c>
      <c r="H21" s="248"/>
      <c r="I21" s="61">
        <v>8</v>
      </c>
      <c r="J21" t="b">
        <f t="shared" si="0"/>
        <v>0</v>
      </c>
    </row>
    <row r="22" spans="2:10">
      <c r="G22" s="247" t="s">
        <v>81</v>
      </c>
      <c r="H22" s="248"/>
      <c r="I22" s="61">
        <v>9</v>
      </c>
      <c r="J22" t="b">
        <f t="shared" si="0"/>
        <v>0</v>
      </c>
    </row>
    <row r="23" spans="2:10">
      <c r="B23" s="227" t="s">
        <v>3</v>
      </c>
      <c r="C23" s="228"/>
      <c r="G23" s="247" t="s">
        <v>82</v>
      </c>
      <c r="H23" s="248"/>
      <c r="I23" s="61">
        <v>10</v>
      </c>
      <c r="J23" t="b">
        <f t="shared" si="0"/>
        <v>0</v>
      </c>
    </row>
    <row r="24" spans="2:10" ht="15.75">
      <c r="B24" s="256">
        <f>Plan1!A9</f>
        <v>73.332999999999998</v>
      </c>
      <c r="C24" s="257"/>
      <c r="G24" s="247" t="s">
        <v>83</v>
      </c>
      <c r="H24" s="248"/>
      <c r="I24" s="61">
        <v>11</v>
      </c>
      <c r="J24" t="b">
        <f t="shared" si="0"/>
        <v>0</v>
      </c>
    </row>
    <row r="25" spans="2:10">
      <c r="B25" s="231" t="s">
        <v>16</v>
      </c>
      <c r="C25" s="232"/>
      <c r="G25" s="247" t="s">
        <v>84</v>
      </c>
      <c r="H25" s="248"/>
      <c r="I25" s="61">
        <v>12</v>
      </c>
      <c r="J25" t="b">
        <f t="shared" si="0"/>
        <v>0</v>
      </c>
    </row>
    <row r="26" spans="2:10" ht="15.75">
      <c r="B26" s="18" t="s">
        <v>17</v>
      </c>
      <c r="C26" s="18" t="s">
        <v>18</v>
      </c>
      <c r="G26" s="247" t="s">
        <v>85</v>
      </c>
      <c r="H26" s="248"/>
      <c r="I26" s="61">
        <v>13</v>
      </c>
      <c r="J26" t="b">
        <f t="shared" si="0"/>
        <v>0</v>
      </c>
    </row>
    <row r="27" spans="2:10" ht="15.75">
      <c r="B27" s="126">
        <f>B24</f>
        <v>73.332999999999998</v>
      </c>
      <c r="C27" s="127">
        <f>360-B24</f>
        <v>286.66700000000003</v>
      </c>
      <c r="G27" s="242" t="s">
        <v>221</v>
      </c>
      <c r="H27" s="243"/>
      <c r="I27" s="62">
        <v>14</v>
      </c>
      <c r="J27" t="b">
        <f t="shared" si="0"/>
        <v>0</v>
      </c>
    </row>
    <row r="28" spans="2:10" ht="15.75">
      <c r="B28" s="18" t="s">
        <v>19</v>
      </c>
      <c r="C28" s="19" t="s">
        <v>20</v>
      </c>
      <c r="G28" s="242" t="s">
        <v>87</v>
      </c>
      <c r="H28" s="243"/>
      <c r="I28" s="62">
        <v>15</v>
      </c>
      <c r="J28" t="b">
        <f t="shared" si="0"/>
        <v>0</v>
      </c>
    </row>
    <row r="29" spans="2:10" ht="15.75">
      <c r="B29" s="126">
        <f>ABS(B24-90)+90</f>
        <v>106.667</v>
      </c>
      <c r="C29" s="128">
        <f>B24-90+270</f>
        <v>253.333</v>
      </c>
      <c r="G29" s="242" t="s">
        <v>136</v>
      </c>
      <c r="H29" s="243"/>
      <c r="I29" s="62">
        <v>16</v>
      </c>
      <c r="J29" t="b">
        <f t="shared" si="0"/>
        <v>0</v>
      </c>
    </row>
    <row r="30" spans="2:10" ht="15.75">
      <c r="B30" s="258">
        <v>3</v>
      </c>
      <c r="C30" s="259"/>
      <c r="G30" s="247" t="s">
        <v>222</v>
      </c>
      <c r="H30" s="248"/>
      <c r="I30" s="62">
        <v>17</v>
      </c>
      <c r="J30" t="b">
        <f t="shared" si="0"/>
        <v>0</v>
      </c>
    </row>
    <row r="31" spans="2:10" ht="15.75">
      <c r="B31" s="258">
        <f>IF(B30=1,B27,IF(B30=2,C27,IF(B30=3,B29,IF(B30=4,C29))))</f>
        <v>106.667</v>
      </c>
      <c r="C31" s="259"/>
      <c r="G31" s="247" t="s">
        <v>223</v>
      </c>
      <c r="H31" s="248"/>
      <c r="I31" s="62">
        <v>18</v>
      </c>
      <c r="J31" t="b">
        <f t="shared" si="0"/>
        <v>0</v>
      </c>
    </row>
    <row r="32" spans="2:10">
      <c r="G32" s="247" t="s">
        <v>224</v>
      </c>
      <c r="H32" s="248"/>
      <c r="I32" s="62">
        <v>19</v>
      </c>
      <c r="J32" t="b">
        <f t="shared" si="0"/>
        <v>0</v>
      </c>
    </row>
    <row r="33" spans="7:10">
      <c r="G33" s="247" t="s">
        <v>225</v>
      </c>
      <c r="H33" s="248"/>
      <c r="I33" s="62">
        <v>20</v>
      </c>
      <c r="J33" t="b">
        <f t="shared" si="0"/>
        <v>0</v>
      </c>
    </row>
    <row r="34" spans="7:10" ht="15.75" thickBot="1">
      <c r="G34" s="247" t="s">
        <v>229</v>
      </c>
      <c r="H34" s="248"/>
      <c r="I34" s="62">
        <v>21</v>
      </c>
      <c r="J34" t="b">
        <f t="shared" si="0"/>
        <v>0</v>
      </c>
    </row>
    <row r="35" spans="7:10" ht="15.75" thickBot="1">
      <c r="G35" s="244" t="s">
        <v>88</v>
      </c>
      <c r="H35" s="245"/>
      <c r="I35" s="63">
        <v>3</v>
      </c>
    </row>
    <row r="36" spans="7:10" ht="15.75" thickBot="1">
      <c r="G36" s="64" t="s">
        <v>89</v>
      </c>
      <c r="H36" s="245" t="str">
        <f>IF($I$35=I14,G14,IF($I$35=I15,G15,IF($I$35=I16,G16,IF($I$35=I17,G17,IF($I$35=I18,G18,IF($I$35=I19,G19,IF($I$35=I20,G20,IF($I$35=I21,G21,IF($I$35=I22,G22,IF($I$35=I23,G23,IF($I$35=I24,G24,IF($I$35=I25,G25,IF($I$35=I26,G26,IF($I$35=I27,G27,IF($I$35=I28,G28,IF($I$35=I29,G29,IF($I$35=I30,G30,IF($I$35=I31,G31,IF($I$35=I32,G32,IF($I$35=I33,G33,IF($I$35=I34,G34)))))))))))))))))))))</f>
        <v>Dunk 1w 1PS 30s</v>
      </c>
      <c r="I36" s="246"/>
    </row>
  </sheetData>
  <mergeCells count="32">
    <mergeCell ref="B23:C23"/>
    <mergeCell ref="B24:C24"/>
    <mergeCell ref="B25:C25"/>
    <mergeCell ref="B30:C30"/>
    <mergeCell ref="B31:C31"/>
    <mergeCell ref="G22:H22"/>
    <mergeCell ref="A3:B4"/>
    <mergeCell ref="A5:B5"/>
    <mergeCell ref="G13:H13"/>
    <mergeCell ref="G14:H14"/>
    <mergeCell ref="G15:H15"/>
    <mergeCell ref="G16:H16"/>
    <mergeCell ref="G17:H17"/>
    <mergeCell ref="G18:H18"/>
    <mergeCell ref="G19:H19"/>
    <mergeCell ref="G20:H20"/>
    <mergeCell ref="G21:H21"/>
    <mergeCell ref="B15:C15"/>
    <mergeCell ref="G29:H29"/>
    <mergeCell ref="G35:H35"/>
    <mergeCell ref="H36:I36"/>
    <mergeCell ref="G23:H23"/>
    <mergeCell ref="G24:H24"/>
    <mergeCell ref="G25:H25"/>
    <mergeCell ref="G26:H26"/>
    <mergeCell ref="G27:H27"/>
    <mergeCell ref="G28:H28"/>
    <mergeCell ref="G30:H30"/>
    <mergeCell ref="G31:H31"/>
    <mergeCell ref="G32:H32"/>
    <mergeCell ref="G33:H33"/>
    <mergeCell ref="G34:H34"/>
  </mergeCells>
  <conditionalFormatting sqref="L3">
    <cfRule type="cellIs" dxfId="0" priority="1" operator="equal">
      <formula>1417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oggleButton1">
          <controlPr defaultSize="0" autoLine="0" r:id="rId5">
            <anchor moveWithCells="1">
              <from>
                <xdr:col>14</xdr:col>
                <xdr:colOff>190500</xdr:colOff>
                <xdr:row>9</xdr:row>
                <xdr:rowOff>133350</xdr:rowOff>
              </from>
              <to>
                <xdr:col>16</xdr:col>
                <xdr:colOff>219075</xdr:colOff>
                <xdr:row>16</xdr:row>
                <xdr:rowOff>95250</xdr:rowOff>
              </to>
            </anchor>
          </controlPr>
        </control>
      </mc:Choice>
      <mc:Fallback>
        <control shapeId="4097" r:id="rId4" name="ToggleButton1"/>
      </mc:Fallback>
    </mc:AlternateContent>
    <mc:AlternateContent xmlns:mc="http://schemas.openxmlformats.org/markup-compatibility/2006">
      <mc:Choice Requires="x14">
        <control shapeId="4099" r:id="rId6" name="Button 3">
          <controlPr defaultSize="0" print="0" autoFill="0" autoPict="0" macro="[0]!Botão80_Clique">
            <anchor moveWithCells="1" sizeWithCells="1">
              <from>
                <xdr:col>1</xdr:col>
                <xdr:colOff>123825</xdr:colOff>
                <xdr:row>15</xdr:row>
                <xdr:rowOff>19050</xdr:rowOff>
              </from>
              <to>
                <xdr:col>1</xdr:col>
                <xdr:colOff>523875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7" name="Button 4">
          <controlPr defaultSize="0" print="0" autoFill="0" autoPict="0" macro="[0]!Botão80_Clique">
            <anchor moveWithCells="1" sizeWithCells="1">
              <from>
                <xdr:col>2</xdr:col>
                <xdr:colOff>133350</xdr:colOff>
                <xdr:row>15</xdr:row>
                <xdr:rowOff>19050</xdr:rowOff>
              </from>
              <to>
                <xdr:col>2</xdr:col>
                <xdr:colOff>533400</xdr:colOff>
                <xdr:row>15</xdr:row>
                <xdr:rowOff>180975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O381"/>
  <sheetViews>
    <sheetView zoomScale="130" zoomScaleNormal="130" workbookViewId="0">
      <selection activeCell="J3" sqref="J3"/>
    </sheetView>
  </sheetViews>
  <sheetFormatPr defaultColWidth="9" defaultRowHeight="12.75"/>
  <cols>
    <col min="1" max="1" width="11.5703125" style="66" bestFit="1" customWidth="1"/>
    <col min="2" max="7" width="9" style="66"/>
    <col min="8" max="8" width="9.85546875" style="66" bestFit="1" customWidth="1"/>
    <col min="9" max="9" width="11.5703125" style="66" bestFit="1" customWidth="1"/>
    <col min="10" max="15" width="9" style="66"/>
    <col min="16" max="16" width="9.85546875" style="66" bestFit="1" customWidth="1"/>
    <col min="17" max="16384" width="9" style="66"/>
  </cols>
  <sheetData>
    <row r="1" spans="1:15">
      <c r="A1" s="65" t="s">
        <v>53</v>
      </c>
      <c r="B1" s="260">
        <f>Plan1!B23</f>
        <v>10</v>
      </c>
      <c r="C1" s="261"/>
      <c r="D1" s="261"/>
      <c r="E1" s="261"/>
      <c r="F1" s="261"/>
      <c r="G1" s="262"/>
      <c r="I1" s="67" t="s">
        <v>51</v>
      </c>
      <c r="J1" s="263" t="str">
        <f>Plan1!B22</f>
        <v>Lost Seaway</v>
      </c>
      <c r="K1" s="263"/>
    </row>
    <row r="2" spans="1:15">
      <c r="A2" s="68" t="str">
        <f>I4</f>
        <v>Blue Lagoon</v>
      </c>
      <c r="B2" s="69">
        <v>1</v>
      </c>
      <c r="C2" s="69" t="s">
        <v>90</v>
      </c>
      <c r="D2" s="69">
        <v>2</v>
      </c>
      <c r="E2" s="69" t="s">
        <v>90</v>
      </c>
      <c r="F2" s="69">
        <v>3</v>
      </c>
      <c r="G2" s="69" t="s">
        <v>90</v>
      </c>
      <c r="I2" s="70" t="s">
        <v>91</v>
      </c>
      <c r="J2" s="69">
        <f>IF($J$1=$I$4,J4,IF($J$1=$I$5,J5,IF($J$1=$I$6,J6,IF($J$1=$I$7,J7,IF($J$1=$I$8,J8,IF($J$1=$I$9,J9,IF($J$1=$I$10,J10,IF($J$1=$I$11,J11,IF($J$1=$I$12,J12,IF($J$1=$I$13,J13,IF($J$1=$I$14,J14)))))))))))</f>
        <v>229.94</v>
      </c>
      <c r="K2" s="69">
        <f t="shared" ref="K2:N2" si="0">IF($J$1=$I$4,K4,IF($J$1=$I$5,K5,IF($J$1=$I$6,K6,IF($J$1=$I$7,K7,IF($J$1=$I$8,K8,IF($J$1=$I$9,K9,IF($J$1=$I$10,K10,IF($J$1=$I$11,K11,IF($J$1=$I$12,K12,IF($J$1=$I$13,K13,IF($J$1=$I$14,K14)))))))))))</f>
        <v>-11.9</v>
      </c>
      <c r="L2" s="69">
        <f t="shared" si="0"/>
        <v>239.4</v>
      </c>
      <c r="M2" s="69">
        <f t="shared" si="0"/>
        <v>-11.8</v>
      </c>
      <c r="N2" s="69">
        <f t="shared" si="0"/>
        <v>247.29</v>
      </c>
      <c r="O2" s="69">
        <f>IF($J$1=$I$4,O4,IF($J$1=$I$5,O5,IF($J$1=$I$6,O6,IF($J$1=$I$7,O7,IF($J$1=$I$8,O8,IF($J$1=$I$9,O9,IF($J$1=$I$10,O10,IF($J$1=$I$11,O11,IF($J$1=$I$12,O12,IF($J$1=$I$13,O13,IF($J$1=$I$14,O14)))))))))))</f>
        <v>-11.5</v>
      </c>
    </row>
    <row r="3" spans="1:15">
      <c r="A3" s="71">
        <v>1</v>
      </c>
      <c r="B3" s="71" t="s">
        <v>92</v>
      </c>
      <c r="C3" s="71" t="s">
        <v>92</v>
      </c>
      <c r="D3" s="71" t="s">
        <v>92</v>
      </c>
      <c r="E3" s="71" t="s">
        <v>92</v>
      </c>
      <c r="F3" s="71" t="s">
        <v>92</v>
      </c>
      <c r="G3" s="71" t="s">
        <v>92</v>
      </c>
      <c r="I3" s="70" t="s">
        <v>93</v>
      </c>
      <c r="J3" s="69" t="b">
        <f>IF($J$1=$I$15,J15,IF($J$1=$I$16,J16,IF($J$1=$I$17,J17,IF($J$1=$I$18,J18,IF($J$1=$I$19,J19,IF($J$1=$I$20,J20,IF($J$1=$I$21,J21,IF($J$1=$I$22,J22))))))))</f>
        <v>0</v>
      </c>
      <c r="K3" s="69" t="b">
        <f t="shared" ref="K3:O3" si="1">IF($J$1=$I$15,K15,IF($J$1=$I$16,K16,IF($J$1=$I$17,K17,IF($J$1=$I$18,K18,IF($J$1=$I$19,K19,IF($J$1=$I$20,K20,IF($J$1=$I$21,K21,IF($J$1=$I$22,K22))))))))</f>
        <v>0</v>
      </c>
      <c r="L3" s="69" t="b">
        <f t="shared" si="1"/>
        <v>0</v>
      </c>
      <c r="M3" s="69" t="b">
        <f t="shared" si="1"/>
        <v>0</v>
      </c>
      <c r="N3" s="69" t="b">
        <f t="shared" si="1"/>
        <v>0</v>
      </c>
      <c r="O3" s="69" t="b">
        <f t="shared" si="1"/>
        <v>0</v>
      </c>
    </row>
    <row r="4" spans="1:15">
      <c r="A4" s="71">
        <v>2</v>
      </c>
      <c r="B4" s="71">
        <v>224.42</v>
      </c>
      <c r="C4" s="71">
        <v>-3.41</v>
      </c>
      <c r="D4" s="71">
        <v>227.72</v>
      </c>
      <c r="E4" s="71">
        <v>-3.65</v>
      </c>
      <c r="F4" s="71">
        <v>230.83</v>
      </c>
      <c r="G4" s="71">
        <v>-3.1</v>
      </c>
      <c r="I4" s="71" t="s">
        <v>94</v>
      </c>
      <c r="J4" s="71">
        <f t="shared" ref="J4:O4" si="2">B21</f>
        <v>282.83</v>
      </c>
      <c r="K4" s="71">
        <f t="shared" si="2"/>
        <v>-2.97</v>
      </c>
      <c r="L4" s="71">
        <f t="shared" si="2"/>
        <v>289.14</v>
      </c>
      <c r="M4" s="71">
        <f t="shared" si="2"/>
        <v>-2.67</v>
      </c>
      <c r="N4" s="71">
        <f t="shared" si="2"/>
        <v>291.39999999999998</v>
      </c>
      <c r="O4" s="71">
        <f t="shared" si="2"/>
        <v>-2.48</v>
      </c>
    </row>
    <row r="5" spans="1:15">
      <c r="A5" s="71">
        <v>3</v>
      </c>
      <c r="B5" s="71">
        <v>368.42</v>
      </c>
      <c r="C5" s="71">
        <v>0.15</v>
      </c>
      <c r="D5" s="71">
        <v>371.6</v>
      </c>
      <c r="E5" s="71">
        <v>0.33</v>
      </c>
      <c r="F5" s="71">
        <v>381.1</v>
      </c>
      <c r="G5" s="71">
        <v>0.27</v>
      </c>
      <c r="I5" s="71" t="s">
        <v>95</v>
      </c>
      <c r="J5" s="71">
        <f t="shared" ref="J5:O5" si="3">B41</f>
        <v>379.19</v>
      </c>
      <c r="K5" s="71">
        <f t="shared" si="3"/>
        <v>-1.61</v>
      </c>
      <c r="L5" s="71">
        <f t="shared" si="3"/>
        <v>389.45</v>
      </c>
      <c r="M5" s="71">
        <f t="shared" si="3"/>
        <v>-1.61</v>
      </c>
      <c r="N5" s="71">
        <f t="shared" si="3"/>
        <v>395.31</v>
      </c>
      <c r="O5" s="71">
        <f t="shared" si="3"/>
        <v>-1.47</v>
      </c>
    </row>
    <row r="6" spans="1:15">
      <c r="A6" s="71">
        <v>4</v>
      </c>
      <c r="B6" s="71">
        <v>369.28</v>
      </c>
      <c r="C6" s="71">
        <v>-3.04</v>
      </c>
      <c r="D6" s="71">
        <v>370.7</v>
      </c>
      <c r="E6" s="71">
        <v>-3.25</v>
      </c>
      <c r="F6" s="71">
        <v>375.38</v>
      </c>
      <c r="G6" s="71">
        <v>-3.46</v>
      </c>
      <c r="I6" s="71" t="s">
        <v>96</v>
      </c>
      <c r="J6" s="71">
        <f t="shared" ref="J6:O6" si="4">B61</f>
        <v>360.5</v>
      </c>
      <c r="K6" s="71">
        <f t="shared" si="4"/>
        <v>-7.01</v>
      </c>
      <c r="L6" s="71">
        <f t="shared" si="4"/>
        <v>374.04</v>
      </c>
      <c r="M6" s="71">
        <f t="shared" si="4"/>
        <v>-7.09</v>
      </c>
      <c r="N6" s="71">
        <f t="shared" si="4"/>
        <v>379.34</v>
      </c>
      <c r="O6" s="71">
        <f t="shared" si="4"/>
        <v>-6.78</v>
      </c>
    </row>
    <row r="7" spans="1:15">
      <c r="A7" s="71">
        <v>5</v>
      </c>
      <c r="B7" s="71" t="s">
        <v>92</v>
      </c>
      <c r="C7" s="71" t="s">
        <v>92</v>
      </c>
      <c r="D7" s="71" t="s">
        <v>92</v>
      </c>
      <c r="E7" s="71" t="s">
        <v>92</v>
      </c>
      <c r="F7" s="71" t="s">
        <v>92</v>
      </c>
      <c r="G7" s="71" t="s">
        <v>92</v>
      </c>
      <c r="I7" s="71" t="s">
        <v>97</v>
      </c>
      <c r="J7" s="71">
        <f t="shared" ref="J7:O7" si="5">B81</f>
        <v>232.03</v>
      </c>
      <c r="K7" s="71">
        <f t="shared" si="5"/>
        <v>-19.399999999999999</v>
      </c>
      <c r="L7" s="71">
        <f t="shared" si="5"/>
        <v>233.84</v>
      </c>
      <c r="M7" s="71">
        <f t="shared" si="5"/>
        <v>-19.399999999999999</v>
      </c>
      <c r="N7" s="71" t="str">
        <f t="shared" si="5"/>
        <v>-</v>
      </c>
      <c r="O7" s="71" t="str">
        <f t="shared" si="5"/>
        <v>-</v>
      </c>
    </row>
    <row r="8" spans="1:15">
      <c r="A8" s="71">
        <v>6</v>
      </c>
      <c r="B8" s="71">
        <v>214.57</v>
      </c>
      <c r="C8" s="71">
        <v>-2.2000000000000002</v>
      </c>
      <c r="D8" s="71">
        <v>215.62</v>
      </c>
      <c r="E8" s="71">
        <v>-2.65</v>
      </c>
      <c r="F8" s="71">
        <v>226.18</v>
      </c>
      <c r="G8" s="71">
        <v>-2.5</v>
      </c>
      <c r="I8" s="71" t="s">
        <v>98</v>
      </c>
      <c r="J8" s="71">
        <f t="shared" ref="J8:O8" si="6">B101</f>
        <v>229.94</v>
      </c>
      <c r="K8" s="71">
        <f t="shared" si="6"/>
        <v>-11.9</v>
      </c>
      <c r="L8" s="71">
        <f t="shared" si="6"/>
        <v>239.4</v>
      </c>
      <c r="M8" s="71">
        <f t="shared" si="6"/>
        <v>-11.8</v>
      </c>
      <c r="N8" s="71">
        <f t="shared" si="6"/>
        <v>247.29</v>
      </c>
      <c r="O8" s="71">
        <f t="shared" si="6"/>
        <v>-11.5</v>
      </c>
    </row>
    <row r="9" spans="1:15">
      <c r="A9" s="71">
        <v>7</v>
      </c>
      <c r="B9" s="71" t="s">
        <v>92</v>
      </c>
      <c r="C9" s="71" t="s">
        <v>92</v>
      </c>
      <c r="D9" s="71" t="s">
        <v>92</v>
      </c>
      <c r="E9" s="71" t="s">
        <v>92</v>
      </c>
      <c r="F9" s="71" t="s">
        <v>92</v>
      </c>
      <c r="G9" s="71" t="s">
        <v>92</v>
      </c>
      <c r="I9" s="71" t="s">
        <v>99</v>
      </c>
      <c r="J9" s="71">
        <f t="shared" ref="J9:O9" si="7">B121</f>
        <v>263.88</v>
      </c>
      <c r="K9" s="71">
        <f t="shared" si="7"/>
        <v>-33.6</v>
      </c>
      <c r="L9" s="71">
        <f t="shared" si="7"/>
        <v>279.51</v>
      </c>
      <c r="M9" s="71">
        <f t="shared" si="7"/>
        <v>-34.1</v>
      </c>
      <c r="N9" s="71">
        <f t="shared" si="7"/>
        <v>286.66000000000003</v>
      </c>
      <c r="O9" s="71">
        <f t="shared" si="7"/>
        <v>-34.6</v>
      </c>
    </row>
    <row r="10" spans="1:15">
      <c r="A10" s="71">
        <v>8</v>
      </c>
      <c r="B10" s="71" t="s">
        <v>92</v>
      </c>
      <c r="C10" s="71" t="s">
        <v>92</v>
      </c>
      <c r="D10" s="71" t="s">
        <v>92</v>
      </c>
      <c r="E10" s="71" t="s">
        <v>92</v>
      </c>
      <c r="F10" s="71" t="s">
        <v>92</v>
      </c>
      <c r="G10" s="71" t="s">
        <v>92</v>
      </c>
      <c r="I10" s="71" t="s">
        <v>100</v>
      </c>
      <c r="J10" s="71">
        <f t="shared" ref="J10:O10" si="8">B141</f>
        <v>227.96</v>
      </c>
      <c r="K10" s="71">
        <f t="shared" si="8"/>
        <v>-5.37</v>
      </c>
      <c r="L10" s="71">
        <f t="shared" si="8"/>
        <v>237.35</v>
      </c>
      <c r="M10" s="71">
        <f t="shared" si="8"/>
        <v>-5.19</v>
      </c>
      <c r="N10" s="71">
        <f t="shared" si="8"/>
        <v>240.9</v>
      </c>
      <c r="O10" s="71">
        <f t="shared" si="8"/>
        <v>-5.32</v>
      </c>
    </row>
    <row r="11" spans="1:15">
      <c r="A11" s="71">
        <v>9</v>
      </c>
      <c r="B11" s="71" t="s">
        <v>101</v>
      </c>
      <c r="C11" s="71">
        <v>0.3</v>
      </c>
      <c r="D11" s="71" t="s">
        <v>102</v>
      </c>
      <c r="E11" s="71">
        <v>0.35</v>
      </c>
      <c r="F11" s="71">
        <v>388.47</v>
      </c>
      <c r="G11" s="71">
        <v>0.24</v>
      </c>
      <c r="I11" s="71" t="s">
        <v>103</v>
      </c>
      <c r="J11" s="71">
        <f t="shared" ref="J11:O11" si="9">B161</f>
        <v>226.43</v>
      </c>
      <c r="K11" s="71">
        <f t="shared" si="9"/>
        <v>-5.98</v>
      </c>
      <c r="L11" s="71">
        <f t="shared" si="9"/>
        <v>229.74</v>
      </c>
      <c r="M11" s="71">
        <f t="shared" si="9"/>
        <v>-5.99</v>
      </c>
      <c r="N11" s="71">
        <f t="shared" si="9"/>
        <v>233.28</v>
      </c>
      <c r="O11" s="71">
        <f t="shared" si="9"/>
        <v>-5.99</v>
      </c>
    </row>
    <row r="12" spans="1:15">
      <c r="A12" s="71">
        <v>10</v>
      </c>
      <c r="B12" s="71">
        <v>282.83</v>
      </c>
      <c r="C12" s="71">
        <v>-2.97</v>
      </c>
      <c r="D12" s="71">
        <v>289.14</v>
      </c>
      <c r="E12" s="71">
        <v>-2.67</v>
      </c>
      <c r="F12" s="71">
        <v>291.39999999999998</v>
      </c>
      <c r="G12" s="71">
        <v>-2.48</v>
      </c>
      <c r="I12" s="71" t="s">
        <v>104</v>
      </c>
      <c r="J12" s="71" t="str">
        <f t="shared" ref="J12:O12" si="10">B181</f>
        <v>-</v>
      </c>
      <c r="K12" s="71" t="str">
        <f t="shared" si="10"/>
        <v>-</v>
      </c>
      <c r="L12" s="71" t="str">
        <f t="shared" si="10"/>
        <v>-</v>
      </c>
      <c r="M12" s="71" t="str">
        <f t="shared" si="10"/>
        <v>-</v>
      </c>
      <c r="N12" s="71" t="str">
        <f t="shared" si="10"/>
        <v>-</v>
      </c>
      <c r="O12" s="71" t="str">
        <f t="shared" si="10"/>
        <v>-</v>
      </c>
    </row>
    <row r="13" spans="1:15">
      <c r="A13" s="71">
        <v>11</v>
      </c>
      <c r="B13" s="71">
        <v>356.13</v>
      </c>
      <c r="C13" s="71">
        <v>-6.27</v>
      </c>
      <c r="D13" s="71">
        <v>357.18</v>
      </c>
      <c r="E13" s="71">
        <v>-6.12</v>
      </c>
      <c r="F13" s="71">
        <v>363.84</v>
      </c>
      <c r="G13" s="71">
        <v>-5.94</v>
      </c>
      <c r="I13" s="71" t="s">
        <v>105</v>
      </c>
      <c r="J13" s="71">
        <f t="shared" ref="J13:O13" si="11">B201</f>
        <v>223.98</v>
      </c>
      <c r="K13" s="71">
        <f t="shared" si="11"/>
        <v>1.07</v>
      </c>
      <c r="L13" s="71">
        <f t="shared" si="11"/>
        <v>225.05</v>
      </c>
      <c r="M13" s="71">
        <f t="shared" si="11"/>
        <v>0.99</v>
      </c>
      <c r="N13" s="71">
        <f t="shared" si="11"/>
        <v>233.45</v>
      </c>
      <c r="O13" s="71">
        <f t="shared" si="11"/>
        <v>0.9</v>
      </c>
    </row>
    <row r="14" spans="1:15">
      <c r="A14" s="71">
        <v>12</v>
      </c>
      <c r="B14" s="71" t="s">
        <v>92</v>
      </c>
      <c r="C14" s="71" t="s">
        <v>92</v>
      </c>
      <c r="D14" s="71" t="s">
        <v>92</v>
      </c>
      <c r="E14" s="71" t="s">
        <v>92</v>
      </c>
      <c r="F14" s="71" t="s">
        <v>92</v>
      </c>
      <c r="G14" s="71" t="s">
        <v>92</v>
      </c>
      <c r="I14" s="71" t="s">
        <v>106</v>
      </c>
      <c r="J14" s="71">
        <f t="shared" ref="J14:O14" si="12">B221</f>
        <v>384.2</v>
      </c>
      <c r="K14" s="71">
        <f t="shared" si="12"/>
        <v>6.49</v>
      </c>
      <c r="L14" s="71">
        <f t="shared" si="12"/>
        <v>387.19</v>
      </c>
      <c r="M14" s="71">
        <f t="shared" si="12"/>
        <v>6.14</v>
      </c>
      <c r="N14" s="71">
        <f t="shared" si="12"/>
        <v>398.31</v>
      </c>
      <c r="O14" s="71">
        <f t="shared" si="12"/>
        <v>6.12</v>
      </c>
    </row>
    <row r="15" spans="1:15">
      <c r="A15" s="71">
        <v>13</v>
      </c>
      <c r="B15" s="71" t="s">
        <v>92</v>
      </c>
      <c r="C15" s="71" t="s">
        <v>92</v>
      </c>
      <c r="D15" s="71" t="s">
        <v>92</v>
      </c>
      <c r="E15" s="71" t="s">
        <v>92</v>
      </c>
      <c r="F15" s="71" t="s">
        <v>92</v>
      </c>
      <c r="G15" s="71" t="s">
        <v>92</v>
      </c>
      <c r="I15" s="71" t="s">
        <v>107</v>
      </c>
      <c r="J15" s="71">
        <f>B241</f>
        <v>220.89</v>
      </c>
      <c r="K15" s="71">
        <f t="shared" ref="K15:O15" si="13">C241</f>
        <v>5.82</v>
      </c>
      <c r="L15" s="71">
        <f t="shared" si="13"/>
        <v>220.94</v>
      </c>
      <c r="M15" s="71">
        <f t="shared" si="13"/>
        <v>5.24</v>
      </c>
      <c r="N15" s="71">
        <f t="shared" si="13"/>
        <v>236.11</v>
      </c>
      <c r="O15" s="71">
        <f t="shared" si="13"/>
        <v>5.8</v>
      </c>
    </row>
    <row r="16" spans="1:15">
      <c r="A16" s="71">
        <v>14</v>
      </c>
      <c r="B16" s="71" t="s">
        <v>92</v>
      </c>
      <c r="C16" s="71" t="s">
        <v>92</v>
      </c>
      <c r="D16" s="71" t="s">
        <v>92</v>
      </c>
      <c r="E16" s="71" t="s">
        <v>92</v>
      </c>
      <c r="F16" s="71" t="s">
        <v>92</v>
      </c>
      <c r="G16" s="71" t="s">
        <v>92</v>
      </c>
      <c r="I16" s="71" t="s">
        <v>108</v>
      </c>
      <c r="J16" s="71">
        <f t="shared" ref="J16:O16" si="14">B261</f>
        <v>292.14999999999998</v>
      </c>
      <c r="K16" s="71">
        <f t="shared" si="14"/>
        <v>-2.95</v>
      </c>
      <c r="L16" s="71">
        <f t="shared" si="14"/>
        <v>307.14999999999998</v>
      </c>
      <c r="M16" s="71">
        <f t="shared" si="14"/>
        <v>-2.17</v>
      </c>
      <c r="N16" s="71">
        <f t="shared" si="14"/>
        <v>310.38</v>
      </c>
      <c r="O16" s="71">
        <f t="shared" si="14"/>
        <v>-1.78</v>
      </c>
    </row>
    <row r="17" spans="1:15">
      <c r="A17" s="71">
        <v>15</v>
      </c>
      <c r="B17" s="71">
        <v>260.73</v>
      </c>
      <c r="C17" s="71">
        <v>-0.05</v>
      </c>
      <c r="D17" s="71">
        <v>270.14</v>
      </c>
      <c r="E17" s="71">
        <v>-0.05</v>
      </c>
      <c r="F17" s="71">
        <v>278.51</v>
      </c>
      <c r="G17" s="71">
        <v>-0.04</v>
      </c>
      <c r="I17" s="71" t="s">
        <v>109</v>
      </c>
      <c r="J17" s="71" t="str">
        <f t="shared" ref="J17:O17" si="15">B281</f>
        <v>-</v>
      </c>
      <c r="K17" s="71" t="str">
        <f t="shared" si="15"/>
        <v>-</v>
      </c>
      <c r="L17" s="71" t="str">
        <f t="shared" si="15"/>
        <v>-</v>
      </c>
      <c r="M17" s="71" t="str">
        <f t="shared" si="15"/>
        <v>-</v>
      </c>
      <c r="N17" s="71" t="str">
        <f t="shared" si="15"/>
        <v>-</v>
      </c>
      <c r="O17" s="71" t="str">
        <f t="shared" si="15"/>
        <v>-</v>
      </c>
    </row>
    <row r="18" spans="1:15">
      <c r="A18" s="71">
        <v>16</v>
      </c>
      <c r="B18" s="71">
        <v>219.6</v>
      </c>
      <c r="C18" s="71">
        <v>-6.25</v>
      </c>
      <c r="D18" s="71">
        <v>231.41</v>
      </c>
      <c r="E18" s="71">
        <v>-5.52</v>
      </c>
      <c r="F18" s="71">
        <v>236.44</v>
      </c>
      <c r="G18" s="71">
        <v>-5.41</v>
      </c>
      <c r="I18" s="71" t="s">
        <v>110</v>
      </c>
      <c r="J18" s="71" t="str">
        <f t="shared" ref="J18:O18" si="16">B301</f>
        <v>-</v>
      </c>
      <c r="K18" s="71" t="str">
        <f t="shared" si="16"/>
        <v>-</v>
      </c>
      <c r="L18" s="71" t="str">
        <f t="shared" si="16"/>
        <v>-</v>
      </c>
      <c r="M18" s="71" t="str">
        <f t="shared" si="16"/>
        <v>-</v>
      </c>
      <c r="N18" s="71" t="str">
        <f t="shared" si="16"/>
        <v>-</v>
      </c>
      <c r="O18" s="71" t="str">
        <f t="shared" si="16"/>
        <v>-</v>
      </c>
    </row>
    <row r="19" spans="1:15">
      <c r="A19" s="71">
        <v>17</v>
      </c>
      <c r="B19" s="71">
        <v>415.99</v>
      </c>
      <c r="C19" s="71">
        <v>-24.2</v>
      </c>
      <c r="D19" s="71">
        <v>417.06</v>
      </c>
      <c r="E19" s="71">
        <v>-24.4</v>
      </c>
      <c r="F19" s="71">
        <v>438.74</v>
      </c>
      <c r="G19" s="71">
        <v>-24.8</v>
      </c>
      <c r="I19" s="71" t="s">
        <v>52</v>
      </c>
      <c r="J19" s="71" t="str">
        <f t="shared" ref="J19:O19" si="17">B321</f>
        <v>-</v>
      </c>
      <c r="K19" s="71" t="str">
        <f t="shared" si="17"/>
        <v>-</v>
      </c>
      <c r="L19" s="71" t="str">
        <f t="shared" si="17"/>
        <v>-</v>
      </c>
      <c r="M19" s="71" t="str">
        <f t="shared" si="17"/>
        <v>-</v>
      </c>
      <c r="N19" s="71" t="str">
        <f t="shared" si="17"/>
        <v>-</v>
      </c>
      <c r="O19" s="71" t="str">
        <f t="shared" si="17"/>
        <v>-</v>
      </c>
    </row>
    <row r="20" spans="1:15">
      <c r="A20" s="71">
        <v>18</v>
      </c>
      <c r="B20" s="71" t="s">
        <v>92</v>
      </c>
      <c r="C20" s="71" t="s">
        <v>92</v>
      </c>
      <c r="D20" s="71" t="s">
        <v>92</v>
      </c>
      <c r="E20" s="71" t="s">
        <v>92</v>
      </c>
      <c r="F20" s="71" t="s">
        <v>92</v>
      </c>
      <c r="G20" s="71" t="s">
        <v>92</v>
      </c>
      <c r="I20" s="71" t="s">
        <v>111</v>
      </c>
      <c r="J20" s="71" t="str">
        <f t="shared" ref="J20:O20" si="18">B341</f>
        <v>-</v>
      </c>
      <c r="K20" s="71" t="str">
        <f t="shared" si="18"/>
        <v>-</v>
      </c>
      <c r="L20" s="71" t="str">
        <f t="shared" si="18"/>
        <v>-</v>
      </c>
      <c r="M20" s="71" t="str">
        <f t="shared" si="18"/>
        <v>-</v>
      </c>
      <c r="N20" s="71" t="str">
        <f t="shared" si="18"/>
        <v>-</v>
      </c>
      <c r="O20" s="71" t="str">
        <f t="shared" si="18"/>
        <v>-</v>
      </c>
    </row>
    <row r="21" spans="1:15">
      <c r="A21" s="65">
        <f>B1</f>
        <v>10</v>
      </c>
      <c r="B21" s="67">
        <f>LOOKUP($B$1,A3:A20,B3:B20)</f>
        <v>282.83</v>
      </c>
      <c r="C21" s="67">
        <f>LOOKUP($B$1,A3:A20,C3:C20)</f>
        <v>-2.97</v>
      </c>
      <c r="D21" s="67">
        <f>LOOKUP($B$1,A3:A20,D3:D20)</f>
        <v>289.14</v>
      </c>
      <c r="E21" s="67">
        <f>LOOKUP($B$1,A3:A20,E3:E20)</f>
        <v>-2.67</v>
      </c>
      <c r="F21" s="67">
        <f>LOOKUP($B$1,A3:A20,F3:F20)</f>
        <v>291.39999999999998</v>
      </c>
      <c r="G21" s="67">
        <f>LOOKUP($B$1,A3:A20,G3:G20)</f>
        <v>-2.48</v>
      </c>
      <c r="I21" s="71" t="s">
        <v>112</v>
      </c>
      <c r="J21" s="71" t="str">
        <f t="shared" ref="J21:O21" si="19">B361</f>
        <v>-</v>
      </c>
      <c r="K21" s="71" t="str">
        <f t="shared" si="19"/>
        <v>-</v>
      </c>
      <c r="L21" s="71" t="str">
        <f t="shared" si="19"/>
        <v>-</v>
      </c>
      <c r="M21" s="71" t="str">
        <f t="shared" si="19"/>
        <v>-</v>
      </c>
      <c r="N21" s="71" t="str">
        <f t="shared" si="19"/>
        <v>-</v>
      </c>
      <c r="O21" s="71" t="str">
        <f t="shared" si="19"/>
        <v>-</v>
      </c>
    </row>
    <row r="22" spans="1:15">
      <c r="A22" s="72" t="str">
        <f>I5</f>
        <v>Pink Wind</v>
      </c>
      <c r="B22" s="69">
        <v>1</v>
      </c>
      <c r="C22" s="69" t="s">
        <v>90</v>
      </c>
      <c r="D22" s="69">
        <v>2</v>
      </c>
      <c r="E22" s="69" t="s">
        <v>90</v>
      </c>
      <c r="F22" s="69">
        <v>3</v>
      </c>
      <c r="G22" s="69" t="s">
        <v>90</v>
      </c>
      <c r="I22" s="71" t="s">
        <v>113</v>
      </c>
      <c r="J22" s="71">
        <f t="shared" ref="J22:O22" si="20">B381</f>
        <v>242.97</v>
      </c>
      <c r="K22" s="71">
        <f t="shared" si="20"/>
        <v>-28.1</v>
      </c>
      <c r="L22" s="71">
        <f t="shared" si="20"/>
        <v>258.60000000000002</v>
      </c>
      <c r="M22" s="71">
        <f t="shared" si="20"/>
        <v>-27.3</v>
      </c>
      <c r="N22" s="71">
        <f t="shared" si="20"/>
        <v>265.8</v>
      </c>
      <c r="O22" s="71">
        <f t="shared" si="20"/>
        <v>-27.5</v>
      </c>
    </row>
    <row r="23" spans="1:15">
      <c r="A23" s="71">
        <v>1</v>
      </c>
      <c r="B23" s="71">
        <v>337.78</v>
      </c>
      <c r="C23" s="71">
        <v>-3.44</v>
      </c>
      <c r="D23" s="71">
        <v>352.1</v>
      </c>
      <c r="E23" s="71">
        <v>-3.36</v>
      </c>
      <c r="F23" s="71">
        <v>356.74</v>
      </c>
      <c r="G23" s="71">
        <v>-3.37</v>
      </c>
      <c r="I23" s="65" t="s">
        <v>114</v>
      </c>
      <c r="J23" s="65">
        <f t="shared" ref="J23:O23" si="21">IF(J2=FALSE,J3,IF(J2="-","-",J2))</f>
        <v>229.94</v>
      </c>
      <c r="K23" s="65">
        <f t="shared" si="21"/>
        <v>-11.9</v>
      </c>
      <c r="L23" s="65">
        <f t="shared" si="21"/>
        <v>239.4</v>
      </c>
      <c r="M23" s="65">
        <f t="shared" si="21"/>
        <v>-11.8</v>
      </c>
      <c r="N23" s="65">
        <f t="shared" si="21"/>
        <v>247.29</v>
      </c>
      <c r="O23" s="65">
        <f t="shared" si="21"/>
        <v>-11.5</v>
      </c>
    </row>
    <row r="24" spans="1:15" ht="12.75" customHeight="1">
      <c r="A24" s="71">
        <v>2</v>
      </c>
      <c r="B24" s="71">
        <v>211.21</v>
      </c>
      <c r="C24" s="71">
        <v>-2.76</v>
      </c>
      <c r="D24" s="71">
        <v>223.29</v>
      </c>
      <c r="E24" s="71">
        <v>-2.66</v>
      </c>
      <c r="F24" s="71">
        <v>231.31</v>
      </c>
      <c r="G24" s="71">
        <v>-2.66</v>
      </c>
    </row>
    <row r="25" spans="1:15" ht="12.75" customHeight="1">
      <c r="A25" s="71">
        <v>3</v>
      </c>
      <c r="B25" s="71">
        <v>364.78</v>
      </c>
      <c r="C25" s="71">
        <v>-2.1</v>
      </c>
      <c r="D25" s="71">
        <v>373.38</v>
      </c>
      <c r="E25" s="71">
        <v>-2.1</v>
      </c>
      <c r="F25" s="71">
        <v>377.85</v>
      </c>
      <c r="G25" s="71">
        <v>-2.1</v>
      </c>
      <c r="I25" s="73" t="s">
        <v>51</v>
      </c>
      <c r="J25" s="74" t="s">
        <v>98</v>
      </c>
    </row>
    <row r="26" spans="1:15" ht="12.75" customHeight="1">
      <c r="A26" s="71">
        <v>4</v>
      </c>
      <c r="B26" s="71">
        <v>323.5</v>
      </c>
      <c r="C26" s="71">
        <v>-8.82</v>
      </c>
      <c r="D26" s="71">
        <v>326.89</v>
      </c>
      <c r="E26" s="71">
        <v>-8.82</v>
      </c>
      <c r="F26" s="71">
        <v>330.04</v>
      </c>
      <c r="G26" s="71">
        <v>-8.82</v>
      </c>
      <c r="I26" s="73" t="s">
        <v>115</v>
      </c>
      <c r="J26" s="75">
        <v>10</v>
      </c>
    </row>
    <row r="27" spans="1:15">
      <c r="A27" s="71">
        <v>5</v>
      </c>
      <c r="B27" s="71">
        <v>360.23</v>
      </c>
      <c r="C27" s="71">
        <v>-6.13</v>
      </c>
      <c r="D27" s="71">
        <v>375.5</v>
      </c>
      <c r="E27" s="71">
        <v>-6.06</v>
      </c>
      <c r="F27" s="71">
        <v>377.44</v>
      </c>
      <c r="G27" s="71">
        <v>-6.03</v>
      </c>
      <c r="I27" s="76">
        <f>'Pin++'!R24</f>
        <v>0</v>
      </c>
      <c r="J27" s="76">
        <f>'Pin++'!S24</f>
        <v>0</v>
      </c>
    </row>
    <row r="28" spans="1:15">
      <c r="A28" s="71">
        <v>6</v>
      </c>
      <c r="B28" s="71">
        <v>230.46</v>
      </c>
      <c r="C28" s="71">
        <v>6.65</v>
      </c>
      <c r="D28" s="71">
        <v>238.15</v>
      </c>
      <c r="E28" s="71">
        <v>6.97</v>
      </c>
      <c r="F28" s="71">
        <v>240.1</v>
      </c>
      <c r="G28" s="71">
        <v>6.93</v>
      </c>
      <c r="I28" s="76">
        <f>'Pin++'!T24</f>
        <v>0</v>
      </c>
      <c r="J28" s="76">
        <f>'Pin++'!U24</f>
        <v>0</v>
      </c>
    </row>
    <row r="29" spans="1:15">
      <c r="A29" s="71">
        <v>7</v>
      </c>
      <c r="B29" s="71" t="s">
        <v>92</v>
      </c>
      <c r="C29" s="71" t="s">
        <v>92</v>
      </c>
      <c r="D29" s="71" t="s">
        <v>92</v>
      </c>
      <c r="E29" s="71" t="s">
        <v>92</v>
      </c>
      <c r="F29" s="71" t="s">
        <v>92</v>
      </c>
      <c r="G29" s="71" t="s">
        <v>92</v>
      </c>
      <c r="I29" s="76">
        <f>'Pin++'!V24</f>
        <v>0</v>
      </c>
      <c r="J29" s="76">
        <f>'Pin++'!W24</f>
        <v>0</v>
      </c>
    </row>
    <row r="30" spans="1:15">
      <c r="A30" s="71">
        <v>8</v>
      </c>
      <c r="B30" s="71">
        <v>386.9</v>
      </c>
      <c r="C30" s="71">
        <v>-2.67</v>
      </c>
      <c r="D30" s="71">
        <v>395.9</v>
      </c>
      <c r="E30" s="71">
        <v>-2.62</v>
      </c>
      <c r="F30" s="71">
        <v>399.3</v>
      </c>
      <c r="G30" s="71">
        <v>-2.38</v>
      </c>
    </row>
    <row r="31" spans="1:15">
      <c r="A31" s="71">
        <v>9</v>
      </c>
      <c r="B31" s="71" t="s">
        <v>92</v>
      </c>
      <c r="C31" s="71" t="s">
        <v>92</v>
      </c>
      <c r="D31" s="71" t="s">
        <v>92</v>
      </c>
      <c r="E31" s="71" t="s">
        <v>92</v>
      </c>
      <c r="F31" s="71" t="s">
        <v>92</v>
      </c>
      <c r="G31" s="71" t="s">
        <v>92</v>
      </c>
      <c r="I31" s="264" t="s">
        <v>116</v>
      </c>
      <c r="J31" s="264"/>
      <c r="K31" s="264"/>
      <c r="L31" s="264"/>
      <c r="M31" s="264"/>
    </row>
    <row r="32" spans="1:15" ht="12.75" customHeight="1">
      <c r="A32" s="71">
        <v>10</v>
      </c>
      <c r="B32" s="71">
        <v>379.19</v>
      </c>
      <c r="C32" s="71">
        <v>-1.61</v>
      </c>
      <c r="D32" s="71">
        <v>389.45</v>
      </c>
      <c r="E32" s="71">
        <v>-1.61</v>
      </c>
      <c r="F32" s="71">
        <v>395.31</v>
      </c>
      <c r="G32" s="71">
        <v>-1.47</v>
      </c>
      <c r="I32" s="264"/>
      <c r="J32" s="264"/>
      <c r="K32" s="264"/>
      <c r="L32" s="264"/>
      <c r="M32" s="264"/>
    </row>
    <row r="33" spans="1:13" ht="12.75" customHeight="1">
      <c r="A33" s="71">
        <v>11</v>
      </c>
      <c r="B33" s="71">
        <v>378.6</v>
      </c>
      <c r="C33" s="71">
        <v>-1.85</v>
      </c>
      <c r="D33" s="71">
        <v>387.95</v>
      </c>
      <c r="E33" s="71">
        <v>-1.81</v>
      </c>
      <c r="F33" s="71">
        <v>394.71</v>
      </c>
      <c r="G33" s="71">
        <v>-1.84</v>
      </c>
      <c r="I33" s="264"/>
      <c r="J33" s="264"/>
      <c r="K33" s="264"/>
      <c r="L33" s="264"/>
      <c r="M33" s="264"/>
    </row>
    <row r="34" spans="1:13" ht="12.75" customHeight="1">
      <c r="A34" s="71">
        <v>12</v>
      </c>
      <c r="B34" s="71">
        <v>235.27</v>
      </c>
      <c r="C34" s="71">
        <v>-1.29</v>
      </c>
      <c r="D34" s="71">
        <v>240.98</v>
      </c>
      <c r="E34" s="71">
        <v>-1.36</v>
      </c>
      <c r="F34" s="71">
        <v>244.06</v>
      </c>
      <c r="G34" s="71">
        <v>-1.39</v>
      </c>
      <c r="I34" s="264"/>
      <c r="J34" s="264"/>
      <c r="K34" s="264"/>
      <c r="L34" s="264"/>
      <c r="M34" s="264"/>
    </row>
    <row r="35" spans="1:13">
      <c r="A35" s="71">
        <v>13</v>
      </c>
      <c r="B35" s="71" t="s">
        <v>92</v>
      </c>
      <c r="C35" s="71" t="s">
        <v>92</v>
      </c>
      <c r="D35" s="71" t="s">
        <v>92</v>
      </c>
      <c r="E35" s="71" t="s">
        <v>92</v>
      </c>
      <c r="F35" s="71" t="s">
        <v>92</v>
      </c>
      <c r="G35" s="71" t="s">
        <v>92</v>
      </c>
      <c r="I35" s="264"/>
      <c r="J35" s="264"/>
      <c r="K35" s="264"/>
      <c r="L35" s="264"/>
      <c r="M35" s="264"/>
    </row>
    <row r="36" spans="1:13">
      <c r="A36" s="71">
        <v>14</v>
      </c>
      <c r="B36" s="71" t="s">
        <v>92</v>
      </c>
      <c r="C36" s="71" t="s">
        <v>92</v>
      </c>
      <c r="D36" s="71" t="s">
        <v>92</v>
      </c>
      <c r="E36" s="71" t="s">
        <v>92</v>
      </c>
      <c r="F36" s="71" t="s">
        <v>92</v>
      </c>
      <c r="G36" s="71" t="s">
        <v>92</v>
      </c>
    </row>
    <row r="37" spans="1:13">
      <c r="A37" s="71">
        <v>15</v>
      </c>
      <c r="B37" s="71">
        <v>362.52</v>
      </c>
      <c r="C37" s="71">
        <v>-9.2200000000000006</v>
      </c>
      <c r="D37" s="71">
        <v>371.11</v>
      </c>
      <c r="E37" s="71">
        <v>-9.2200000000000006</v>
      </c>
      <c r="F37" s="71">
        <v>375.1</v>
      </c>
      <c r="G37" s="71">
        <v>-9.2200000000000006</v>
      </c>
    </row>
    <row r="38" spans="1:13">
      <c r="A38" s="71">
        <v>16</v>
      </c>
      <c r="B38" s="71">
        <v>227.81</v>
      </c>
      <c r="C38" s="71">
        <v>15.6</v>
      </c>
      <c r="D38" s="71">
        <v>236.86</v>
      </c>
      <c r="E38" s="71">
        <v>15.6</v>
      </c>
      <c r="F38" s="71">
        <v>237.14</v>
      </c>
      <c r="G38" s="71">
        <v>15.6</v>
      </c>
    </row>
    <row r="39" spans="1:13">
      <c r="A39" s="71">
        <v>17</v>
      </c>
      <c r="B39" s="71" t="s">
        <v>92</v>
      </c>
      <c r="C39" s="71" t="s">
        <v>92</v>
      </c>
      <c r="D39" s="71" t="s">
        <v>92</v>
      </c>
      <c r="E39" s="71" t="s">
        <v>92</v>
      </c>
      <c r="F39" s="71" t="s">
        <v>92</v>
      </c>
      <c r="G39" s="71" t="s">
        <v>92</v>
      </c>
    </row>
    <row r="40" spans="1:13">
      <c r="A40" s="71">
        <v>18</v>
      </c>
      <c r="B40" s="71" t="s">
        <v>92</v>
      </c>
      <c r="C40" s="71" t="s">
        <v>92</v>
      </c>
      <c r="D40" s="71" t="s">
        <v>92</v>
      </c>
      <c r="E40" s="71" t="s">
        <v>92</v>
      </c>
      <c r="F40" s="71" t="s">
        <v>92</v>
      </c>
      <c r="G40" s="71" t="s">
        <v>92</v>
      </c>
    </row>
    <row r="41" spans="1:13">
      <c r="A41" s="65">
        <f>$B$1</f>
        <v>10</v>
      </c>
      <c r="B41" s="67">
        <f>LOOKUP($B$1,A23:A40,B23:B40)</f>
        <v>379.19</v>
      </c>
      <c r="C41" s="67">
        <f>LOOKUP($B$1,A23:A40,C23:C40)</f>
        <v>-1.61</v>
      </c>
      <c r="D41" s="67">
        <f>LOOKUP($B$1,A23:A40,D23:D40)</f>
        <v>389.45</v>
      </c>
      <c r="E41" s="67">
        <f>LOOKUP($B$1,A23:A40,E23:E40)</f>
        <v>-1.61</v>
      </c>
      <c r="F41" s="67">
        <f>LOOKUP($B$1,A23:A40,F23:F40)</f>
        <v>395.31</v>
      </c>
      <c r="G41" s="67">
        <f>LOOKUP($B$1,A23:A40,G23:G40)</f>
        <v>-1.47</v>
      </c>
    </row>
    <row r="42" spans="1:13">
      <c r="A42" s="77" t="str">
        <f>I6</f>
        <v>West Wiz</v>
      </c>
      <c r="B42" s="69">
        <v>1</v>
      </c>
      <c r="C42" s="69" t="s">
        <v>90</v>
      </c>
      <c r="D42" s="69">
        <v>2</v>
      </c>
      <c r="E42" s="69" t="s">
        <v>90</v>
      </c>
      <c r="F42" s="69">
        <v>3</v>
      </c>
      <c r="G42" s="69" t="s">
        <v>90</v>
      </c>
    </row>
    <row r="43" spans="1:13">
      <c r="A43" s="71">
        <v>1</v>
      </c>
      <c r="B43" s="71">
        <v>368.5</v>
      </c>
      <c r="C43" s="71">
        <v>-7.98</v>
      </c>
      <c r="D43" s="71">
        <v>371.48</v>
      </c>
      <c r="E43" s="71">
        <v>-7.87</v>
      </c>
      <c r="F43" s="71">
        <v>380.6</v>
      </c>
      <c r="G43" s="71">
        <v>-8</v>
      </c>
    </row>
    <row r="44" spans="1:13">
      <c r="A44" s="71">
        <v>2</v>
      </c>
      <c r="B44" s="71">
        <v>207.44</v>
      </c>
      <c r="C44" s="71">
        <v>-3.01</v>
      </c>
      <c r="D44" s="71">
        <v>211.23</v>
      </c>
      <c r="E44" s="71">
        <v>-2.92</v>
      </c>
      <c r="F44" s="71">
        <v>220.86</v>
      </c>
      <c r="G44" s="71">
        <v>-2.69</v>
      </c>
    </row>
    <row r="45" spans="1:13">
      <c r="A45" s="71">
        <v>3</v>
      </c>
      <c r="B45" s="71" t="s">
        <v>92</v>
      </c>
      <c r="C45" s="71" t="s">
        <v>92</v>
      </c>
      <c r="D45" s="71" t="s">
        <v>92</v>
      </c>
      <c r="E45" s="71" t="s">
        <v>92</v>
      </c>
      <c r="F45" s="71" t="s">
        <v>92</v>
      </c>
      <c r="G45" s="71" t="s">
        <v>92</v>
      </c>
    </row>
    <row r="46" spans="1:13">
      <c r="A46" s="71">
        <v>4</v>
      </c>
      <c r="B46" s="71" t="s">
        <v>92</v>
      </c>
      <c r="C46" s="71" t="s">
        <v>92</v>
      </c>
      <c r="D46" s="71" t="s">
        <v>92</v>
      </c>
      <c r="E46" s="71" t="s">
        <v>92</v>
      </c>
      <c r="F46" s="71" t="s">
        <v>92</v>
      </c>
      <c r="G46" s="71" t="s">
        <v>92</v>
      </c>
    </row>
    <row r="47" spans="1:13">
      <c r="A47" s="71">
        <v>5</v>
      </c>
      <c r="B47" s="71">
        <v>414.6</v>
      </c>
      <c r="C47" s="71">
        <v>-15.1</v>
      </c>
      <c r="D47" s="71">
        <v>422.46</v>
      </c>
      <c r="E47" s="71">
        <v>-15.3</v>
      </c>
      <c r="F47" s="71">
        <v>428.91</v>
      </c>
      <c r="G47" s="71">
        <v>-15.5</v>
      </c>
    </row>
    <row r="48" spans="1:13">
      <c r="A48" s="71">
        <v>6</v>
      </c>
      <c r="B48" s="71">
        <v>212.44</v>
      </c>
      <c r="C48" s="71">
        <v>-5</v>
      </c>
      <c r="D48" s="71">
        <v>215.47</v>
      </c>
      <c r="E48" s="71">
        <v>-4.93</v>
      </c>
      <c r="F48" s="71">
        <v>242.43</v>
      </c>
      <c r="G48" s="71">
        <v>-4.71</v>
      </c>
    </row>
    <row r="49" spans="1:7">
      <c r="A49" s="71">
        <v>7</v>
      </c>
      <c r="B49" s="71" t="s">
        <v>92</v>
      </c>
      <c r="C49" s="71" t="s">
        <v>92</v>
      </c>
      <c r="D49" s="71" t="s">
        <v>92</v>
      </c>
      <c r="E49" s="71" t="s">
        <v>92</v>
      </c>
      <c r="F49" s="71" t="s">
        <v>92</v>
      </c>
      <c r="G49" s="71" t="s">
        <v>92</v>
      </c>
    </row>
    <row r="50" spans="1:7">
      <c r="A50" s="71">
        <v>8</v>
      </c>
      <c r="B50" s="71">
        <v>360.3</v>
      </c>
      <c r="C50" s="71">
        <v>-3.56</v>
      </c>
      <c r="D50" s="71">
        <v>381.1</v>
      </c>
      <c r="E50" s="71">
        <v>-3.91</v>
      </c>
      <c r="F50" s="71">
        <v>390.25</v>
      </c>
      <c r="G50" s="71">
        <v>-4.12</v>
      </c>
    </row>
    <row r="51" spans="1:7">
      <c r="A51" s="71">
        <v>9</v>
      </c>
      <c r="B51" s="71" t="s">
        <v>92</v>
      </c>
      <c r="C51" s="71" t="s">
        <v>92</v>
      </c>
      <c r="D51" s="71" t="s">
        <v>92</v>
      </c>
      <c r="E51" s="71" t="s">
        <v>92</v>
      </c>
      <c r="F51" s="71" t="s">
        <v>92</v>
      </c>
      <c r="G51" s="71" t="s">
        <v>92</v>
      </c>
    </row>
    <row r="52" spans="1:7">
      <c r="A52" s="71">
        <v>10</v>
      </c>
      <c r="B52" s="71">
        <v>360.5</v>
      </c>
      <c r="C52" s="71">
        <v>-7.01</v>
      </c>
      <c r="D52" s="71">
        <v>374.04</v>
      </c>
      <c r="E52" s="71">
        <v>-7.09</v>
      </c>
      <c r="F52" s="71">
        <v>379.34</v>
      </c>
      <c r="G52" s="71">
        <v>-6.78</v>
      </c>
    </row>
    <row r="53" spans="1:7">
      <c r="A53" s="71">
        <v>11</v>
      </c>
      <c r="B53" s="71">
        <v>319.95999999999998</v>
      </c>
      <c r="C53" s="71">
        <v>-13.1</v>
      </c>
      <c r="D53" s="71">
        <v>323.54000000000002</v>
      </c>
      <c r="E53" s="71">
        <v>-12.8</v>
      </c>
      <c r="F53" s="71">
        <v>344.95</v>
      </c>
      <c r="G53" s="71">
        <v>-12.8</v>
      </c>
    </row>
    <row r="54" spans="1:7">
      <c r="A54" s="71">
        <v>12</v>
      </c>
      <c r="B54" s="71" t="s">
        <v>92</v>
      </c>
      <c r="C54" s="71" t="s">
        <v>92</v>
      </c>
      <c r="D54" s="71" t="s">
        <v>92</v>
      </c>
      <c r="E54" s="71" t="s">
        <v>92</v>
      </c>
      <c r="F54" s="71" t="s">
        <v>92</v>
      </c>
      <c r="G54" s="71" t="s">
        <v>92</v>
      </c>
    </row>
    <row r="55" spans="1:7">
      <c r="A55" s="71">
        <v>13</v>
      </c>
      <c r="B55" s="71" t="s">
        <v>92</v>
      </c>
      <c r="C55" s="71" t="s">
        <v>92</v>
      </c>
      <c r="D55" s="71" t="s">
        <v>92</v>
      </c>
      <c r="E55" s="71" t="s">
        <v>92</v>
      </c>
      <c r="F55" s="71" t="s">
        <v>92</v>
      </c>
      <c r="G55" s="71" t="s">
        <v>92</v>
      </c>
    </row>
    <row r="56" spans="1:7">
      <c r="A56" s="71">
        <v>14</v>
      </c>
      <c r="B56" s="71">
        <v>199.41</v>
      </c>
      <c r="C56" s="71">
        <v>14.4</v>
      </c>
      <c r="D56" s="71">
        <v>199.55</v>
      </c>
      <c r="E56" s="71">
        <v>14.6</v>
      </c>
      <c r="F56" s="71">
        <v>205.69</v>
      </c>
      <c r="G56" s="71">
        <v>14.5</v>
      </c>
    </row>
    <row r="57" spans="1:7">
      <c r="A57" s="71">
        <v>15</v>
      </c>
      <c r="B57" s="71" t="s">
        <v>92</v>
      </c>
      <c r="C57" s="71" t="s">
        <v>92</v>
      </c>
      <c r="D57" s="71" t="s">
        <v>92</v>
      </c>
      <c r="E57" s="71" t="s">
        <v>92</v>
      </c>
      <c r="F57" s="71" t="s">
        <v>92</v>
      </c>
      <c r="G57" s="71" t="s">
        <v>92</v>
      </c>
    </row>
    <row r="58" spans="1:7">
      <c r="A58" s="71">
        <v>16</v>
      </c>
      <c r="B58" s="71">
        <v>209</v>
      </c>
      <c r="C58" s="71">
        <v>-8.36</v>
      </c>
      <c r="D58" s="71">
        <v>218.86</v>
      </c>
      <c r="E58" s="71">
        <v>-8.4700000000000006</v>
      </c>
      <c r="F58" s="71">
        <v>234.53</v>
      </c>
      <c r="G58" s="71">
        <v>-8.5500000000000007</v>
      </c>
    </row>
    <row r="59" spans="1:7">
      <c r="A59" s="71">
        <v>17</v>
      </c>
      <c r="B59" s="71" t="s">
        <v>92</v>
      </c>
      <c r="C59" s="71" t="s">
        <v>92</v>
      </c>
      <c r="D59" s="71" t="s">
        <v>92</v>
      </c>
      <c r="E59" s="71" t="s">
        <v>92</v>
      </c>
      <c r="F59" s="71" t="s">
        <v>92</v>
      </c>
      <c r="G59" s="71" t="s">
        <v>92</v>
      </c>
    </row>
    <row r="60" spans="1:7">
      <c r="A60" s="71">
        <v>18</v>
      </c>
      <c r="B60" s="71">
        <v>331.6</v>
      </c>
      <c r="C60" s="71">
        <v>-4.93</v>
      </c>
      <c r="D60" s="71">
        <v>340.9</v>
      </c>
      <c r="E60" s="71">
        <v>-5</v>
      </c>
      <c r="F60" s="71">
        <v>356.24</v>
      </c>
      <c r="G60" s="71">
        <v>-4.9000000000000004</v>
      </c>
    </row>
    <row r="61" spans="1:7">
      <c r="A61" s="65">
        <f>$B$1</f>
        <v>10</v>
      </c>
      <c r="B61" s="67">
        <f>LOOKUP($B$1,A43:A60,B43:B60)</f>
        <v>360.5</v>
      </c>
      <c r="C61" s="67">
        <f>LOOKUP($B$1,A43:A60,C43:C60)</f>
        <v>-7.01</v>
      </c>
      <c r="D61" s="67">
        <f>LOOKUP($B$1,A43:A60,D43:D60)</f>
        <v>374.04</v>
      </c>
      <c r="E61" s="67">
        <f>LOOKUP($B$1,A43:A60,E43:E60)</f>
        <v>-7.09</v>
      </c>
      <c r="F61" s="67">
        <f>LOOKUP($B$1,A43:A60,F43:F60)</f>
        <v>379.34</v>
      </c>
      <c r="G61" s="67">
        <f>LOOKUP($B$1,A43:A60,G43:G60)</f>
        <v>-6.78</v>
      </c>
    </row>
    <row r="62" spans="1:7">
      <c r="A62" s="78" t="str">
        <f>I7</f>
        <v>Ice Spa</v>
      </c>
      <c r="B62" s="69">
        <v>1</v>
      </c>
      <c r="C62" s="69" t="s">
        <v>90</v>
      </c>
      <c r="D62" s="69">
        <v>2</v>
      </c>
      <c r="E62" s="69" t="s">
        <v>90</v>
      </c>
      <c r="F62" s="69">
        <v>3</v>
      </c>
      <c r="G62" s="69" t="s">
        <v>90</v>
      </c>
    </row>
    <row r="63" spans="1:7">
      <c r="A63" s="71">
        <v>1</v>
      </c>
      <c r="B63" s="71">
        <v>377.6</v>
      </c>
      <c r="C63" s="71">
        <v>-27.2</v>
      </c>
      <c r="D63" s="71">
        <v>381.43</v>
      </c>
      <c r="E63" s="71">
        <v>-27.4</v>
      </c>
      <c r="F63" s="71" t="s">
        <v>92</v>
      </c>
      <c r="G63" s="71" t="s">
        <v>92</v>
      </c>
    </row>
    <row r="64" spans="1:7">
      <c r="A64" s="71">
        <v>2</v>
      </c>
      <c r="B64" s="71">
        <v>231.68</v>
      </c>
      <c r="C64" s="71">
        <v>-7.53</v>
      </c>
      <c r="D64" s="71">
        <v>236.1</v>
      </c>
      <c r="E64" s="71">
        <v>-7.54</v>
      </c>
      <c r="F64" s="71">
        <v>239.41</v>
      </c>
      <c r="G64" s="71">
        <v>-7.55</v>
      </c>
    </row>
    <row r="65" spans="1:7">
      <c r="A65" s="71">
        <v>3</v>
      </c>
      <c r="B65" s="71" t="s">
        <v>92</v>
      </c>
      <c r="C65" s="71" t="s">
        <v>92</v>
      </c>
      <c r="D65" s="71" t="s">
        <v>92</v>
      </c>
      <c r="E65" s="71" t="s">
        <v>92</v>
      </c>
      <c r="F65" s="71" t="s">
        <v>92</v>
      </c>
      <c r="G65" s="71" t="s">
        <v>92</v>
      </c>
    </row>
    <row r="66" spans="1:7">
      <c r="A66" s="71">
        <v>4</v>
      </c>
      <c r="B66" s="71">
        <v>344.51</v>
      </c>
      <c r="C66" s="71">
        <v>-20.6</v>
      </c>
      <c r="D66" s="71">
        <v>351.9</v>
      </c>
      <c r="E66" s="71">
        <v>-20.7</v>
      </c>
      <c r="F66" s="71">
        <v>353.45</v>
      </c>
      <c r="G66" s="71">
        <v>-20.399999999999999</v>
      </c>
    </row>
    <row r="67" spans="1:7">
      <c r="A67" s="71">
        <v>5</v>
      </c>
      <c r="B67" s="71">
        <v>275</v>
      </c>
      <c r="C67" s="71">
        <v>-17.5</v>
      </c>
      <c r="D67" s="71">
        <v>282.42</v>
      </c>
      <c r="E67" s="71">
        <v>-17.5</v>
      </c>
      <c r="F67" s="71">
        <v>284.11</v>
      </c>
      <c r="G67" s="71">
        <v>-17.5</v>
      </c>
    </row>
    <row r="68" spans="1:7">
      <c r="A68" s="71">
        <v>6</v>
      </c>
      <c r="B68" s="71">
        <v>233.47</v>
      </c>
      <c r="C68" s="71">
        <v>-12.3</v>
      </c>
      <c r="D68" s="71">
        <v>238.91</v>
      </c>
      <c r="E68" s="71">
        <v>-11.9</v>
      </c>
      <c r="F68" s="71">
        <v>239.62</v>
      </c>
      <c r="G68" s="71">
        <v>-12.1</v>
      </c>
    </row>
    <row r="69" spans="1:7">
      <c r="A69" s="71">
        <v>7</v>
      </c>
      <c r="B69" s="71">
        <v>369.76</v>
      </c>
      <c r="C69" s="71">
        <v>0.64</v>
      </c>
      <c r="D69" s="71">
        <v>378.87</v>
      </c>
      <c r="E69" s="71">
        <v>0.93</v>
      </c>
      <c r="F69" s="71">
        <v>384.3</v>
      </c>
      <c r="G69" s="71">
        <v>0.84</v>
      </c>
    </row>
    <row r="70" spans="1:7">
      <c r="A70" s="71">
        <v>8</v>
      </c>
      <c r="B70" s="71">
        <v>371.67</v>
      </c>
      <c r="C70" s="71">
        <v>-71.3</v>
      </c>
      <c r="D70" s="71">
        <v>379.2</v>
      </c>
      <c r="E70" s="71">
        <v>-71.3</v>
      </c>
      <c r="F70" s="71">
        <v>381.33</v>
      </c>
      <c r="G70" s="71">
        <v>-71.099999999999994</v>
      </c>
    </row>
    <row r="71" spans="1:7">
      <c r="A71" s="71">
        <v>9</v>
      </c>
      <c r="B71" s="71">
        <v>263.86</v>
      </c>
      <c r="C71" s="71">
        <v>-9.66</v>
      </c>
      <c r="D71" s="71">
        <v>268.17</v>
      </c>
      <c r="E71" s="71">
        <v>-9.76</v>
      </c>
      <c r="F71" s="71">
        <v>269.7</v>
      </c>
      <c r="G71" s="71">
        <v>-9.74</v>
      </c>
    </row>
    <row r="72" spans="1:7">
      <c r="A72" s="71">
        <v>10</v>
      </c>
      <c r="B72" s="71">
        <v>232.03</v>
      </c>
      <c r="C72" s="71">
        <v>-19.399999999999999</v>
      </c>
      <c r="D72" s="71">
        <v>233.84</v>
      </c>
      <c r="E72" s="71">
        <v>-19.399999999999999</v>
      </c>
      <c r="F72" s="71" t="s">
        <v>92</v>
      </c>
      <c r="G72" s="71" t="s">
        <v>92</v>
      </c>
    </row>
    <row r="73" spans="1:7">
      <c r="A73" s="71">
        <v>11</v>
      </c>
      <c r="B73" s="71">
        <v>303.43</v>
      </c>
      <c r="C73" s="71">
        <v>-20.399999999999999</v>
      </c>
      <c r="D73" s="71">
        <v>310.14</v>
      </c>
      <c r="E73" s="71">
        <v>-20.100000000000001</v>
      </c>
      <c r="F73" s="71" t="s">
        <v>92</v>
      </c>
      <c r="G73" s="71" t="s">
        <v>92</v>
      </c>
    </row>
    <row r="74" spans="1:7">
      <c r="A74" s="71">
        <v>12</v>
      </c>
      <c r="B74" s="71" t="s">
        <v>92</v>
      </c>
      <c r="C74" s="71" t="s">
        <v>92</v>
      </c>
      <c r="D74" s="71" t="s">
        <v>92</v>
      </c>
      <c r="E74" s="71" t="s">
        <v>92</v>
      </c>
      <c r="F74" s="71" t="s">
        <v>92</v>
      </c>
      <c r="G74" s="71" t="s">
        <v>92</v>
      </c>
    </row>
    <row r="75" spans="1:7">
      <c r="A75" s="71">
        <v>13</v>
      </c>
      <c r="B75" s="71">
        <v>385.36</v>
      </c>
      <c r="C75" s="71">
        <v>-42.7</v>
      </c>
      <c r="D75" s="71">
        <v>389.75</v>
      </c>
      <c r="E75" s="71">
        <v>-42.4</v>
      </c>
      <c r="F75" s="71" t="s">
        <v>92</v>
      </c>
      <c r="G75" s="71" t="s">
        <v>92</v>
      </c>
    </row>
    <row r="76" spans="1:7">
      <c r="A76" s="71">
        <v>14</v>
      </c>
      <c r="B76" s="71">
        <v>230.01</v>
      </c>
      <c r="C76" s="71">
        <v>-13.8</v>
      </c>
      <c r="D76" s="71">
        <v>237.76</v>
      </c>
      <c r="E76" s="71">
        <v>-13.8</v>
      </c>
      <c r="F76" s="71">
        <v>241.21</v>
      </c>
      <c r="G76" s="71">
        <v>-13.9</v>
      </c>
    </row>
    <row r="77" spans="1:7">
      <c r="A77" s="71">
        <v>15</v>
      </c>
      <c r="B77" s="71">
        <v>233.16</v>
      </c>
      <c r="C77" s="71">
        <v>-2.5099999999999998</v>
      </c>
      <c r="D77" s="71">
        <v>236.88</v>
      </c>
      <c r="E77" s="71">
        <v>-2.8</v>
      </c>
      <c r="F77" s="71">
        <v>238.65</v>
      </c>
      <c r="G77" s="71">
        <v>-2.57</v>
      </c>
    </row>
    <row r="78" spans="1:7">
      <c r="A78" s="71">
        <v>16</v>
      </c>
      <c r="B78" s="71">
        <v>349.47</v>
      </c>
      <c r="C78" s="71">
        <v>-13.8</v>
      </c>
      <c r="D78" s="71">
        <v>352.23</v>
      </c>
      <c r="E78" s="71">
        <v>-14.1</v>
      </c>
      <c r="F78" s="71">
        <v>354.03</v>
      </c>
      <c r="G78" s="71">
        <v>-13.8</v>
      </c>
    </row>
    <row r="79" spans="1:7">
      <c r="A79" s="71">
        <v>17</v>
      </c>
      <c r="B79" s="71">
        <v>317.83</v>
      </c>
      <c r="C79" s="71">
        <v>-43.7</v>
      </c>
      <c r="D79" s="71">
        <v>326.45</v>
      </c>
      <c r="E79" s="71">
        <v>-43.6</v>
      </c>
      <c r="F79" s="71" t="s">
        <v>92</v>
      </c>
      <c r="G79" s="71" t="s">
        <v>92</v>
      </c>
    </row>
    <row r="80" spans="1:7">
      <c r="A80" s="71">
        <v>18</v>
      </c>
      <c r="B80" s="71" t="s">
        <v>92</v>
      </c>
      <c r="C80" s="71" t="s">
        <v>92</v>
      </c>
      <c r="D80" s="71" t="s">
        <v>92</v>
      </c>
      <c r="E80" s="71" t="s">
        <v>92</v>
      </c>
      <c r="F80" s="71" t="s">
        <v>92</v>
      </c>
      <c r="G80" s="71" t="s">
        <v>92</v>
      </c>
    </row>
    <row r="81" spans="1:7">
      <c r="A81" s="65">
        <f>$B$1</f>
        <v>10</v>
      </c>
      <c r="B81" s="67">
        <f>LOOKUP($B$1,A63:A80,B63:B80)</f>
        <v>232.03</v>
      </c>
      <c r="C81" s="67">
        <f>LOOKUP($B$1,A63:A80,C63:C80)</f>
        <v>-19.399999999999999</v>
      </c>
      <c r="D81" s="67">
        <f>LOOKUP($B$1,A63:A80,D63:D80)</f>
        <v>233.84</v>
      </c>
      <c r="E81" s="67">
        <f>LOOKUP($B$1,A63:A80,E63:E80)</f>
        <v>-19.399999999999999</v>
      </c>
      <c r="F81" s="67" t="str">
        <f>LOOKUP($B$1,A63:A80,F63:F80)</f>
        <v>-</v>
      </c>
      <c r="G81" s="67" t="str">
        <f>LOOKUP($B$1,A63:A80,G63:G80)</f>
        <v>-</v>
      </c>
    </row>
    <row r="82" spans="1:7">
      <c r="A82" s="79" t="str">
        <f>I8</f>
        <v>Lost Seaway</v>
      </c>
      <c r="B82" s="69">
        <v>1</v>
      </c>
      <c r="C82" s="69" t="s">
        <v>90</v>
      </c>
      <c r="D82" s="69">
        <v>2</v>
      </c>
      <c r="E82" s="69" t="s">
        <v>90</v>
      </c>
      <c r="F82" s="69">
        <v>3</v>
      </c>
      <c r="G82" s="69" t="s">
        <v>90</v>
      </c>
    </row>
    <row r="83" spans="1:7">
      <c r="A83" s="71">
        <v>1</v>
      </c>
      <c r="B83" s="71">
        <v>359.98</v>
      </c>
      <c r="C83" s="71">
        <v>-0.71</v>
      </c>
      <c r="D83" s="71">
        <v>360.6</v>
      </c>
      <c r="E83" s="71">
        <v>-0.64</v>
      </c>
      <c r="F83" s="71">
        <v>369</v>
      </c>
      <c r="G83" s="71">
        <v>-0.43</v>
      </c>
    </row>
    <row r="84" spans="1:7">
      <c r="A84" s="71">
        <v>2</v>
      </c>
      <c r="B84" s="71">
        <v>229.52</v>
      </c>
      <c r="C84" s="71">
        <v>0.23</v>
      </c>
      <c r="D84" s="71">
        <v>234.19</v>
      </c>
      <c r="E84" s="71">
        <v>0.38</v>
      </c>
      <c r="F84" s="71">
        <v>256.33999999999997</v>
      </c>
      <c r="G84" s="71">
        <v>0.47</v>
      </c>
    </row>
    <row r="85" spans="1:7">
      <c r="A85" s="71">
        <v>3</v>
      </c>
      <c r="B85" s="71" t="s">
        <v>92</v>
      </c>
      <c r="C85" s="71" t="s">
        <v>92</v>
      </c>
      <c r="D85" s="71" t="s">
        <v>92</v>
      </c>
      <c r="E85" s="71" t="s">
        <v>92</v>
      </c>
      <c r="F85" s="71" t="s">
        <v>92</v>
      </c>
      <c r="G85" s="71" t="s">
        <v>92</v>
      </c>
    </row>
    <row r="86" spans="1:7">
      <c r="A86" s="71">
        <v>4</v>
      </c>
      <c r="B86" s="71">
        <v>403.08</v>
      </c>
      <c r="C86" s="71">
        <v>-11.5</v>
      </c>
      <c r="D86" s="71">
        <v>404.11</v>
      </c>
      <c r="E86" s="71">
        <v>-11.4</v>
      </c>
      <c r="F86" s="71">
        <v>410.9</v>
      </c>
      <c r="G86" s="71">
        <v>1.85</v>
      </c>
    </row>
    <row r="87" spans="1:7">
      <c r="A87" s="71">
        <v>5</v>
      </c>
      <c r="B87" s="71">
        <v>323.77</v>
      </c>
      <c r="C87" s="71">
        <v>-7.07</v>
      </c>
      <c r="D87" s="71">
        <v>332.99</v>
      </c>
      <c r="E87" s="71">
        <v>-7</v>
      </c>
      <c r="F87" s="71">
        <v>339.3</v>
      </c>
      <c r="G87" s="71">
        <v>-6.79</v>
      </c>
    </row>
    <row r="88" spans="1:7">
      <c r="A88" s="71">
        <v>6</v>
      </c>
      <c r="B88" s="71" t="s">
        <v>92</v>
      </c>
      <c r="C88" s="71" t="s">
        <v>92</v>
      </c>
      <c r="D88" s="71" t="s">
        <v>92</v>
      </c>
      <c r="E88" s="71" t="s">
        <v>92</v>
      </c>
      <c r="F88" s="71" t="s">
        <v>92</v>
      </c>
      <c r="G88" s="71" t="s">
        <v>92</v>
      </c>
    </row>
    <row r="89" spans="1:7">
      <c r="A89" s="71">
        <v>7</v>
      </c>
      <c r="B89" s="71">
        <v>384.75</v>
      </c>
      <c r="C89" s="71">
        <v>-15.7</v>
      </c>
      <c r="D89" s="71">
        <v>390.07</v>
      </c>
      <c r="E89" s="71">
        <v>-15.5</v>
      </c>
      <c r="F89" s="71">
        <v>397.3</v>
      </c>
      <c r="G89" s="71">
        <v>-15.3</v>
      </c>
    </row>
    <row r="90" spans="1:7">
      <c r="A90" s="71">
        <v>8</v>
      </c>
      <c r="B90" s="71">
        <v>302.33</v>
      </c>
      <c r="C90" s="71">
        <v>-13.1</v>
      </c>
      <c r="D90" s="71">
        <v>306.58999999999997</v>
      </c>
      <c r="E90" s="71">
        <v>-13.1</v>
      </c>
      <c r="F90" s="71">
        <v>314.39</v>
      </c>
      <c r="G90" s="71">
        <v>-13.2</v>
      </c>
    </row>
    <row r="91" spans="1:7">
      <c r="A91" s="71">
        <v>9</v>
      </c>
      <c r="B91" s="71" t="s">
        <v>92</v>
      </c>
      <c r="C91" s="71" t="s">
        <v>92</v>
      </c>
      <c r="D91" s="71" t="s">
        <v>92</v>
      </c>
      <c r="E91" s="71" t="s">
        <v>92</v>
      </c>
      <c r="F91" s="71" t="s">
        <v>92</v>
      </c>
      <c r="G91" s="71" t="s">
        <v>92</v>
      </c>
    </row>
    <row r="92" spans="1:7">
      <c r="A92" s="71">
        <v>10</v>
      </c>
      <c r="B92" s="71">
        <v>229.94</v>
      </c>
      <c r="C92" s="71">
        <v>-11.9</v>
      </c>
      <c r="D92" s="71">
        <v>239.4</v>
      </c>
      <c r="E92" s="71">
        <v>-11.8</v>
      </c>
      <c r="F92" s="71">
        <v>247.29</v>
      </c>
      <c r="G92" s="71">
        <v>-11.5</v>
      </c>
    </row>
    <row r="93" spans="1:7">
      <c r="A93" s="71">
        <v>11</v>
      </c>
      <c r="B93" s="71">
        <v>349.48</v>
      </c>
      <c r="C93" s="71">
        <v>-14.2</v>
      </c>
      <c r="D93" s="71">
        <v>355.88</v>
      </c>
      <c r="E93" s="71">
        <v>-14.2</v>
      </c>
      <c r="F93" s="71">
        <v>362.53</v>
      </c>
      <c r="G93" s="71">
        <v>-14.2</v>
      </c>
    </row>
    <row r="94" spans="1:7">
      <c r="A94" s="71">
        <v>12</v>
      </c>
      <c r="B94" s="71" t="s">
        <v>92</v>
      </c>
      <c r="C94" s="71" t="s">
        <v>92</v>
      </c>
      <c r="D94" s="71" t="s">
        <v>92</v>
      </c>
      <c r="E94" s="71" t="s">
        <v>92</v>
      </c>
      <c r="F94" s="71" t="s">
        <v>92</v>
      </c>
      <c r="G94" s="71" t="s">
        <v>92</v>
      </c>
    </row>
    <row r="95" spans="1:7">
      <c r="A95" s="71">
        <v>13</v>
      </c>
      <c r="B95" s="71">
        <v>286.98</v>
      </c>
      <c r="C95" s="71">
        <v>-13.9</v>
      </c>
      <c r="D95" s="71">
        <v>293.22000000000003</v>
      </c>
      <c r="E95" s="71">
        <v>-14.1</v>
      </c>
      <c r="F95" s="71">
        <v>300.25</v>
      </c>
      <c r="G95" s="71">
        <v>-14.1</v>
      </c>
    </row>
    <row r="96" spans="1:7">
      <c r="A96" s="71">
        <v>14</v>
      </c>
      <c r="B96" s="71">
        <v>205.79</v>
      </c>
      <c r="C96" s="71">
        <v>-11.7</v>
      </c>
      <c r="D96" s="71">
        <v>216.75</v>
      </c>
      <c r="E96" s="71">
        <v>-11.8</v>
      </c>
      <c r="F96" s="71">
        <v>225.27</v>
      </c>
      <c r="G96" s="71">
        <v>-11.6</v>
      </c>
    </row>
    <row r="97" spans="1:7">
      <c r="A97" s="71">
        <v>15</v>
      </c>
      <c r="B97" s="71" t="s">
        <v>92</v>
      </c>
      <c r="C97" s="71" t="s">
        <v>92</v>
      </c>
      <c r="D97" s="71" t="s">
        <v>92</v>
      </c>
      <c r="E97" s="71" t="s">
        <v>92</v>
      </c>
      <c r="F97" s="71" t="s">
        <v>92</v>
      </c>
      <c r="G97" s="71" t="s">
        <v>92</v>
      </c>
    </row>
    <row r="98" spans="1:7">
      <c r="A98" s="71">
        <v>16</v>
      </c>
      <c r="B98" s="71">
        <v>371.9</v>
      </c>
      <c r="C98" s="71">
        <v>2.48</v>
      </c>
      <c r="D98" s="71">
        <v>373.91</v>
      </c>
      <c r="E98" s="71">
        <v>2.46</v>
      </c>
      <c r="F98" s="71">
        <v>388.54</v>
      </c>
      <c r="G98" s="71">
        <v>2.69</v>
      </c>
    </row>
    <row r="99" spans="1:7">
      <c r="A99" s="71">
        <v>17</v>
      </c>
      <c r="B99" s="71">
        <v>256.83999999999997</v>
      </c>
      <c r="C99" s="71">
        <v>-21.5</v>
      </c>
      <c r="D99" s="71">
        <v>259.91000000000003</v>
      </c>
      <c r="E99" s="71">
        <v>-21.4</v>
      </c>
      <c r="F99" s="71">
        <v>272.3</v>
      </c>
      <c r="G99" s="71">
        <v>-21.1</v>
      </c>
    </row>
    <row r="100" spans="1:7">
      <c r="A100" s="71">
        <v>18</v>
      </c>
      <c r="B100" s="71" t="s">
        <v>92</v>
      </c>
      <c r="C100" s="71" t="s">
        <v>92</v>
      </c>
      <c r="D100" s="71" t="s">
        <v>92</v>
      </c>
      <c r="E100" s="71" t="s">
        <v>92</v>
      </c>
      <c r="F100" s="71" t="s">
        <v>92</v>
      </c>
      <c r="G100" s="71" t="s">
        <v>92</v>
      </c>
    </row>
    <row r="101" spans="1:7">
      <c r="A101" s="65">
        <f>$B$1</f>
        <v>10</v>
      </c>
      <c r="B101" s="67">
        <f>LOOKUP($B$1,A83:A100,B83:B100)</f>
        <v>229.94</v>
      </c>
      <c r="C101" s="67">
        <f>LOOKUP($B$1,A83:A100,C83:C100)</f>
        <v>-11.9</v>
      </c>
      <c r="D101" s="67">
        <f>LOOKUP($B$1,A83:A100,D83:D100)</f>
        <v>239.4</v>
      </c>
      <c r="E101" s="67">
        <f>LOOKUP($B$1,A83:A100,E83:E100)</f>
        <v>-11.8</v>
      </c>
      <c r="F101" s="67">
        <f>LOOKUP($B$1,A83:A100,F83:F100)</f>
        <v>247.29</v>
      </c>
      <c r="G101" s="67">
        <f>LOOKUP($B$1,A83:A100,G83:G100)</f>
        <v>-11.5</v>
      </c>
    </row>
    <row r="102" spans="1:7">
      <c r="A102" s="79" t="str">
        <f>I9</f>
        <v>Wiz City</v>
      </c>
      <c r="B102" s="69">
        <v>1</v>
      </c>
      <c r="C102" s="69" t="s">
        <v>90</v>
      </c>
      <c r="D102" s="69">
        <v>2</v>
      </c>
      <c r="E102" s="69" t="s">
        <v>90</v>
      </c>
      <c r="F102" s="69">
        <v>3</v>
      </c>
      <c r="G102" s="69" t="s">
        <v>90</v>
      </c>
    </row>
    <row r="103" spans="1:7">
      <c r="A103" s="71">
        <v>1</v>
      </c>
      <c r="B103" s="71" t="s">
        <v>92</v>
      </c>
      <c r="C103" s="71" t="s">
        <v>92</v>
      </c>
      <c r="D103" s="71" t="s">
        <v>92</v>
      </c>
      <c r="E103" s="71" t="s">
        <v>92</v>
      </c>
      <c r="F103" s="71" t="s">
        <v>92</v>
      </c>
      <c r="G103" s="71" t="s">
        <v>92</v>
      </c>
    </row>
    <row r="104" spans="1:7">
      <c r="A104" s="71">
        <v>2</v>
      </c>
      <c r="B104" s="71">
        <v>226.57</v>
      </c>
      <c r="C104" s="71">
        <v>-10.8</v>
      </c>
      <c r="D104" s="71">
        <v>236.09</v>
      </c>
      <c r="E104" s="71">
        <v>-11</v>
      </c>
      <c r="F104" s="71">
        <v>244.32</v>
      </c>
      <c r="G104" s="71">
        <v>-11.1</v>
      </c>
    </row>
    <row r="105" spans="1:7">
      <c r="A105" s="71">
        <v>3</v>
      </c>
      <c r="B105" s="71" t="s">
        <v>92</v>
      </c>
      <c r="C105" s="71" t="s">
        <v>92</v>
      </c>
      <c r="D105" s="71" t="s">
        <v>92</v>
      </c>
      <c r="E105" s="71" t="s">
        <v>92</v>
      </c>
      <c r="F105" s="71" t="s">
        <v>92</v>
      </c>
      <c r="G105" s="71" t="s">
        <v>92</v>
      </c>
    </row>
    <row r="106" spans="1:7">
      <c r="A106" s="71">
        <v>4</v>
      </c>
      <c r="B106" s="71" t="s">
        <v>92</v>
      </c>
      <c r="C106" s="71" t="s">
        <v>92</v>
      </c>
      <c r="D106" s="71" t="s">
        <v>92</v>
      </c>
      <c r="E106" s="71" t="s">
        <v>92</v>
      </c>
      <c r="F106" s="71" t="s">
        <v>92</v>
      </c>
      <c r="G106" s="71" t="s">
        <v>92</v>
      </c>
    </row>
    <row r="107" spans="1:7">
      <c r="A107" s="71">
        <v>5</v>
      </c>
      <c r="B107" s="71" t="s">
        <v>92</v>
      </c>
      <c r="C107" s="71" t="s">
        <v>92</v>
      </c>
      <c r="D107" s="71" t="s">
        <v>92</v>
      </c>
      <c r="E107" s="71" t="s">
        <v>92</v>
      </c>
      <c r="F107" s="71" t="s">
        <v>92</v>
      </c>
      <c r="G107" s="71" t="s">
        <v>92</v>
      </c>
    </row>
    <row r="108" spans="1:7">
      <c r="A108" s="71">
        <v>6</v>
      </c>
      <c r="B108" s="71">
        <v>240.67</v>
      </c>
      <c r="C108" s="71">
        <v>-13.7</v>
      </c>
      <c r="D108" s="71">
        <v>241.26</v>
      </c>
      <c r="E108" s="71">
        <v>-13.7</v>
      </c>
      <c r="F108" s="71">
        <v>255.7</v>
      </c>
      <c r="G108" s="71">
        <v>-13.7</v>
      </c>
    </row>
    <row r="109" spans="1:7">
      <c r="A109" s="71">
        <v>7</v>
      </c>
      <c r="B109" s="71" t="s">
        <v>92</v>
      </c>
      <c r="C109" s="71" t="s">
        <v>92</v>
      </c>
      <c r="D109" s="71" t="s">
        <v>92</v>
      </c>
      <c r="E109" s="71" t="s">
        <v>92</v>
      </c>
      <c r="F109" s="71" t="s">
        <v>92</v>
      </c>
      <c r="G109" s="71" t="s">
        <v>92</v>
      </c>
    </row>
    <row r="110" spans="1:7">
      <c r="A110" s="71">
        <v>8</v>
      </c>
      <c r="B110" s="71" t="s">
        <v>92</v>
      </c>
      <c r="C110" s="71" t="s">
        <v>92</v>
      </c>
      <c r="D110" s="71" t="s">
        <v>92</v>
      </c>
      <c r="E110" s="71" t="s">
        <v>92</v>
      </c>
      <c r="F110" s="71" t="s">
        <v>92</v>
      </c>
      <c r="G110" s="71" t="s">
        <v>92</v>
      </c>
    </row>
    <row r="111" spans="1:7">
      <c r="A111" s="71">
        <v>9</v>
      </c>
      <c r="B111" s="71" t="s">
        <v>92</v>
      </c>
      <c r="C111" s="71" t="s">
        <v>92</v>
      </c>
      <c r="D111" s="71" t="s">
        <v>92</v>
      </c>
      <c r="E111" s="71" t="s">
        <v>92</v>
      </c>
      <c r="F111" s="71" t="s">
        <v>92</v>
      </c>
      <c r="G111" s="71" t="s">
        <v>92</v>
      </c>
    </row>
    <row r="112" spans="1:7">
      <c r="A112" s="71">
        <v>10</v>
      </c>
      <c r="B112" s="71">
        <v>263.88</v>
      </c>
      <c r="C112" s="71">
        <v>-33.6</v>
      </c>
      <c r="D112" s="71">
        <v>279.51</v>
      </c>
      <c r="E112" s="71">
        <v>-34.1</v>
      </c>
      <c r="F112" s="71">
        <v>286.66000000000003</v>
      </c>
      <c r="G112" s="71">
        <v>-34.6</v>
      </c>
    </row>
    <row r="113" spans="1:7">
      <c r="A113" s="71">
        <v>11</v>
      </c>
      <c r="B113" s="71" t="s">
        <v>92</v>
      </c>
      <c r="C113" s="71" t="s">
        <v>92</v>
      </c>
      <c r="D113" s="71" t="s">
        <v>92</v>
      </c>
      <c r="E113" s="71" t="s">
        <v>92</v>
      </c>
      <c r="F113" s="71" t="s">
        <v>92</v>
      </c>
      <c r="G113" s="71" t="s">
        <v>92</v>
      </c>
    </row>
    <row r="114" spans="1:7">
      <c r="A114" s="71">
        <v>12</v>
      </c>
      <c r="B114" s="71" t="s">
        <v>92</v>
      </c>
      <c r="C114" s="71" t="s">
        <v>92</v>
      </c>
      <c r="D114" s="71" t="s">
        <v>92</v>
      </c>
      <c r="E114" s="71" t="s">
        <v>92</v>
      </c>
      <c r="F114" s="71" t="s">
        <v>92</v>
      </c>
      <c r="G114" s="71" t="s">
        <v>92</v>
      </c>
    </row>
    <row r="115" spans="1:7">
      <c r="A115" s="71">
        <v>13</v>
      </c>
      <c r="B115" s="71" t="s">
        <v>92</v>
      </c>
      <c r="C115" s="71" t="s">
        <v>92</v>
      </c>
      <c r="D115" s="71" t="s">
        <v>92</v>
      </c>
      <c r="E115" s="71" t="s">
        <v>92</v>
      </c>
      <c r="F115" s="71" t="s">
        <v>92</v>
      </c>
      <c r="G115" s="71" t="s">
        <v>92</v>
      </c>
    </row>
    <row r="116" spans="1:7">
      <c r="A116" s="71">
        <v>14</v>
      </c>
      <c r="B116" s="71" t="s">
        <v>92</v>
      </c>
      <c r="C116" s="71" t="s">
        <v>92</v>
      </c>
      <c r="D116" s="71" t="s">
        <v>92</v>
      </c>
      <c r="E116" s="71" t="s">
        <v>92</v>
      </c>
      <c r="F116" s="71" t="s">
        <v>92</v>
      </c>
      <c r="G116" s="71" t="s">
        <v>92</v>
      </c>
    </row>
    <row r="117" spans="1:7">
      <c r="A117" s="71">
        <v>15</v>
      </c>
      <c r="B117" s="71" t="s">
        <v>92</v>
      </c>
      <c r="C117" s="71" t="s">
        <v>92</v>
      </c>
      <c r="D117" s="71" t="s">
        <v>92</v>
      </c>
      <c r="E117" s="71" t="s">
        <v>92</v>
      </c>
      <c r="F117" s="71" t="s">
        <v>92</v>
      </c>
      <c r="G117" s="71" t="s">
        <v>92</v>
      </c>
    </row>
    <row r="118" spans="1:7">
      <c r="A118" s="71">
        <v>16</v>
      </c>
      <c r="B118" s="71">
        <v>175.66</v>
      </c>
      <c r="C118" s="71">
        <v>-15.4</v>
      </c>
      <c r="D118" s="71">
        <v>185.34</v>
      </c>
      <c r="E118" s="71">
        <v>-15.4</v>
      </c>
      <c r="F118" s="71">
        <v>190.13</v>
      </c>
      <c r="G118" s="71">
        <v>-15.4</v>
      </c>
    </row>
    <row r="119" spans="1:7">
      <c r="A119" s="71">
        <v>17</v>
      </c>
      <c r="B119" s="71" t="s">
        <v>92</v>
      </c>
      <c r="C119" s="71" t="s">
        <v>92</v>
      </c>
      <c r="D119" s="71" t="s">
        <v>92</v>
      </c>
      <c r="E119" s="71" t="s">
        <v>92</v>
      </c>
      <c r="F119" s="71" t="s">
        <v>92</v>
      </c>
      <c r="G119" s="71" t="s">
        <v>92</v>
      </c>
    </row>
    <row r="120" spans="1:7">
      <c r="A120" s="71">
        <v>18</v>
      </c>
      <c r="B120" s="71" t="s">
        <v>92</v>
      </c>
      <c r="C120" s="71" t="s">
        <v>92</v>
      </c>
      <c r="D120" s="71" t="s">
        <v>92</v>
      </c>
      <c r="E120" s="71" t="s">
        <v>92</v>
      </c>
      <c r="F120" s="71" t="s">
        <v>92</v>
      </c>
      <c r="G120" s="71" t="s">
        <v>92</v>
      </c>
    </row>
    <row r="121" spans="1:7">
      <c r="A121" s="65">
        <f>$B$1</f>
        <v>10</v>
      </c>
      <c r="B121" s="67">
        <f>LOOKUP($B$1,A103:A120,B103:B120)</f>
        <v>263.88</v>
      </c>
      <c r="C121" s="67">
        <f>LOOKUP($B$1,A103:A120,C103:C120)</f>
        <v>-33.6</v>
      </c>
      <c r="D121" s="67">
        <f>LOOKUP($B$1,A103:A120,D103:D120)</f>
        <v>279.51</v>
      </c>
      <c r="E121" s="67">
        <f>LOOKUP($B$1,A103:A120,E103:E120)</f>
        <v>-34.1</v>
      </c>
      <c r="F121" s="67">
        <f>LOOKUP($B$1,A103:A120,F103:F120)</f>
        <v>286.66000000000003</v>
      </c>
      <c r="G121" s="67">
        <f>LOOKUP($B$1,A103:A120,G103:G120)</f>
        <v>-34.6</v>
      </c>
    </row>
    <row r="122" spans="1:7">
      <c r="A122" s="78" t="str">
        <f>I10</f>
        <v>Abbot Mine</v>
      </c>
      <c r="B122" s="69">
        <v>1</v>
      </c>
      <c r="C122" s="69" t="s">
        <v>90</v>
      </c>
      <c r="D122" s="69">
        <v>2</v>
      </c>
      <c r="E122" s="69" t="s">
        <v>90</v>
      </c>
      <c r="F122" s="69">
        <v>3</v>
      </c>
      <c r="G122" s="69" t="s">
        <v>90</v>
      </c>
    </row>
    <row r="123" spans="1:7">
      <c r="A123" s="71">
        <v>1</v>
      </c>
      <c r="B123" s="71" t="s">
        <v>92</v>
      </c>
      <c r="C123" s="71" t="s">
        <v>92</v>
      </c>
      <c r="D123" s="71" t="s">
        <v>92</v>
      </c>
      <c r="E123" s="71" t="s">
        <v>92</v>
      </c>
      <c r="F123" s="71" t="s">
        <v>92</v>
      </c>
      <c r="G123" s="71" t="s">
        <v>92</v>
      </c>
    </row>
    <row r="124" spans="1:7">
      <c r="A124" s="71">
        <v>2</v>
      </c>
      <c r="B124" s="71">
        <v>244.78</v>
      </c>
      <c r="C124" s="71">
        <v>-13</v>
      </c>
      <c r="D124" s="71">
        <v>247.9</v>
      </c>
      <c r="E124" s="71">
        <v>-12.9</v>
      </c>
      <c r="F124" s="71" t="s">
        <v>92</v>
      </c>
      <c r="G124" s="71" t="s">
        <v>92</v>
      </c>
    </row>
    <row r="125" spans="1:7">
      <c r="A125" s="71">
        <v>3</v>
      </c>
      <c r="B125" s="71" t="s">
        <v>92</v>
      </c>
      <c r="C125" s="71" t="s">
        <v>92</v>
      </c>
      <c r="D125" s="71" t="s">
        <v>92</v>
      </c>
      <c r="E125" s="71" t="s">
        <v>92</v>
      </c>
      <c r="F125" s="71" t="s">
        <v>92</v>
      </c>
      <c r="G125" s="71" t="s">
        <v>92</v>
      </c>
    </row>
    <row r="126" spans="1:7">
      <c r="A126" s="71">
        <v>4</v>
      </c>
      <c r="B126" s="71" t="s">
        <v>92</v>
      </c>
      <c r="C126" s="71" t="s">
        <v>92</v>
      </c>
      <c r="D126" s="71" t="s">
        <v>92</v>
      </c>
      <c r="E126" s="71" t="s">
        <v>92</v>
      </c>
      <c r="F126" s="71" t="s">
        <v>92</v>
      </c>
      <c r="G126" s="71" t="s">
        <v>92</v>
      </c>
    </row>
    <row r="127" spans="1:7">
      <c r="A127" s="71">
        <v>5</v>
      </c>
      <c r="B127" s="71" t="s">
        <v>92</v>
      </c>
      <c r="C127" s="71" t="s">
        <v>92</v>
      </c>
      <c r="D127" s="71" t="s">
        <v>92</v>
      </c>
      <c r="E127" s="71" t="s">
        <v>92</v>
      </c>
      <c r="F127" s="71" t="s">
        <v>92</v>
      </c>
      <c r="G127" s="71" t="s">
        <v>92</v>
      </c>
    </row>
    <row r="128" spans="1:7">
      <c r="A128" s="71">
        <v>6</v>
      </c>
      <c r="B128" s="71">
        <v>229.8</v>
      </c>
      <c r="C128" s="71">
        <v>7.26</v>
      </c>
      <c r="D128" s="71">
        <v>238.24</v>
      </c>
      <c r="E128" s="71">
        <v>7.76</v>
      </c>
      <c r="F128" s="71" t="s">
        <v>92</v>
      </c>
      <c r="G128" s="71" t="s">
        <v>92</v>
      </c>
    </row>
    <row r="129" spans="1:7">
      <c r="A129" s="71">
        <v>7</v>
      </c>
      <c r="B129" s="71">
        <v>244.9</v>
      </c>
      <c r="C129" s="71">
        <v>-54.3</v>
      </c>
      <c r="D129" s="71">
        <v>246.7</v>
      </c>
      <c r="E129" s="71">
        <v>-54.6</v>
      </c>
      <c r="F129" s="71" t="s">
        <v>92</v>
      </c>
      <c r="G129" s="71" t="s">
        <v>92</v>
      </c>
    </row>
    <row r="130" spans="1:7">
      <c r="A130" s="71">
        <v>8</v>
      </c>
      <c r="B130" s="71">
        <v>326.95</v>
      </c>
      <c r="C130" s="71">
        <v>-36.299999999999997</v>
      </c>
      <c r="D130" s="71">
        <v>332.65</v>
      </c>
      <c r="E130" s="71">
        <v>-36.299999999999997</v>
      </c>
      <c r="F130" s="71" t="s">
        <v>92</v>
      </c>
      <c r="G130" s="71" t="s">
        <v>92</v>
      </c>
    </row>
    <row r="131" spans="1:7">
      <c r="A131" s="71">
        <v>9</v>
      </c>
      <c r="B131" s="71" t="s">
        <v>92</v>
      </c>
      <c r="C131" s="71" t="s">
        <v>92</v>
      </c>
      <c r="D131" s="71" t="s">
        <v>92</v>
      </c>
      <c r="E131" s="71" t="s">
        <v>92</v>
      </c>
      <c r="F131" s="71" t="s">
        <v>92</v>
      </c>
      <c r="G131" s="71" t="s">
        <v>92</v>
      </c>
    </row>
    <row r="132" spans="1:7">
      <c r="A132" s="71">
        <v>10</v>
      </c>
      <c r="B132" s="71">
        <v>227.96</v>
      </c>
      <c r="C132" s="71">
        <v>-5.37</v>
      </c>
      <c r="D132" s="71">
        <v>237.35</v>
      </c>
      <c r="E132" s="71">
        <v>-5.19</v>
      </c>
      <c r="F132" s="71">
        <v>240.9</v>
      </c>
      <c r="G132" s="71">
        <v>-5.32</v>
      </c>
    </row>
    <row r="133" spans="1:7">
      <c r="A133" s="71">
        <v>11</v>
      </c>
      <c r="B133" s="71" t="s">
        <v>92</v>
      </c>
      <c r="C133" s="71" t="s">
        <v>92</v>
      </c>
      <c r="D133" s="71" t="s">
        <v>92</v>
      </c>
      <c r="E133" s="71" t="s">
        <v>92</v>
      </c>
      <c r="F133" s="71" t="s">
        <v>92</v>
      </c>
      <c r="G133" s="71" t="s">
        <v>92</v>
      </c>
    </row>
    <row r="134" spans="1:7">
      <c r="A134" s="71">
        <v>12</v>
      </c>
      <c r="B134" s="71" t="s">
        <v>92</v>
      </c>
      <c r="C134" s="71" t="s">
        <v>92</v>
      </c>
      <c r="D134" s="71" t="s">
        <v>92</v>
      </c>
      <c r="E134" s="71" t="s">
        <v>92</v>
      </c>
      <c r="F134" s="71" t="s">
        <v>92</v>
      </c>
      <c r="G134" s="71" t="s">
        <v>92</v>
      </c>
    </row>
    <row r="135" spans="1:7">
      <c r="A135" s="71">
        <v>13</v>
      </c>
      <c r="B135" s="71">
        <v>336.12</v>
      </c>
      <c r="C135" s="71">
        <v>-3.31</v>
      </c>
      <c r="D135" s="71">
        <v>347.05</v>
      </c>
      <c r="E135" s="71">
        <v>-3.64</v>
      </c>
      <c r="F135" s="71" t="s">
        <v>92</v>
      </c>
      <c r="G135" s="71" t="s">
        <v>92</v>
      </c>
    </row>
    <row r="136" spans="1:7">
      <c r="A136" s="71">
        <v>14</v>
      </c>
      <c r="B136" s="71">
        <v>373.62</v>
      </c>
      <c r="C136" s="71">
        <v>-19.600000000000001</v>
      </c>
      <c r="D136" s="71">
        <v>379.32</v>
      </c>
      <c r="E136" s="71">
        <v>-19.600000000000001</v>
      </c>
      <c r="F136" s="71" t="s">
        <v>92</v>
      </c>
      <c r="G136" s="71" t="s">
        <v>92</v>
      </c>
    </row>
    <row r="137" spans="1:7">
      <c r="A137" s="71">
        <v>15</v>
      </c>
      <c r="B137" s="71">
        <v>294.89999999999998</v>
      </c>
      <c r="C137" s="71">
        <v>-19.3</v>
      </c>
      <c r="D137" s="71">
        <v>302.82</v>
      </c>
      <c r="E137" s="71">
        <v>-19.3</v>
      </c>
      <c r="F137" s="71" t="s">
        <v>92</v>
      </c>
      <c r="G137" s="71" t="s">
        <v>92</v>
      </c>
    </row>
    <row r="138" spans="1:7">
      <c r="A138" s="71">
        <v>16</v>
      </c>
      <c r="B138" s="71">
        <v>185</v>
      </c>
      <c r="C138" s="71">
        <v>6.93</v>
      </c>
      <c r="D138" s="71">
        <v>211.58</v>
      </c>
      <c r="E138" s="71">
        <v>6.79</v>
      </c>
      <c r="F138" s="71">
        <v>212</v>
      </c>
      <c r="G138" s="71">
        <v>6.76</v>
      </c>
    </row>
    <row r="139" spans="1:7">
      <c r="A139" s="71">
        <v>17</v>
      </c>
      <c r="B139" s="71">
        <v>370.22</v>
      </c>
      <c r="C139" s="71">
        <v>-3.78</v>
      </c>
      <c r="D139" s="71">
        <v>374.05</v>
      </c>
      <c r="E139" s="71">
        <v>-3.73</v>
      </c>
      <c r="F139" s="71">
        <v>383.61</v>
      </c>
      <c r="G139" s="71">
        <v>-3.74</v>
      </c>
    </row>
    <row r="140" spans="1:7">
      <c r="A140" s="71">
        <v>18</v>
      </c>
      <c r="B140" s="71" t="s">
        <v>92</v>
      </c>
      <c r="C140" s="71" t="s">
        <v>92</v>
      </c>
      <c r="D140" s="71" t="s">
        <v>92</v>
      </c>
      <c r="E140" s="71" t="s">
        <v>92</v>
      </c>
      <c r="F140" s="71" t="s">
        <v>92</v>
      </c>
      <c r="G140" s="71" t="s">
        <v>92</v>
      </c>
    </row>
    <row r="141" spans="1:7">
      <c r="A141" s="65">
        <f>$B$1</f>
        <v>10</v>
      </c>
      <c r="B141" s="67">
        <f>LOOKUP($B$1,A123:A140,B123:B140)</f>
        <v>227.96</v>
      </c>
      <c r="C141" s="67">
        <f>LOOKUP($B$1,A123:A140,C123:C140)</f>
        <v>-5.37</v>
      </c>
      <c r="D141" s="67">
        <f>LOOKUP($B$1,A123:A140,D123:D140)</f>
        <v>237.35</v>
      </c>
      <c r="E141" s="67">
        <f>LOOKUP($B$1,A123:A140,E123:E140)</f>
        <v>-5.19</v>
      </c>
      <c r="F141" s="67">
        <f>LOOKUP($B$1,A123:A140,F123:F140)</f>
        <v>240.9</v>
      </c>
      <c r="G141" s="67">
        <f>LOOKUP($B$1,A123:A140,G123:G140)</f>
        <v>-5.32</v>
      </c>
    </row>
    <row r="142" spans="1:7">
      <c r="A142" s="80" t="str">
        <f>I11</f>
        <v>Shining Sand</v>
      </c>
      <c r="B142" s="69">
        <v>1</v>
      </c>
      <c r="C142" s="69" t="s">
        <v>90</v>
      </c>
      <c r="D142" s="69">
        <v>2</v>
      </c>
      <c r="E142" s="69" t="s">
        <v>90</v>
      </c>
      <c r="F142" s="69">
        <v>3</v>
      </c>
      <c r="G142" s="69" t="s">
        <v>90</v>
      </c>
    </row>
    <row r="143" spans="1:7">
      <c r="A143" s="71">
        <v>1</v>
      </c>
      <c r="B143" s="71" t="s">
        <v>92</v>
      </c>
      <c r="C143" s="71" t="s">
        <v>92</v>
      </c>
      <c r="D143" s="71" t="s">
        <v>92</v>
      </c>
      <c r="E143" s="71" t="s">
        <v>92</v>
      </c>
      <c r="F143" s="71" t="s">
        <v>92</v>
      </c>
      <c r="G143" s="71" t="s">
        <v>92</v>
      </c>
    </row>
    <row r="144" spans="1:7">
      <c r="A144" s="71">
        <v>2</v>
      </c>
      <c r="B144" s="71">
        <v>230.51</v>
      </c>
      <c r="C144" s="71">
        <v>-15.8</v>
      </c>
      <c r="D144" s="71">
        <v>239.33</v>
      </c>
      <c r="E144" s="71">
        <v>-16</v>
      </c>
      <c r="F144" s="71">
        <v>247.54</v>
      </c>
      <c r="G144" s="71">
        <v>-16.100000000000001</v>
      </c>
    </row>
    <row r="145" spans="1:7">
      <c r="A145" s="71">
        <v>3</v>
      </c>
      <c r="B145" s="71">
        <v>270.77</v>
      </c>
      <c r="C145" s="71">
        <v>-3.09</v>
      </c>
      <c r="D145" s="71">
        <v>279.27</v>
      </c>
      <c r="E145" s="71">
        <v>-3.21</v>
      </c>
      <c r="F145" s="71">
        <v>283.93</v>
      </c>
      <c r="G145" s="71">
        <v>-3.4</v>
      </c>
    </row>
    <row r="146" spans="1:7">
      <c r="A146" s="71">
        <v>4</v>
      </c>
      <c r="B146" s="71" t="s">
        <v>92</v>
      </c>
      <c r="C146" s="71" t="s">
        <v>92</v>
      </c>
      <c r="D146" s="71" t="s">
        <v>92</v>
      </c>
      <c r="E146" s="71" t="s">
        <v>92</v>
      </c>
      <c r="F146" s="71" t="s">
        <v>92</v>
      </c>
      <c r="G146" s="71" t="s">
        <v>92</v>
      </c>
    </row>
    <row r="147" spans="1:7">
      <c r="A147" s="71">
        <v>5</v>
      </c>
      <c r="B147" s="71" t="s">
        <v>92</v>
      </c>
      <c r="C147" s="71" t="s">
        <v>92</v>
      </c>
      <c r="D147" s="71" t="s">
        <v>92</v>
      </c>
      <c r="E147" s="71" t="s">
        <v>92</v>
      </c>
      <c r="F147" s="71" t="s">
        <v>92</v>
      </c>
      <c r="G147" s="71" t="s">
        <v>92</v>
      </c>
    </row>
    <row r="148" spans="1:7">
      <c r="A148" s="71">
        <v>6</v>
      </c>
      <c r="B148" s="71">
        <v>228.11</v>
      </c>
      <c r="C148" s="71">
        <v>-20.100000000000001</v>
      </c>
      <c r="D148" s="71">
        <v>230.72</v>
      </c>
      <c r="E148" s="71">
        <v>-20.100000000000001</v>
      </c>
      <c r="F148" s="71">
        <v>237.55</v>
      </c>
      <c r="G148" s="71">
        <v>-20.100000000000001</v>
      </c>
    </row>
    <row r="149" spans="1:7">
      <c r="A149" s="71">
        <v>7</v>
      </c>
      <c r="B149" s="71" t="s">
        <v>92</v>
      </c>
      <c r="C149" s="71" t="s">
        <v>92</v>
      </c>
      <c r="D149" s="71" t="s">
        <v>92</v>
      </c>
      <c r="E149" s="71" t="s">
        <v>92</v>
      </c>
      <c r="F149" s="71" t="s">
        <v>92</v>
      </c>
      <c r="G149" s="71" t="s">
        <v>92</v>
      </c>
    </row>
    <row r="150" spans="1:7">
      <c r="A150" s="71">
        <v>8</v>
      </c>
      <c r="B150" s="71" t="s">
        <v>92</v>
      </c>
      <c r="C150" s="71" t="s">
        <v>92</v>
      </c>
      <c r="D150" s="71" t="s">
        <v>92</v>
      </c>
      <c r="E150" s="71" t="s">
        <v>92</v>
      </c>
      <c r="F150" s="71" t="s">
        <v>92</v>
      </c>
      <c r="G150" s="71" t="s">
        <v>92</v>
      </c>
    </row>
    <row r="151" spans="1:7">
      <c r="A151" s="71">
        <v>9</v>
      </c>
      <c r="B151" s="71" t="s">
        <v>92</v>
      </c>
      <c r="C151" s="71" t="s">
        <v>92</v>
      </c>
      <c r="D151" s="71" t="s">
        <v>92</v>
      </c>
      <c r="E151" s="71" t="s">
        <v>92</v>
      </c>
      <c r="F151" s="71" t="s">
        <v>92</v>
      </c>
      <c r="G151" s="71" t="s">
        <v>92</v>
      </c>
    </row>
    <row r="152" spans="1:7">
      <c r="A152" s="71">
        <v>10</v>
      </c>
      <c r="B152" s="71">
        <v>226.43</v>
      </c>
      <c r="C152" s="71">
        <v>-5.98</v>
      </c>
      <c r="D152" s="71">
        <v>229.74</v>
      </c>
      <c r="E152" s="71">
        <v>-5.99</v>
      </c>
      <c r="F152" s="71">
        <v>233.28</v>
      </c>
      <c r="G152" s="71">
        <v>-5.99</v>
      </c>
    </row>
    <row r="153" spans="1:7">
      <c r="A153" s="71">
        <v>11</v>
      </c>
      <c r="B153" s="71" t="s">
        <v>92</v>
      </c>
      <c r="C153" s="71" t="s">
        <v>92</v>
      </c>
      <c r="D153" s="71" t="s">
        <v>92</v>
      </c>
      <c r="E153" s="71" t="s">
        <v>92</v>
      </c>
      <c r="F153" s="71" t="s">
        <v>92</v>
      </c>
      <c r="G153" s="71" t="s">
        <v>92</v>
      </c>
    </row>
    <row r="154" spans="1:7">
      <c r="A154" s="71">
        <v>12</v>
      </c>
      <c r="B154" s="71">
        <v>378.1</v>
      </c>
      <c r="C154" s="71">
        <v>-26.6</v>
      </c>
      <c r="D154" s="71">
        <v>386.6</v>
      </c>
      <c r="E154" s="71">
        <v>-26.6</v>
      </c>
      <c r="F154" s="71">
        <v>391.2</v>
      </c>
      <c r="G154" s="71">
        <v>-26.6</v>
      </c>
    </row>
    <row r="155" spans="1:7">
      <c r="A155" s="71">
        <v>13</v>
      </c>
      <c r="B155" s="71" t="s">
        <v>92</v>
      </c>
      <c r="C155" s="71" t="s">
        <v>92</v>
      </c>
      <c r="D155" s="71" t="s">
        <v>92</v>
      </c>
      <c r="E155" s="71" t="s">
        <v>92</v>
      </c>
      <c r="F155" s="71" t="s">
        <v>92</v>
      </c>
      <c r="G155" s="71" t="s">
        <v>92</v>
      </c>
    </row>
    <row r="156" spans="1:7">
      <c r="A156" s="71">
        <v>14</v>
      </c>
      <c r="B156" s="71" t="s">
        <v>92</v>
      </c>
      <c r="C156" s="71" t="s">
        <v>92</v>
      </c>
      <c r="D156" s="71" t="s">
        <v>92</v>
      </c>
      <c r="E156" s="71" t="s">
        <v>92</v>
      </c>
      <c r="F156" s="71" t="s">
        <v>92</v>
      </c>
      <c r="G156" s="71" t="s">
        <v>92</v>
      </c>
    </row>
    <row r="157" spans="1:7">
      <c r="A157" s="71">
        <v>15</v>
      </c>
      <c r="B157" s="71">
        <v>354.4</v>
      </c>
      <c r="C157" s="71">
        <v>-19.899999999999999</v>
      </c>
      <c r="D157" s="71">
        <v>357.9</v>
      </c>
      <c r="E157" s="71">
        <v>-20</v>
      </c>
      <c r="F157" s="71">
        <v>364.04</v>
      </c>
      <c r="G157" s="71">
        <v>-19.899999999999999</v>
      </c>
    </row>
    <row r="158" spans="1:7">
      <c r="A158" s="71">
        <v>16</v>
      </c>
      <c r="B158" s="71">
        <v>241.32</v>
      </c>
      <c r="C158" s="71">
        <v>-11</v>
      </c>
      <c r="D158" s="71">
        <v>242.06</v>
      </c>
      <c r="E158" s="71">
        <v>-11.2</v>
      </c>
      <c r="F158" s="71">
        <v>249.14</v>
      </c>
      <c r="G158" s="71">
        <v>-11.1</v>
      </c>
    </row>
    <row r="159" spans="1:7">
      <c r="A159" s="71">
        <v>17</v>
      </c>
      <c r="B159" s="71">
        <v>366.3</v>
      </c>
      <c r="C159" s="71">
        <v>-2.63</v>
      </c>
      <c r="D159" s="71">
        <v>367.52</v>
      </c>
      <c r="E159" s="71">
        <v>-2.42</v>
      </c>
      <c r="F159" s="71">
        <v>375.84</v>
      </c>
      <c r="G159" s="71">
        <v>-2.54</v>
      </c>
    </row>
    <row r="160" spans="1:7">
      <c r="A160" s="71">
        <v>18</v>
      </c>
      <c r="B160" s="71" t="s">
        <v>92</v>
      </c>
      <c r="C160" s="71" t="s">
        <v>92</v>
      </c>
      <c r="D160" s="71" t="s">
        <v>92</v>
      </c>
      <c r="E160" s="71" t="s">
        <v>92</v>
      </c>
      <c r="F160" s="71" t="s">
        <v>92</v>
      </c>
      <c r="G160" s="71" t="s">
        <v>92</v>
      </c>
    </row>
    <row r="161" spans="1:7">
      <c r="A161" s="65">
        <f>$B$1</f>
        <v>10</v>
      </c>
      <c r="B161" s="67">
        <f>LOOKUP($B$1,A143:A160,B143:B160)</f>
        <v>226.43</v>
      </c>
      <c r="C161" s="67">
        <f>LOOKUP($B$1,A143:A160,C143:C160)</f>
        <v>-5.98</v>
      </c>
      <c r="D161" s="67">
        <f>LOOKUP($B$1,A143:A160,D143:D160)</f>
        <v>229.74</v>
      </c>
      <c r="E161" s="67">
        <f>LOOKUP($B$1,A143:A160,E143:E160)</f>
        <v>-5.99</v>
      </c>
      <c r="F161" s="67">
        <f>LOOKUP($B$1,A143:A160,F143:F160)</f>
        <v>233.28</v>
      </c>
      <c r="G161" s="67">
        <f>LOOKUP($B$1,A143:A160,G143:G160)</f>
        <v>-5.99</v>
      </c>
    </row>
    <row r="162" spans="1:7">
      <c r="A162" s="78" t="str">
        <f>I12</f>
        <v>Ice Cannon</v>
      </c>
      <c r="B162" s="69">
        <v>1</v>
      </c>
      <c r="C162" s="69" t="s">
        <v>90</v>
      </c>
      <c r="D162" s="69">
        <v>2</v>
      </c>
      <c r="E162" s="69" t="s">
        <v>90</v>
      </c>
      <c r="F162" s="69">
        <v>3</v>
      </c>
      <c r="G162" s="69" t="s">
        <v>90</v>
      </c>
    </row>
    <row r="163" spans="1:7">
      <c r="A163" s="71">
        <v>1</v>
      </c>
      <c r="B163" s="71" t="s">
        <v>92</v>
      </c>
      <c r="C163" s="71" t="s">
        <v>92</v>
      </c>
      <c r="D163" s="71" t="s">
        <v>92</v>
      </c>
      <c r="E163" s="71" t="s">
        <v>92</v>
      </c>
      <c r="F163" s="71" t="s">
        <v>92</v>
      </c>
      <c r="G163" s="71" t="s">
        <v>92</v>
      </c>
    </row>
    <row r="164" spans="1:7">
      <c r="A164" s="71">
        <v>2</v>
      </c>
      <c r="B164" s="71">
        <v>181.14</v>
      </c>
      <c r="C164" s="71">
        <v>-0.3</v>
      </c>
      <c r="D164" s="71">
        <v>197.798</v>
      </c>
      <c r="E164" s="71">
        <v>-1.33</v>
      </c>
      <c r="F164" s="71">
        <v>201.7</v>
      </c>
      <c r="G164" s="71">
        <v>-0.88</v>
      </c>
    </row>
    <row r="165" spans="1:7">
      <c r="A165" s="71">
        <v>3</v>
      </c>
      <c r="B165" s="71">
        <v>347.3</v>
      </c>
      <c r="C165" s="71">
        <v>-16.5</v>
      </c>
      <c r="D165" s="71">
        <v>357.2</v>
      </c>
      <c r="E165" s="71">
        <v>-16.899999999999999</v>
      </c>
      <c r="F165" s="71">
        <v>370.46</v>
      </c>
      <c r="G165" s="71">
        <v>-16.7</v>
      </c>
    </row>
    <row r="166" spans="1:7">
      <c r="A166" s="71">
        <v>4</v>
      </c>
      <c r="B166" s="71" t="s">
        <v>92</v>
      </c>
      <c r="C166" s="71" t="s">
        <v>92</v>
      </c>
      <c r="D166" s="71" t="s">
        <v>92</v>
      </c>
      <c r="E166" s="71" t="s">
        <v>92</v>
      </c>
      <c r="F166" s="71" t="s">
        <v>92</v>
      </c>
      <c r="G166" s="71" t="s">
        <v>92</v>
      </c>
    </row>
    <row r="167" spans="1:7">
      <c r="A167" s="71">
        <v>5</v>
      </c>
      <c r="B167" s="71" t="s">
        <v>92</v>
      </c>
      <c r="C167" s="71" t="s">
        <v>92</v>
      </c>
      <c r="D167" s="71" t="s">
        <v>92</v>
      </c>
      <c r="E167" s="71" t="s">
        <v>92</v>
      </c>
      <c r="F167" s="71" t="s">
        <v>92</v>
      </c>
      <c r="G167" s="71" t="s">
        <v>92</v>
      </c>
    </row>
    <row r="168" spans="1:7">
      <c r="A168" s="71">
        <v>6</v>
      </c>
      <c r="B168" s="71">
        <v>364.2</v>
      </c>
      <c r="C168" s="71">
        <v>6.71</v>
      </c>
      <c r="D168" s="71" t="s">
        <v>117</v>
      </c>
      <c r="E168" s="71">
        <v>7.91</v>
      </c>
      <c r="F168" s="71" t="s">
        <v>118</v>
      </c>
      <c r="G168" s="71">
        <v>7.18</v>
      </c>
    </row>
    <row r="169" spans="1:7">
      <c r="A169" s="71">
        <v>7</v>
      </c>
      <c r="B169" s="71">
        <v>236.37</v>
      </c>
      <c r="C169" s="71">
        <v>-19.2</v>
      </c>
      <c r="D169" s="71">
        <v>249.53</v>
      </c>
      <c r="E169" s="71">
        <v>-19.7</v>
      </c>
      <c r="F169" s="71">
        <v>259.14</v>
      </c>
      <c r="G169" s="71">
        <v>-19.5</v>
      </c>
    </row>
    <row r="170" spans="1:7">
      <c r="A170" s="71">
        <v>8</v>
      </c>
      <c r="B170" s="71" t="s">
        <v>92</v>
      </c>
      <c r="C170" s="71" t="s">
        <v>92</v>
      </c>
      <c r="D170" s="71" t="s">
        <v>92</v>
      </c>
      <c r="E170" s="71" t="s">
        <v>92</v>
      </c>
      <c r="F170" s="71" t="s">
        <v>92</v>
      </c>
      <c r="G170" s="71" t="s">
        <v>92</v>
      </c>
    </row>
    <row r="171" spans="1:7">
      <c r="A171" s="71">
        <v>9</v>
      </c>
      <c r="B171" s="71" t="s">
        <v>92</v>
      </c>
      <c r="C171" s="71" t="s">
        <v>92</v>
      </c>
      <c r="D171" s="71" t="s">
        <v>92</v>
      </c>
      <c r="E171" s="71" t="s">
        <v>92</v>
      </c>
      <c r="F171" s="71" t="s">
        <v>92</v>
      </c>
      <c r="G171" s="71" t="s">
        <v>92</v>
      </c>
    </row>
    <row r="172" spans="1:7">
      <c r="A172" s="71">
        <v>10</v>
      </c>
      <c r="B172" s="71" t="s">
        <v>92</v>
      </c>
      <c r="C172" s="71" t="s">
        <v>92</v>
      </c>
      <c r="D172" s="71" t="s">
        <v>92</v>
      </c>
      <c r="E172" s="71" t="s">
        <v>92</v>
      </c>
      <c r="F172" s="71" t="s">
        <v>92</v>
      </c>
      <c r="G172" s="71" t="s">
        <v>92</v>
      </c>
    </row>
    <row r="173" spans="1:7">
      <c r="A173" s="71">
        <v>11</v>
      </c>
      <c r="B173" s="71">
        <v>368.48</v>
      </c>
      <c r="C173" s="71">
        <v>-29.6</v>
      </c>
      <c r="D173" s="71">
        <v>385.7</v>
      </c>
      <c r="E173" s="71">
        <v>-30</v>
      </c>
      <c r="F173" s="71">
        <v>388</v>
      </c>
      <c r="G173" s="71">
        <v>-29.8</v>
      </c>
    </row>
    <row r="174" spans="1:7">
      <c r="A174" s="71">
        <v>12</v>
      </c>
      <c r="B174" s="71" t="s">
        <v>92</v>
      </c>
      <c r="C174" s="71" t="s">
        <v>92</v>
      </c>
      <c r="D174" s="71" t="s">
        <v>92</v>
      </c>
      <c r="E174" s="71" t="s">
        <v>92</v>
      </c>
      <c r="F174" s="71" t="s">
        <v>92</v>
      </c>
      <c r="G174" s="71" t="s">
        <v>92</v>
      </c>
    </row>
    <row r="175" spans="1:7">
      <c r="A175" s="71">
        <v>13</v>
      </c>
      <c r="B175" s="71">
        <v>168.65</v>
      </c>
      <c r="C175" s="71">
        <v>-14.3</v>
      </c>
      <c r="D175" s="71">
        <v>182.07</v>
      </c>
      <c r="E175" s="71">
        <v>-14</v>
      </c>
      <c r="F175" s="71">
        <v>191.39</v>
      </c>
      <c r="G175" s="71">
        <v>-13.8</v>
      </c>
    </row>
    <row r="176" spans="1:7">
      <c r="A176" s="71">
        <v>14</v>
      </c>
      <c r="B176" s="71" t="s">
        <v>92</v>
      </c>
      <c r="C176" s="71" t="s">
        <v>92</v>
      </c>
      <c r="D176" s="71" t="s">
        <v>92</v>
      </c>
      <c r="E176" s="71" t="s">
        <v>92</v>
      </c>
      <c r="F176" s="71" t="s">
        <v>92</v>
      </c>
      <c r="G176" s="71" t="s">
        <v>92</v>
      </c>
    </row>
    <row r="177" spans="1:7">
      <c r="A177" s="71">
        <v>15</v>
      </c>
      <c r="B177" s="71" t="s">
        <v>92</v>
      </c>
      <c r="C177" s="71" t="s">
        <v>92</v>
      </c>
      <c r="D177" s="71" t="s">
        <v>92</v>
      </c>
      <c r="E177" s="71" t="s">
        <v>92</v>
      </c>
      <c r="F177" s="71" t="s">
        <v>92</v>
      </c>
      <c r="G177" s="71" t="s">
        <v>92</v>
      </c>
    </row>
    <row r="178" spans="1:7">
      <c r="A178" s="71">
        <v>16</v>
      </c>
      <c r="B178" s="71">
        <v>180.29</v>
      </c>
      <c r="C178" s="71">
        <v>-3.34</v>
      </c>
      <c r="D178" s="71">
        <v>184.05</v>
      </c>
      <c r="E178" s="71">
        <v>-3.15</v>
      </c>
      <c r="F178" s="71">
        <v>188.59</v>
      </c>
      <c r="G178" s="71">
        <v>-3.32</v>
      </c>
    </row>
    <row r="179" spans="1:7">
      <c r="A179" s="71">
        <v>17</v>
      </c>
      <c r="B179" s="71" t="s">
        <v>92</v>
      </c>
      <c r="C179" s="71" t="s">
        <v>92</v>
      </c>
      <c r="D179" s="71" t="s">
        <v>92</v>
      </c>
      <c r="E179" s="71" t="s">
        <v>92</v>
      </c>
      <c r="F179" s="71" t="s">
        <v>92</v>
      </c>
      <c r="G179" s="71" t="s">
        <v>92</v>
      </c>
    </row>
    <row r="180" spans="1:7">
      <c r="A180" s="71">
        <v>18</v>
      </c>
      <c r="B180" s="71" t="s">
        <v>92</v>
      </c>
      <c r="C180" s="71" t="s">
        <v>92</v>
      </c>
      <c r="D180" s="71" t="s">
        <v>92</v>
      </c>
      <c r="E180" s="71" t="s">
        <v>92</v>
      </c>
      <c r="F180" s="71" t="s">
        <v>92</v>
      </c>
      <c r="G180" s="71" t="s">
        <v>92</v>
      </c>
    </row>
    <row r="181" spans="1:7">
      <c r="A181" s="65">
        <f>$B$1</f>
        <v>10</v>
      </c>
      <c r="B181" s="67" t="str">
        <f>LOOKUP($B$1,A163:A180,B163:B180)</f>
        <v>-</v>
      </c>
      <c r="C181" s="67" t="str">
        <f>LOOKUP($B$1,A163:A180,C163:C180)</f>
        <v>-</v>
      </c>
      <c r="D181" s="67" t="str">
        <f>LOOKUP($B$1,A163:A180,D163:D180)</f>
        <v>-</v>
      </c>
      <c r="E181" s="67" t="str">
        <f>LOOKUP($B$1,A163:A180,E163:E180)</f>
        <v>-</v>
      </c>
      <c r="F181" s="67" t="str">
        <f>LOOKUP($B$1,A163:A180,F163:F180)</f>
        <v>-</v>
      </c>
      <c r="G181" s="67" t="str">
        <f>LOOKUP($B$1,A163:A180,G163:G180)</f>
        <v>-</v>
      </c>
    </row>
    <row r="182" spans="1:7">
      <c r="A182" s="79" t="str">
        <f>I13</f>
        <v>Eastern Valley</v>
      </c>
      <c r="B182" s="69">
        <v>1</v>
      </c>
      <c r="C182" s="69" t="s">
        <v>90</v>
      </c>
      <c r="D182" s="69">
        <v>2</v>
      </c>
      <c r="E182" s="69" t="s">
        <v>90</v>
      </c>
      <c r="F182" s="69">
        <v>3</v>
      </c>
      <c r="G182" s="69" t="s">
        <v>90</v>
      </c>
    </row>
    <row r="183" spans="1:7">
      <c r="A183" s="71">
        <v>1</v>
      </c>
      <c r="B183" s="71">
        <v>388.15</v>
      </c>
      <c r="C183" s="71">
        <v>-14.5</v>
      </c>
      <c r="D183" s="71">
        <v>395.6</v>
      </c>
      <c r="E183" s="71">
        <v>-14.9</v>
      </c>
      <c r="F183" s="71">
        <v>402.32</v>
      </c>
      <c r="G183" s="71">
        <v>-14.8</v>
      </c>
    </row>
    <row r="184" spans="1:7">
      <c r="A184" s="71">
        <v>2</v>
      </c>
      <c r="B184" s="71" t="s">
        <v>92</v>
      </c>
      <c r="C184" s="71" t="s">
        <v>92</v>
      </c>
      <c r="D184" s="71" t="s">
        <v>92</v>
      </c>
      <c r="E184" s="71" t="s">
        <v>92</v>
      </c>
      <c r="F184" s="71" t="s">
        <v>92</v>
      </c>
      <c r="G184" s="71" t="s">
        <v>92</v>
      </c>
    </row>
    <row r="185" spans="1:7">
      <c r="A185" s="71">
        <v>3</v>
      </c>
      <c r="B185" s="71">
        <v>198.09</v>
      </c>
      <c r="C185" s="71">
        <v>-0.33</v>
      </c>
      <c r="D185" s="71">
        <v>203.55</v>
      </c>
      <c r="E185" s="71">
        <v>-0.33</v>
      </c>
      <c r="F185" s="71">
        <v>203.6</v>
      </c>
      <c r="G185" s="71">
        <v>-0.42</v>
      </c>
    </row>
    <row r="186" spans="1:7">
      <c r="A186" s="71">
        <v>4</v>
      </c>
      <c r="B186" s="71" t="s">
        <v>92</v>
      </c>
      <c r="C186" s="71" t="s">
        <v>92</v>
      </c>
      <c r="D186" s="71" t="s">
        <v>92</v>
      </c>
      <c r="E186" s="71" t="s">
        <v>92</v>
      </c>
      <c r="F186" s="71" t="s">
        <v>92</v>
      </c>
      <c r="G186" s="71" t="s">
        <v>92</v>
      </c>
    </row>
    <row r="187" spans="1:7">
      <c r="A187" s="71">
        <v>5</v>
      </c>
      <c r="B187" s="71">
        <v>366.03</v>
      </c>
      <c r="C187" s="71">
        <v>-1.76</v>
      </c>
      <c r="D187" s="71" t="s">
        <v>119</v>
      </c>
      <c r="E187" s="71">
        <v>-1.76</v>
      </c>
      <c r="F187" s="71" t="s">
        <v>120</v>
      </c>
      <c r="G187" s="71">
        <v>-1.76</v>
      </c>
    </row>
    <row r="188" spans="1:7">
      <c r="A188" s="71">
        <v>6</v>
      </c>
      <c r="B188" s="71">
        <v>385.7</v>
      </c>
      <c r="C188" s="71">
        <v>0.09</v>
      </c>
      <c r="D188" s="71">
        <v>388.56</v>
      </c>
      <c r="E188" s="71">
        <v>0.1</v>
      </c>
      <c r="F188" s="71">
        <v>390.02</v>
      </c>
      <c r="G188" s="71">
        <v>0.1</v>
      </c>
    </row>
    <row r="189" spans="1:7">
      <c r="A189" s="71">
        <v>7</v>
      </c>
      <c r="B189" s="71" t="s">
        <v>92</v>
      </c>
      <c r="C189" s="71" t="s">
        <v>92</v>
      </c>
      <c r="D189" s="71" t="s">
        <v>92</v>
      </c>
      <c r="E189" s="71" t="s">
        <v>92</v>
      </c>
      <c r="F189" s="71" t="s">
        <v>92</v>
      </c>
      <c r="G189" s="71" t="s">
        <v>92</v>
      </c>
    </row>
    <row r="190" spans="1:7">
      <c r="A190" s="71">
        <v>8</v>
      </c>
      <c r="B190" s="71">
        <v>257.73</v>
      </c>
      <c r="C190" s="71">
        <v>-7.85</v>
      </c>
      <c r="D190" s="71">
        <v>267</v>
      </c>
      <c r="E190" s="71">
        <v>-8</v>
      </c>
      <c r="F190" s="71">
        <v>268.67</v>
      </c>
      <c r="G190" s="71">
        <v>-8.18</v>
      </c>
    </row>
    <row r="191" spans="1:7">
      <c r="A191" s="71">
        <v>9</v>
      </c>
      <c r="B191" s="71">
        <v>290.45</v>
      </c>
      <c r="C191" s="71">
        <v>-1.66</v>
      </c>
      <c r="D191" s="71">
        <v>294.14999999999998</v>
      </c>
      <c r="E191" s="71">
        <v>-1.73</v>
      </c>
      <c r="F191" s="71">
        <v>298.76</v>
      </c>
      <c r="G191" s="71">
        <v>-1.7</v>
      </c>
    </row>
    <row r="192" spans="1:7">
      <c r="A192" s="71">
        <v>10</v>
      </c>
      <c r="B192" s="71">
        <v>223.98</v>
      </c>
      <c r="C192" s="71">
        <v>1.07</v>
      </c>
      <c r="D192" s="71">
        <v>225.05</v>
      </c>
      <c r="E192" s="71">
        <v>0.99</v>
      </c>
      <c r="F192" s="71">
        <v>233.45</v>
      </c>
      <c r="G192" s="71">
        <v>0.9</v>
      </c>
    </row>
    <row r="193" spans="1:7">
      <c r="A193" s="71">
        <v>11</v>
      </c>
      <c r="B193" s="71" t="s">
        <v>92</v>
      </c>
      <c r="C193" s="71" t="s">
        <v>92</v>
      </c>
      <c r="D193" s="71" t="s">
        <v>92</v>
      </c>
      <c r="E193" s="71" t="s">
        <v>92</v>
      </c>
      <c r="F193" s="71" t="s">
        <v>92</v>
      </c>
      <c r="G193" s="71" t="s">
        <v>92</v>
      </c>
    </row>
    <row r="194" spans="1:7">
      <c r="A194" s="71">
        <v>12</v>
      </c>
      <c r="B194" s="71" t="s">
        <v>92</v>
      </c>
      <c r="C194" s="71" t="s">
        <v>92</v>
      </c>
      <c r="D194" s="71" t="s">
        <v>92</v>
      </c>
      <c r="E194" s="71" t="s">
        <v>92</v>
      </c>
      <c r="F194" s="71" t="s">
        <v>92</v>
      </c>
      <c r="G194" s="71" t="s">
        <v>92</v>
      </c>
    </row>
    <row r="195" spans="1:7">
      <c r="A195" s="71">
        <v>13</v>
      </c>
      <c r="B195" s="71">
        <v>374.74</v>
      </c>
      <c r="C195" s="71">
        <v>-14.4</v>
      </c>
      <c r="D195" s="71">
        <v>384.73</v>
      </c>
      <c r="E195" s="71">
        <v>-14.7</v>
      </c>
      <c r="F195" s="71">
        <v>394.48</v>
      </c>
      <c r="G195" s="71">
        <v>-15.1</v>
      </c>
    </row>
    <row r="196" spans="1:7">
      <c r="A196" s="71">
        <v>14</v>
      </c>
      <c r="B196" s="71">
        <v>370.72</v>
      </c>
      <c r="C196" s="71">
        <v>-17.8</v>
      </c>
      <c r="D196" s="71">
        <v>373.7</v>
      </c>
      <c r="E196" s="71">
        <v>-17.8</v>
      </c>
      <c r="F196" s="71">
        <v>380.03</v>
      </c>
      <c r="G196" s="71">
        <v>-17.7</v>
      </c>
    </row>
    <row r="197" spans="1:7">
      <c r="A197" s="71">
        <v>15</v>
      </c>
      <c r="B197" s="71">
        <v>241.4</v>
      </c>
      <c r="C197" s="71">
        <v>-13.5</v>
      </c>
      <c r="D197" s="71">
        <v>248.9</v>
      </c>
      <c r="E197" s="71">
        <v>-13.6</v>
      </c>
      <c r="F197" s="71">
        <v>250.9</v>
      </c>
      <c r="G197" s="71">
        <v>-13.6</v>
      </c>
    </row>
    <row r="198" spans="1:7">
      <c r="A198" s="71">
        <v>16</v>
      </c>
      <c r="B198" s="71" t="s">
        <v>92</v>
      </c>
      <c r="C198" s="71" t="s">
        <v>92</v>
      </c>
      <c r="D198" s="71" t="s">
        <v>92</v>
      </c>
      <c r="E198" s="71" t="s">
        <v>92</v>
      </c>
      <c r="F198" s="71" t="s">
        <v>92</v>
      </c>
      <c r="G198" s="71" t="s">
        <v>92</v>
      </c>
    </row>
    <row r="199" spans="1:7">
      <c r="A199" s="71">
        <v>17</v>
      </c>
      <c r="B199" s="71">
        <v>353.5</v>
      </c>
      <c r="C199" s="71">
        <v>-1.25</v>
      </c>
      <c r="D199" s="71">
        <v>358.35</v>
      </c>
      <c r="E199" s="71">
        <v>-1.08</v>
      </c>
      <c r="F199" s="71">
        <v>364.3</v>
      </c>
      <c r="G199" s="71">
        <v>-1.22</v>
      </c>
    </row>
    <row r="200" spans="1:7">
      <c r="A200" s="71">
        <v>18</v>
      </c>
      <c r="B200" s="71">
        <v>342.8</v>
      </c>
      <c r="C200" s="71">
        <v>-9.5500000000000007</v>
      </c>
      <c r="D200" s="71">
        <v>346.4</v>
      </c>
      <c r="E200" s="71">
        <v>-9.4499999999999993</v>
      </c>
      <c r="F200" s="71">
        <v>347.3</v>
      </c>
      <c r="G200" s="71">
        <v>-9.6</v>
      </c>
    </row>
    <row r="201" spans="1:7">
      <c r="A201" s="65">
        <f>$B$1</f>
        <v>10</v>
      </c>
      <c r="B201" s="67">
        <f>LOOKUP($B$1,A183:A200,B183:B200)</f>
        <v>223.98</v>
      </c>
      <c r="C201" s="67">
        <f>LOOKUP($B$1,A183:A200,C183:C200)</f>
        <v>1.07</v>
      </c>
      <c r="D201" s="67">
        <f>LOOKUP($B$1,A183:A200,D183:D200)</f>
        <v>225.05</v>
      </c>
      <c r="E201" s="67">
        <f>LOOKUP($B$1,A183:A200,E183:E200)</f>
        <v>0.99</v>
      </c>
      <c r="F201" s="67">
        <f>LOOKUP($B$1,A183:A200,F183:F200)</f>
        <v>233.45</v>
      </c>
      <c r="G201" s="67">
        <f>LOOKUP($B$1,A183:A200,G183:G200)</f>
        <v>0.9</v>
      </c>
    </row>
    <row r="202" spans="1:7">
      <c r="A202" s="79" t="str">
        <f>I14</f>
        <v>Sepia Wind</v>
      </c>
      <c r="B202" s="69">
        <v>1</v>
      </c>
      <c r="C202" s="69" t="s">
        <v>90</v>
      </c>
      <c r="D202" s="69">
        <v>2</v>
      </c>
      <c r="E202" s="69" t="s">
        <v>90</v>
      </c>
      <c r="F202" s="69">
        <v>3</v>
      </c>
      <c r="G202" s="69" t="s">
        <v>90</v>
      </c>
    </row>
    <row r="203" spans="1:7">
      <c r="A203" s="71">
        <v>1</v>
      </c>
      <c r="B203" s="71" t="s">
        <v>92</v>
      </c>
      <c r="C203" s="71" t="s">
        <v>92</v>
      </c>
      <c r="D203" s="71" t="s">
        <v>92</v>
      </c>
      <c r="E203" s="71" t="s">
        <v>92</v>
      </c>
      <c r="F203" s="71" t="s">
        <v>92</v>
      </c>
      <c r="G203" s="71" t="s">
        <v>92</v>
      </c>
    </row>
    <row r="204" spans="1:7">
      <c r="A204" s="71">
        <v>2</v>
      </c>
      <c r="B204" s="71">
        <v>291.51</v>
      </c>
      <c r="C204" s="71">
        <v>-7.2</v>
      </c>
      <c r="D204" s="71">
        <v>299.36</v>
      </c>
      <c r="E204" s="71">
        <v>-7.21</v>
      </c>
      <c r="F204" s="71" t="s">
        <v>92</v>
      </c>
      <c r="G204" s="71" t="s">
        <v>92</v>
      </c>
    </row>
    <row r="205" spans="1:7">
      <c r="A205" s="71">
        <v>3</v>
      </c>
      <c r="B205" s="71" t="s">
        <v>92</v>
      </c>
      <c r="C205" s="71" t="s">
        <v>92</v>
      </c>
      <c r="D205" s="71" t="s">
        <v>92</v>
      </c>
      <c r="E205" s="71" t="s">
        <v>92</v>
      </c>
      <c r="F205" s="71" t="s">
        <v>92</v>
      </c>
      <c r="G205" s="71" t="s">
        <v>92</v>
      </c>
    </row>
    <row r="206" spans="1:7">
      <c r="A206" s="71">
        <v>4</v>
      </c>
      <c r="B206" s="71" t="s">
        <v>92</v>
      </c>
      <c r="C206" s="71" t="s">
        <v>92</v>
      </c>
      <c r="D206" s="71" t="s">
        <v>92</v>
      </c>
      <c r="E206" s="71" t="s">
        <v>92</v>
      </c>
      <c r="F206" s="71" t="s">
        <v>92</v>
      </c>
      <c r="G206" s="71" t="s">
        <v>92</v>
      </c>
    </row>
    <row r="207" spans="1:7">
      <c r="A207" s="71">
        <v>5</v>
      </c>
      <c r="B207" s="71" t="s">
        <v>92</v>
      </c>
      <c r="C207" s="71" t="s">
        <v>92</v>
      </c>
      <c r="D207" s="71" t="s">
        <v>92</v>
      </c>
      <c r="E207" s="71" t="s">
        <v>92</v>
      </c>
      <c r="F207" s="71" t="s">
        <v>92</v>
      </c>
      <c r="G207" s="71" t="s">
        <v>92</v>
      </c>
    </row>
    <row r="208" spans="1:7">
      <c r="A208" s="71">
        <v>6</v>
      </c>
      <c r="B208" s="71" t="s">
        <v>92</v>
      </c>
      <c r="C208" s="71" t="s">
        <v>92</v>
      </c>
      <c r="D208" s="71" t="s">
        <v>92</v>
      </c>
      <c r="E208" s="71" t="s">
        <v>92</v>
      </c>
      <c r="F208" s="71" t="s">
        <v>92</v>
      </c>
      <c r="G208" s="71" t="s">
        <v>92</v>
      </c>
    </row>
    <row r="209" spans="1:7">
      <c r="A209" s="71">
        <v>7</v>
      </c>
      <c r="B209" s="71">
        <v>231.21</v>
      </c>
      <c r="C209" s="71">
        <v>-15</v>
      </c>
      <c r="D209" s="71">
        <v>239.91</v>
      </c>
      <c r="E209" s="71">
        <v>-14.5</v>
      </c>
      <c r="F209" s="71">
        <v>244.67</v>
      </c>
      <c r="G209" s="71">
        <v>-14.4</v>
      </c>
    </row>
    <row r="210" spans="1:7">
      <c r="A210" s="71">
        <v>8</v>
      </c>
      <c r="B210" s="71" t="s">
        <v>92</v>
      </c>
      <c r="C210" s="71" t="s">
        <v>92</v>
      </c>
      <c r="D210" s="71" t="s">
        <v>92</v>
      </c>
      <c r="E210" s="71" t="s">
        <v>92</v>
      </c>
      <c r="F210" s="71" t="s">
        <v>92</v>
      </c>
      <c r="G210" s="71" t="s">
        <v>92</v>
      </c>
    </row>
    <row r="211" spans="1:7">
      <c r="A211" s="71">
        <v>9</v>
      </c>
      <c r="B211" s="71" t="s">
        <v>92</v>
      </c>
      <c r="C211" s="71" t="s">
        <v>92</v>
      </c>
      <c r="D211" s="71" t="s">
        <v>92</v>
      </c>
      <c r="E211" s="71" t="s">
        <v>92</v>
      </c>
      <c r="F211" s="71" t="s">
        <v>92</v>
      </c>
      <c r="G211" s="71" t="s">
        <v>92</v>
      </c>
    </row>
    <row r="212" spans="1:7">
      <c r="A212" s="71">
        <v>10</v>
      </c>
      <c r="B212" s="71">
        <v>384.2</v>
      </c>
      <c r="C212" s="71">
        <v>6.49</v>
      </c>
      <c r="D212" s="71">
        <v>387.19</v>
      </c>
      <c r="E212" s="71">
        <v>6.14</v>
      </c>
      <c r="F212" s="71">
        <v>398.31</v>
      </c>
      <c r="G212" s="71">
        <v>6.12</v>
      </c>
    </row>
    <row r="213" spans="1:7">
      <c r="A213" s="71">
        <v>11</v>
      </c>
      <c r="B213" s="71" t="s">
        <v>92</v>
      </c>
      <c r="C213" s="71" t="s">
        <v>92</v>
      </c>
      <c r="D213" s="71" t="s">
        <v>92</v>
      </c>
      <c r="E213" s="71" t="s">
        <v>92</v>
      </c>
      <c r="F213" s="71" t="s">
        <v>92</v>
      </c>
      <c r="G213" s="71" t="s">
        <v>92</v>
      </c>
    </row>
    <row r="214" spans="1:7">
      <c r="A214" s="71">
        <v>12</v>
      </c>
      <c r="B214" s="71" t="s">
        <v>92</v>
      </c>
      <c r="C214" s="71" t="s">
        <v>92</v>
      </c>
      <c r="D214" s="71" t="s">
        <v>92</v>
      </c>
      <c r="E214" s="71" t="s">
        <v>92</v>
      </c>
      <c r="F214" s="71" t="s">
        <v>92</v>
      </c>
      <c r="G214" s="71" t="s">
        <v>92</v>
      </c>
    </row>
    <row r="215" spans="1:7">
      <c r="A215" s="71">
        <v>13</v>
      </c>
      <c r="B215" s="71">
        <v>223.87</v>
      </c>
      <c r="C215" s="71">
        <v>-13.9</v>
      </c>
      <c r="D215" s="71">
        <v>227.37</v>
      </c>
      <c r="E215" s="71">
        <v>-13.8</v>
      </c>
      <c r="F215" s="71">
        <v>235.72</v>
      </c>
      <c r="G215" s="71">
        <v>-13.9</v>
      </c>
    </row>
    <row r="216" spans="1:7">
      <c r="A216" s="71">
        <v>14</v>
      </c>
      <c r="B216" s="71">
        <v>353.66</v>
      </c>
      <c r="C216" s="71">
        <v>-17.399999999999999</v>
      </c>
      <c r="D216" s="71">
        <v>371.9</v>
      </c>
      <c r="E216" s="71">
        <v>-17.600000000000001</v>
      </c>
      <c r="F216" s="71">
        <v>383.6</v>
      </c>
      <c r="G216" s="71">
        <v>-17.7</v>
      </c>
    </row>
    <row r="217" spans="1:7">
      <c r="A217" s="71">
        <v>15</v>
      </c>
      <c r="B217" s="71" t="s">
        <v>92</v>
      </c>
      <c r="C217" s="71" t="s">
        <v>92</v>
      </c>
      <c r="D217" s="71" t="s">
        <v>92</v>
      </c>
      <c r="E217" s="71" t="s">
        <v>92</v>
      </c>
      <c r="F217" s="71" t="s">
        <v>92</v>
      </c>
      <c r="G217" s="71" t="s">
        <v>92</v>
      </c>
    </row>
    <row r="218" spans="1:7">
      <c r="A218" s="71">
        <v>16</v>
      </c>
      <c r="B218" s="71">
        <v>248.44</v>
      </c>
      <c r="C218" s="71">
        <v>-5.63</v>
      </c>
      <c r="D218" s="71">
        <v>255.2</v>
      </c>
      <c r="E218" s="71">
        <v>-5.62</v>
      </c>
      <c r="F218" s="71">
        <v>261.74</v>
      </c>
      <c r="G218" s="71">
        <v>-5.59</v>
      </c>
    </row>
    <row r="219" spans="1:7">
      <c r="A219" s="71">
        <v>17</v>
      </c>
      <c r="B219" s="71" t="s">
        <v>92</v>
      </c>
      <c r="C219" s="71" t="s">
        <v>92</v>
      </c>
      <c r="D219" s="71" t="s">
        <v>92</v>
      </c>
      <c r="E219" s="71" t="s">
        <v>92</v>
      </c>
      <c r="F219" s="71" t="s">
        <v>92</v>
      </c>
      <c r="G219" s="71" t="s">
        <v>92</v>
      </c>
    </row>
    <row r="220" spans="1:7">
      <c r="A220" s="71">
        <v>18</v>
      </c>
      <c r="B220" s="71">
        <v>385.15</v>
      </c>
      <c r="C220" s="71">
        <v>-8.07</v>
      </c>
      <c r="D220" s="71">
        <v>395.1</v>
      </c>
      <c r="E220" s="71">
        <v>-8.2200000000000006</v>
      </c>
      <c r="F220" s="71">
        <v>401.97</v>
      </c>
      <c r="G220" s="71">
        <v>-8.24</v>
      </c>
    </row>
    <row r="221" spans="1:7">
      <c r="A221" s="65">
        <f>$B$1</f>
        <v>10</v>
      </c>
      <c r="B221" s="67">
        <f>LOOKUP($B$1,A203:A220,B203:B220)</f>
        <v>384.2</v>
      </c>
      <c r="C221" s="67">
        <f>LOOKUP($B$1,A203:A220,C203:C220)</f>
        <v>6.49</v>
      </c>
      <c r="D221" s="67">
        <f>LOOKUP($B$1,A203:A220,D203:D220)</f>
        <v>387.19</v>
      </c>
      <c r="E221" s="67">
        <f>LOOKUP($B$1,A203:A220,E203:E220)</f>
        <v>6.14</v>
      </c>
      <c r="F221" s="67">
        <f>LOOKUP($B$1,A203:A220,F203:F220)</f>
        <v>398.31</v>
      </c>
      <c r="G221" s="67">
        <f>LOOKUP($B$1,A203:A220,G203:G220)</f>
        <v>6.12</v>
      </c>
    </row>
    <row r="222" spans="1:7">
      <c r="A222" s="70" t="str">
        <f>I15</f>
        <v>Blue Moon</v>
      </c>
      <c r="B222" s="69">
        <v>1</v>
      </c>
      <c r="C222" s="69" t="s">
        <v>90</v>
      </c>
      <c r="D222" s="69">
        <v>2</v>
      </c>
      <c r="E222" s="69" t="s">
        <v>90</v>
      </c>
      <c r="F222" s="69">
        <v>3</v>
      </c>
      <c r="G222" s="69" t="s">
        <v>90</v>
      </c>
    </row>
    <row r="223" spans="1:7">
      <c r="A223" s="71">
        <v>1</v>
      </c>
      <c r="B223" s="71">
        <v>377.24</v>
      </c>
      <c r="C223" s="71">
        <v>-1.1100000000000001</v>
      </c>
      <c r="D223" s="71">
        <v>384.53</v>
      </c>
      <c r="E223" s="71">
        <v>-1.44</v>
      </c>
      <c r="F223" s="71">
        <v>401.45</v>
      </c>
      <c r="G223" s="71">
        <v>-1.35</v>
      </c>
    </row>
    <row r="224" spans="1:7">
      <c r="A224" s="71">
        <v>2</v>
      </c>
      <c r="B224" s="71">
        <v>228.26</v>
      </c>
      <c r="C224" s="71">
        <v>3.01</v>
      </c>
      <c r="D224" s="71">
        <v>231.38</v>
      </c>
      <c r="E224" s="71">
        <v>3.49</v>
      </c>
      <c r="F224" s="71">
        <v>241.9</v>
      </c>
      <c r="G224" s="71">
        <v>3.32</v>
      </c>
    </row>
    <row r="225" spans="1:7">
      <c r="A225" s="71">
        <v>3</v>
      </c>
      <c r="B225" s="71">
        <v>375.03</v>
      </c>
      <c r="C225" s="71">
        <v>4.57</v>
      </c>
      <c r="D225" s="71">
        <v>385.74</v>
      </c>
      <c r="E225" s="71">
        <v>4.68</v>
      </c>
      <c r="F225" s="71">
        <v>393.65</v>
      </c>
      <c r="G225" s="71">
        <v>4.7300000000000004</v>
      </c>
    </row>
    <row r="226" spans="1:7">
      <c r="A226" s="71">
        <v>4</v>
      </c>
      <c r="B226" s="71" t="s">
        <v>92</v>
      </c>
      <c r="C226" s="71" t="s">
        <v>92</v>
      </c>
      <c r="D226" s="71" t="s">
        <v>92</v>
      </c>
      <c r="E226" s="71" t="s">
        <v>92</v>
      </c>
      <c r="F226" s="71" t="s">
        <v>92</v>
      </c>
      <c r="G226" s="71" t="s">
        <v>92</v>
      </c>
    </row>
    <row r="227" spans="1:7">
      <c r="A227" s="71">
        <v>5</v>
      </c>
      <c r="B227" s="71" t="s">
        <v>92</v>
      </c>
      <c r="C227" s="71" t="s">
        <v>92</v>
      </c>
      <c r="D227" s="71" t="s">
        <v>92</v>
      </c>
      <c r="E227" s="71" t="s">
        <v>92</v>
      </c>
      <c r="F227" s="71" t="s">
        <v>92</v>
      </c>
      <c r="G227" s="71" t="s">
        <v>92</v>
      </c>
    </row>
    <row r="228" spans="1:7">
      <c r="A228" s="71">
        <v>6</v>
      </c>
      <c r="B228" s="71">
        <v>206.75</v>
      </c>
      <c r="C228" s="71">
        <v>5.47</v>
      </c>
      <c r="D228" s="71">
        <v>209.96</v>
      </c>
      <c r="E228" s="71">
        <v>5.8</v>
      </c>
      <c r="F228" s="71">
        <v>221.41</v>
      </c>
      <c r="G228" s="71">
        <v>6.09</v>
      </c>
    </row>
    <row r="229" spans="1:7">
      <c r="A229" s="71">
        <v>7</v>
      </c>
      <c r="B229" s="71" t="s">
        <v>92</v>
      </c>
      <c r="C229" s="71" t="s">
        <v>92</v>
      </c>
      <c r="D229" s="71" t="s">
        <v>92</v>
      </c>
      <c r="E229" s="71" t="s">
        <v>92</v>
      </c>
      <c r="F229" s="71" t="s">
        <v>92</v>
      </c>
      <c r="G229" s="71" t="s">
        <v>92</v>
      </c>
    </row>
    <row r="230" spans="1:7">
      <c r="A230" s="71">
        <v>8</v>
      </c>
      <c r="B230" s="71" t="s">
        <v>92</v>
      </c>
      <c r="C230" s="71" t="s">
        <v>92</v>
      </c>
      <c r="D230" s="71" t="s">
        <v>92</v>
      </c>
      <c r="E230" s="71" t="s">
        <v>92</v>
      </c>
      <c r="F230" s="71" t="s">
        <v>92</v>
      </c>
      <c r="G230" s="71" t="s">
        <v>92</v>
      </c>
    </row>
    <row r="231" spans="1:7">
      <c r="A231" s="71">
        <v>9</v>
      </c>
      <c r="B231" s="71" t="s">
        <v>92</v>
      </c>
      <c r="C231" s="71" t="s">
        <v>92</v>
      </c>
      <c r="D231" s="71" t="s">
        <v>92</v>
      </c>
      <c r="E231" s="71" t="s">
        <v>92</v>
      </c>
      <c r="F231" s="71" t="s">
        <v>92</v>
      </c>
      <c r="G231" s="71" t="s">
        <v>92</v>
      </c>
    </row>
    <row r="232" spans="1:7">
      <c r="A232" s="71">
        <v>10</v>
      </c>
      <c r="B232" s="71">
        <v>220.89</v>
      </c>
      <c r="C232" s="71">
        <v>5.82</v>
      </c>
      <c r="D232" s="71">
        <v>220.94</v>
      </c>
      <c r="E232" s="71">
        <v>5.24</v>
      </c>
      <c r="F232" s="71">
        <v>236.11</v>
      </c>
      <c r="G232" s="71">
        <v>5.8</v>
      </c>
    </row>
    <row r="233" spans="1:7">
      <c r="A233" s="71">
        <v>11</v>
      </c>
      <c r="B233" s="71" t="s">
        <v>92</v>
      </c>
      <c r="C233" s="71" t="s">
        <v>92</v>
      </c>
      <c r="D233" s="71" t="s">
        <v>92</v>
      </c>
      <c r="E233" s="71" t="s">
        <v>92</v>
      </c>
      <c r="F233" s="71" t="s">
        <v>92</v>
      </c>
      <c r="G233" s="71" t="s">
        <v>92</v>
      </c>
    </row>
    <row r="234" spans="1:7">
      <c r="A234" s="71">
        <v>12</v>
      </c>
      <c r="B234" s="71">
        <v>268.3</v>
      </c>
      <c r="C234" s="71">
        <v>0.06</v>
      </c>
      <c r="D234" s="71">
        <v>268.95</v>
      </c>
      <c r="E234" s="71">
        <v>0.05</v>
      </c>
      <c r="F234" s="71">
        <v>279.58999999999997</v>
      </c>
      <c r="G234" s="71">
        <v>0.04</v>
      </c>
    </row>
    <row r="235" spans="1:7">
      <c r="A235" s="71">
        <v>13</v>
      </c>
      <c r="B235" s="71">
        <v>384.8</v>
      </c>
      <c r="C235" s="71">
        <v>-1.89</v>
      </c>
      <c r="D235" s="71">
        <v>394.9</v>
      </c>
      <c r="E235" s="71">
        <v>-1.84</v>
      </c>
      <c r="F235" s="71">
        <v>396.27</v>
      </c>
      <c r="G235" s="71">
        <v>-2.16</v>
      </c>
    </row>
    <row r="236" spans="1:7">
      <c r="A236" s="71">
        <v>14</v>
      </c>
      <c r="B236" s="71">
        <v>369.5</v>
      </c>
      <c r="C236" s="71">
        <v>3.83</v>
      </c>
      <c r="D236" s="71">
        <v>383.82</v>
      </c>
      <c r="E236" s="71">
        <v>4.51</v>
      </c>
      <c r="F236" s="71">
        <v>394.78</v>
      </c>
      <c r="G236" s="71">
        <v>4.6900000000000004</v>
      </c>
    </row>
    <row r="237" spans="1:7">
      <c r="A237" s="71">
        <v>15</v>
      </c>
      <c r="B237" s="71" t="s">
        <v>92</v>
      </c>
      <c r="C237" s="71" t="s">
        <v>92</v>
      </c>
      <c r="D237" s="71" t="s">
        <v>92</v>
      </c>
      <c r="E237" s="71" t="s">
        <v>92</v>
      </c>
      <c r="F237" s="71" t="s">
        <v>92</v>
      </c>
      <c r="G237" s="71" t="s">
        <v>92</v>
      </c>
    </row>
    <row r="238" spans="1:7">
      <c r="A238" s="71">
        <v>16</v>
      </c>
      <c r="B238" s="71">
        <v>265.25</v>
      </c>
      <c r="C238" s="71">
        <v>2.21</v>
      </c>
      <c r="D238" s="71">
        <v>268.27999999999997</v>
      </c>
      <c r="E238" s="71">
        <v>2.38</v>
      </c>
      <c r="F238" s="71">
        <v>285.13</v>
      </c>
      <c r="G238" s="71">
        <v>2.71</v>
      </c>
    </row>
    <row r="239" spans="1:7">
      <c r="A239" s="71">
        <v>17</v>
      </c>
      <c r="B239" s="71" t="s">
        <v>92</v>
      </c>
      <c r="C239" s="71" t="s">
        <v>92</v>
      </c>
      <c r="D239" s="71" t="s">
        <v>92</v>
      </c>
      <c r="E239" s="71" t="s">
        <v>92</v>
      </c>
      <c r="F239" s="71" t="s">
        <v>92</v>
      </c>
      <c r="G239" s="71" t="s">
        <v>92</v>
      </c>
    </row>
    <row r="240" spans="1:7">
      <c r="A240" s="71">
        <v>18</v>
      </c>
      <c r="B240" s="71" t="s">
        <v>92</v>
      </c>
      <c r="C240" s="71" t="s">
        <v>92</v>
      </c>
      <c r="D240" s="71" t="s">
        <v>92</v>
      </c>
      <c r="E240" s="71" t="s">
        <v>92</v>
      </c>
      <c r="F240" s="71" t="s">
        <v>92</v>
      </c>
      <c r="G240" s="71" t="s">
        <v>92</v>
      </c>
    </row>
    <row r="241" spans="1:7">
      <c r="A241" s="65">
        <f>$B$1</f>
        <v>10</v>
      </c>
      <c r="B241" s="67">
        <f>LOOKUP($B$1,A223:A240,B223:B240)</f>
        <v>220.89</v>
      </c>
      <c r="C241" s="67">
        <f>LOOKUP($B$1,A223:A240,C223:C240)</f>
        <v>5.82</v>
      </c>
      <c r="D241" s="67">
        <f>LOOKUP($B$1,A223:A240,D223:D240)</f>
        <v>220.94</v>
      </c>
      <c r="E241" s="67">
        <f>LOOKUP($B$1,A223:A240,E223:E240)</f>
        <v>5.24</v>
      </c>
      <c r="F241" s="67">
        <f>LOOKUP($B$1,A223:A240,F223:F240)</f>
        <v>236.11</v>
      </c>
      <c r="G241" s="67">
        <f>LOOKUP($B$1,A223:A240,G223:G240)</f>
        <v>5.8</v>
      </c>
    </row>
    <row r="242" spans="1:7">
      <c r="A242" s="68" t="str">
        <f>I16</f>
        <v>Blue Water</v>
      </c>
      <c r="B242" s="69">
        <v>1</v>
      </c>
      <c r="C242" s="69" t="s">
        <v>90</v>
      </c>
      <c r="D242" s="69">
        <v>2</v>
      </c>
      <c r="E242" s="69" t="s">
        <v>90</v>
      </c>
      <c r="F242" s="69">
        <v>3</v>
      </c>
      <c r="G242" s="69" t="s">
        <v>90</v>
      </c>
    </row>
    <row r="243" spans="1:7">
      <c r="A243" s="71">
        <v>1</v>
      </c>
      <c r="B243" s="71" t="s">
        <v>92</v>
      </c>
      <c r="C243" s="71" t="s">
        <v>92</v>
      </c>
      <c r="D243" s="71" t="s">
        <v>92</v>
      </c>
      <c r="E243" s="71" t="s">
        <v>92</v>
      </c>
      <c r="F243" s="71" t="s">
        <v>92</v>
      </c>
      <c r="G243" s="71" t="s">
        <v>92</v>
      </c>
    </row>
    <row r="244" spans="1:7">
      <c r="A244" s="71">
        <v>2</v>
      </c>
      <c r="B244" s="71">
        <v>213.4</v>
      </c>
      <c r="C244" s="71">
        <v>-3.48</v>
      </c>
      <c r="D244" s="71">
        <v>227.83</v>
      </c>
      <c r="E244" s="71">
        <v>-2.99</v>
      </c>
      <c r="F244" s="71">
        <v>235.75</v>
      </c>
      <c r="G244" s="71">
        <v>-2.96</v>
      </c>
    </row>
    <row r="245" spans="1:7">
      <c r="A245" s="71">
        <v>3</v>
      </c>
      <c r="B245" s="71">
        <v>378.74</v>
      </c>
      <c r="C245" s="71">
        <v>-0.28000000000000003</v>
      </c>
      <c r="D245" s="71">
        <v>391.72</v>
      </c>
      <c r="E245" s="71">
        <v>-0.06</v>
      </c>
      <c r="F245" s="71">
        <v>398.29</v>
      </c>
      <c r="G245" s="71">
        <v>-0.32</v>
      </c>
    </row>
    <row r="246" spans="1:7">
      <c r="A246" s="71">
        <v>4</v>
      </c>
      <c r="B246" s="71">
        <v>375.93</v>
      </c>
      <c r="C246" s="71">
        <v>-2.94</v>
      </c>
      <c r="D246" s="71">
        <v>379.04</v>
      </c>
      <c r="E246" s="71">
        <v>-2.84</v>
      </c>
      <c r="F246" s="71">
        <v>392.34</v>
      </c>
      <c r="G246" s="71">
        <v>-2.3199999999999998</v>
      </c>
    </row>
    <row r="247" spans="1:7">
      <c r="A247" s="71">
        <v>5</v>
      </c>
      <c r="B247" s="71" t="s">
        <v>92</v>
      </c>
      <c r="C247" s="71" t="s">
        <v>92</v>
      </c>
      <c r="D247" s="71" t="s">
        <v>92</v>
      </c>
      <c r="E247" s="71" t="s">
        <v>92</v>
      </c>
      <c r="F247" s="71" t="s">
        <v>92</v>
      </c>
      <c r="G247" s="71" t="s">
        <v>92</v>
      </c>
    </row>
    <row r="248" spans="1:7">
      <c r="A248" s="71">
        <v>6</v>
      </c>
      <c r="B248" s="71">
        <v>234.51</v>
      </c>
      <c r="C248" s="71">
        <v>-3.16</v>
      </c>
      <c r="D248" s="71">
        <v>238.59</v>
      </c>
      <c r="E248" s="71">
        <v>-3.56</v>
      </c>
      <c r="F248" s="71">
        <v>242.58</v>
      </c>
      <c r="G248" s="71">
        <v>-3.28</v>
      </c>
    </row>
    <row r="249" spans="1:7">
      <c r="A249" s="71">
        <v>7</v>
      </c>
      <c r="B249" s="71" t="s">
        <v>92</v>
      </c>
      <c r="C249" s="71" t="s">
        <v>92</v>
      </c>
      <c r="D249" s="71" t="s">
        <v>92</v>
      </c>
      <c r="E249" s="71" t="s">
        <v>92</v>
      </c>
      <c r="F249" s="71" t="s">
        <v>92</v>
      </c>
      <c r="G249" s="71" t="s">
        <v>92</v>
      </c>
    </row>
    <row r="250" spans="1:7">
      <c r="A250" s="71">
        <v>8</v>
      </c>
      <c r="B250" s="71" t="s">
        <v>92</v>
      </c>
      <c r="C250" s="71" t="s">
        <v>92</v>
      </c>
      <c r="D250" s="71" t="s">
        <v>92</v>
      </c>
      <c r="E250" s="71" t="s">
        <v>92</v>
      </c>
      <c r="F250" s="71" t="s">
        <v>92</v>
      </c>
      <c r="G250" s="71" t="s">
        <v>92</v>
      </c>
    </row>
    <row r="251" spans="1:7">
      <c r="A251" s="71">
        <v>9</v>
      </c>
      <c r="B251" s="71">
        <v>382.9</v>
      </c>
      <c r="C251" s="71">
        <v>0.33</v>
      </c>
      <c r="D251" s="71">
        <v>395.43</v>
      </c>
      <c r="E251" s="71">
        <v>0.27</v>
      </c>
      <c r="F251" s="71">
        <v>401.2</v>
      </c>
      <c r="G251" s="71">
        <v>0.05</v>
      </c>
    </row>
    <row r="252" spans="1:7">
      <c r="A252" s="71">
        <v>10</v>
      </c>
      <c r="B252" s="71">
        <v>292.14999999999998</v>
      </c>
      <c r="C252" s="71">
        <v>-2.95</v>
      </c>
      <c r="D252" s="71">
        <v>307.14999999999998</v>
      </c>
      <c r="E252" s="71">
        <v>-2.17</v>
      </c>
      <c r="F252" s="71">
        <v>310.38</v>
      </c>
      <c r="G252" s="71">
        <v>-1.78</v>
      </c>
    </row>
    <row r="253" spans="1:7">
      <c r="A253" s="71">
        <v>11</v>
      </c>
      <c r="B253" s="71">
        <v>363.8</v>
      </c>
      <c r="C253" s="71">
        <v>-6.39</v>
      </c>
      <c r="D253" s="71">
        <v>370.6</v>
      </c>
      <c r="E253" s="71">
        <v>-6.17</v>
      </c>
      <c r="F253" s="71">
        <v>389.8</v>
      </c>
      <c r="G253" s="71">
        <v>-6.45</v>
      </c>
    </row>
    <row r="254" spans="1:7">
      <c r="A254" s="71">
        <v>12</v>
      </c>
      <c r="B254" s="71" t="s">
        <v>92</v>
      </c>
      <c r="C254" s="71" t="s">
        <v>92</v>
      </c>
      <c r="D254" s="71" t="s">
        <v>92</v>
      </c>
      <c r="E254" s="71" t="s">
        <v>92</v>
      </c>
      <c r="F254" s="71" t="s">
        <v>92</v>
      </c>
      <c r="G254" s="71" t="s">
        <v>92</v>
      </c>
    </row>
    <row r="255" spans="1:7">
      <c r="A255" s="71">
        <v>13</v>
      </c>
      <c r="B255" s="71" t="s">
        <v>92</v>
      </c>
      <c r="C255" s="71" t="s">
        <v>92</v>
      </c>
      <c r="D255" s="71" t="s">
        <v>92</v>
      </c>
      <c r="E255" s="71" t="s">
        <v>92</v>
      </c>
      <c r="F255" s="71" t="s">
        <v>92</v>
      </c>
      <c r="G255" s="71" t="s">
        <v>92</v>
      </c>
    </row>
    <row r="256" spans="1:7">
      <c r="A256" s="71">
        <v>14</v>
      </c>
      <c r="B256" s="71" t="s">
        <v>92</v>
      </c>
      <c r="C256" s="71" t="s">
        <v>92</v>
      </c>
      <c r="D256" s="71" t="s">
        <v>92</v>
      </c>
      <c r="E256" s="71" t="s">
        <v>92</v>
      </c>
      <c r="F256" s="71" t="s">
        <v>92</v>
      </c>
      <c r="G256" s="71" t="s">
        <v>92</v>
      </c>
    </row>
    <row r="257" spans="1:7">
      <c r="A257" s="71">
        <v>15</v>
      </c>
      <c r="B257" s="71">
        <v>271.83999999999997</v>
      </c>
      <c r="C257" s="71">
        <v>-0.06</v>
      </c>
      <c r="D257" s="71">
        <v>283.20999999999998</v>
      </c>
      <c r="E257" s="71">
        <v>-0.13</v>
      </c>
      <c r="F257" s="71">
        <v>286.45999999999998</v>
      </c>
      <c r="G257" s="71">
        <v>-0.03</v>
      </c>
    </row>
    <row r="258" spans="1:7">
      <c r="A258" s="71">
        <v>16</v>
      </c>
      <c r="B258" s="71">
        <v>227.3</v>
      </c>
      <c r="C258" s="71">
        <v>-5.85</v>
      </c>
      <c r="D258" s="71">
        <v>236.12</v>
      </c>
      <c r="E258" s="71">
        <v>-5.53</v>
      </c>
      <c r="F258" s="71">
        <v>245.64</v>
      </c>
      <c r="G258" s="71">
        <v>-5.21</v>
      </c>
    </row>
    <row r="259" spans="1:7">
      <c r="A259" s="71">
        <v>17</v>
      </c>
      <c r="B259" s="71">
        <v>403.16</v>
      </c>
      <c r="C259" s="71">
        <v>-24.1</v>
      </c>
      <c r="D259" s="71">
        <v>442.33</v>
      </c>
      <c r="E259" s="71">
        <v>-25.2</v>
      </c>
      <c r="F259" s="71">
        <v>453.1</v>
      </c>
      <c r="G259" s="71">
        <v>-25.2</v>
      </c>
    </row>
    <row r="260" spans="1:7">
      <c r="A260" s="71">
        <v>18</v>
      </c>
      <c r="B260" s="71" t="s">
        <v>92</v>
      </c>
      <c r="C260" s="71" t="s">
        <v>92</v>
      </c>
      <c r="D260" s="71" t="s">
        <v>92</v>
      </c>
      <c r="E260" s="71" t="s">
        <v>92</v>
      </c>
      <c r="F260" s="71" t="s">
        <v>92</v>
      </c>
      <c r="G260" s="71" t="s">
        <v>92</v>
      </c>
    </row>
    <row r="261" spans="1:7">
      <c r="A261" s="65">
        <f>$B$1</f>
        <v>10</v>
      </c>
      <c r="B261" s="67">
        <f>LOOKUP($B$1,A243:A260,B243:B260)</f>
        <v>292.14999999999998</v>
      </c>
      <c r="C261" s="67">
        <f>LOOKUP($B$1,A243:A260,C243:C260)</f>
        <v>-2.95</v>
      </c>
      <c r="D261" s="67">
        <f>LOOKUP($B$1,A243:A260,D243:D260)</f>
        <v>307.14999999999998</v>
      </c>
      <c r="E261" s="67">
        <f>LOOKUP($B$1,A243:A260,E243:E260)</f>
        <v>-2.17</v>
      </c>
      <c r="F261" s="67">
        <f>LOOKUP($B$1,A243:A260,F243:F260)</f>
        <v>310.38</v>
      </c>
      <c r="G261" s="67">
        <f>LOOKUP($B$1,A243:A260,G243:G260)</f>
        <v>-1.78</v>
      </c>
    </row>
    <row r="262" spans="1:7">
      <c r="A262" s="81" t="str">
        <f>I17</f>
        <v>White Wiz</v>
      </c>
      <c r="B262" s="69">
        <v>1</v>
      </c>
      <c r="C262" s="69" t="s">
        <v>90</v>
      </c>
      <c r="D262" s="69">
        <v>2</v>
      </c>
      <c r="E262" s="69" t="s">
        <v>90</v>
      </c>
      <c r="F262" s="69">
        <v>3</v>
      </c>
      <c r="G262" s="69" t="s">
        <v>90</v>
      </c>
    </row>
    <row r="263" spans="1:7">
      <c r="A263" s="71">
        <v>1</v>
      </c>
      <c r="B263" s="71">
        <v>396.21</v>
      </c>
      <c r="C263" s="71">
        <v>-14</v>
      </c>
      <c r="D263" s="71">
        <v>406.47</v>
      </c>
      <c r="E263" s="71">
        <v>-13.8</v>
      </c>
      <c r="F263" s="71">
        <v>419.4</v>
      </c>
      <c r="G263" s="71">
        <v>-13.5</v>
      </c>
    </row>
    <row r="264" spans="1:7">
      <c r="A264" s="71">
        <v>2</v>
      </c>
      <c r="B264" s="71">
        <v>167.7</v>
      </c>
      <c r="C264" s="71">
        <v>-5.7</v>
      </c>
      <c r="D264" s="71">
        <v>167.94</v>
      </c>
      <c r="E264" s="71">
        <v>-5.58</v>
      </c>
      <c r="F264" s="71">
        <v>180.53</v>
      </c>
      <c r="G264" s="71">
        <v>-5.68</v>
      </c>
    </row>
    <row r="265" spans="1:7">
      <c r="A265" s="71">
        <v>3</v>
      </c>
      <c r="B265" s="71" t="s">
        <v>92</v>
      </c>
      <c r="C265" s="71" t="s">
        <v>92</v>
      </c>
      <c r="D265" s="71" t="s">
        <v>92</v>
      </c>
      <c r="E265" s="71" t="s">
        <v>92</v>
      </c>
      <c r="F265" s="71" t="s">
        <v>92</v>
      </c>
      <c r="G265" s="71" t="s">
        <v>92</v>
      </c>
    </row>
    <row r="266" spans="1:7">
      <c r="A266" s="71">
        <v>4</v>
      </c>
      <c r="B266" s="71" t="s">
        <v>92</v>
      </c>
      <c r="C266" s="71" t="s">
        <v>92</v>
      </c>
      <c r="D266" s="71" t="s">
        <v>92</v>
      </c>
      <c r="E266" s="71" t="s">
        <v>92</v>
      </c>
      <c r="F266" s="71" t="s">
        <v>92</v>
      </c>
      <c r="G266" s="71" t="s">
        <v>92</v>
      </c>
    </row>
    <row r="267" spans="1:7">
      <c r="A267" s="71">
        <v>5</v>
      </c>
      <c r="B267" s="71" t="s">
        <v>92</v>
      </c>
      <c r="C267" s="71" t="s">
        <v>92</v>
      </c>
      <c r="D267" s="71" t="s">
        <v>92</v>
      </c>
      <c r="E267" s="71" t="s">
        <v>92</v>
      </c>
      <c r="F267" s="71" t="s">
        <v>92</v>
      </c>
      <c r="G267" s="71" t="s">
        <v>92</v>
      </c>
    </row>
    <row r="268" spans="1:7">
      <c r="A268" s="71">
        <v>6</v>
      </c>
      <c r="B268" s="71" t="s">
        <v>92</v>
      </c>
      <c r="C268" s="71" t="s">
        <v>92</v>
      </c>
      <c r="D268" s="71" t="s">
        <v>92</v>
      </c>
      <c r="E268" s="71" t="s">
        <v>92</v>
      </c>
      <c r="F268" s="71" t="s">
        <v>92</v>
      </c>
      <c r="G268" s="71" t="s">
        <v>92</v>
      </c>
    </row>
    <row r="269" spans="1:7">
      <c r="A269" s="71">
        <v>7</v>
      </c>
      <c r="B269" s="71" t="s">
        <v>92</v>
      </c>
      <c r="C269" s="71" t="s">
        <v>92</v>
      </c>
      <c r="D269" s="71" t="s">
        <v>92</v>
      </c>
      <c r="E269" s="71" t="s">
        <v>92</v>
      </c>
      <c r="F269" s="71" t="s">
        <v>92</v>
      </c>
      <c r="G269" s="71" t="s">
        <v>92</v>
      </c>
    </row>
    <row r="270" spans="1:7">
      <c r="A270" s="71">
        <v>8</v>
      </c>
      <c r="B270" s="71">
        <v>398.37</v>
      </c>
      <c r="C270" s="71">
        <v>-8.09</v>
      </c>
      <c r="D270" s="71" t="s">
        <v>92</v>
      </c>
      <c r="E270" s="71" t="s">
        <v>92</v>
      </c>
      <c r="F270" s="71" t="s">
        <v>92</v>
      </c>
      <c r="G270" s="71" t="s">
        <v>92</v>
      </c>
    </row>
    <row r="271" spans="1:7">
      <c r="A271" s="71">
        <v>9</v>
      </c>
      <c r="B271" s="71">
        <v>230.61</v>
      </c>
      <c r="C271" s="71">
        <v>-14.2</v>
      </c>
      <c r="D271" s="71">
        <v>236.72</v>
      </c>
      <c r="E271" s="71">
        <v>-14.2</v>
      </c>
      <c r="F271" s="71">
        <v>237.32</v>
      </c>
      <c r="G271" s="71">
        <v>-14.3</v>
      </c>
    </row>
    <row r="272" spans="1:7">
      <c r="A272" s="71">
        <v>10</v>
      </c>
      <c r="B272" s="71" t="s">
        <v>92</v>
      </c>
      <c r="C272" s="71" t="s">
        <v>92</v>
      </c>
      <c r="D272" s="71" t="s">
        <v>92</v>
      </c>
      <c r="E272" s="71" t="s">
        <v>92</v>
      </c>
      <c r="F272" s="71" t="s">
        <v>92</v>
      </c>
      <c r="G272" s="71" t="s">
        <v>92</v>
      </c>
    </row>
    <row r="273" spans="1:7">
      <c r="A273" s="71">
        <v>11</v>
      </c>
      <c r="B273" s="71">
        <v>382.9</v>
      </c>
      <c r="C273" s="71">
        <v>-4.1900000000000004</v>
      </c>
      <c r="D273" s="71">
        <v>391.73</v>
      </c>
      <c r="E273" s="71">
        <v>-4.28</v>
      </c>
      <c r="F273" s="71">
        <v>395.76</v>
      </c>
      <c r="G273" s="71">
        <v>-4.26</v>
      </c>
    </row>
    <row r="274" spans="1:7">
      <c r="A274" s="71">
        <v>12</v>
      </c>
      <c r="B274" s="71">
        <v>190.72</v>
      </c>
      <c r="C274" s="71">
        <v>8.6300000000000008</v>
      </c>
      <c r="D274" s="71">
        <v>197.7</v>
      </c>
      <c r="E274" s="71">
        <v>8.2899999999999991</v>
      </c>
      <c r="F274" s="71">
        <v>201.25</v>
      </c>
      <c r="G274" s="71">
        <v>8.3000000000000007</v>
      </c>
    </row>
    <row r="275" spans="1:7">
      <c r="A275" s="71">
        <v>13</v>
      </c>
      <c r="B275" s="71" t="s">
        <v>121</v>
      </c>
      <c r="C275" s="71">
        <v>-3.04</v>
      </c>
      <c r="D275" s="71" t="s">
        <v>122</v>
      </c>
      <c r="E275" s="71">
        <v>-3.24</v>
      </c>
      <c r="F275" s="71">
        <v>393.48</v>
      </c>
      <c r="G275" s="71">
        <v>-3.12</v>
      </c>
    </row>
    <row r="276" spans="1:7">
      <c r="A276" s="71">
        <v>14</v>
      </c>
      <c r="B276" s="71" t="s">
        <v>92</v>
      </c>
      <c r="C276" s="71" t="s">
        <v>92</v>
      </c>
      <c r="D276" s="71" t="s">
        <v>92</v>
      </c>
      <c r="E276" s="71" t="s">
        <v>92</v>
      </c>
      <c r="F276" s="71" t="s">
        <v>92</v>
      </c>
      <c r="G276" s="71" t="s">
        <v>92</v>
      </c>
    </row>
    <row r="277" spans="1:7">
      <c r="A277" s="71">
        <v>15</v>
      </c>
      <c r="B277" s="71" t="s">
        <v>92</v>
      </c>
      <c r="C277" s="71" t="s">
        <v>92</v>
      </c>
      <c r="D277" s="71" t="s">
        <v>92</v>
      </c>
      <c r="E277" s="71" t="s">
        <v>92</v>
      </c>
      <c r="F277" s="71" t="s">
        <v>92</v>
      </c>
      <c r="G277" s="71" t="s">
        <v>92</v>
      </c>
    </row>
    <row r="278" spans="1:7">
      <c r="A278" s="71">
        <v>16</v>
      </c>
      <c r="B278" s="71">
        <v>164.63</v>
      </c>
      <c r="C278" s="71">
        <v>-3.58</v>
      </c>
      <c r="D278" s="71">
        <v>168.94</v>
      </c>
      <c r="E278" s="71">
        <v>-3.61</v>
      </c>
      <c r="F278" s="71">
        <v>178.25</v>
      </c>
      <c r="G278" s="71">
        <v>-3.53</v>
      </c>
    </row>
    <row r="279" spans="1:7">
      <c r="A279" s="71">
        <v>17</v>
      </c>
      <c r="B279" s="71" t="s">
        <v>92</v>
      </c>
      <c r="C279" s="71" t="s">
        <v>92</v>
      </c>
      <c r="D279" s="71" t="s">
        <v>92</v>
      </c>
      <c r="E279" s="71" t="s">
        <v>92</v>
      </c>
      <c r="F279" s="71" t="s">
        <v>92</v>
      </c>
      <c r="G279" s="71" t="s">
        <v>92</v>
      </c>
    </row>
    <row r="280" spans="1:7">
      <c r="A280" s="71">
        <v>18</v>
      </c>
      <c r="B280" s="71">
        <v>357.2</v>
      </c>
      <c r="C280" s="71">
        <v>-22.2</v>
      </c>
      <c r="D280" s="71">
        <v>366.2</v>
      </c>
      <c r="E280" s="71">
        <v>-22.3</v>
      </c>
      <c r="F280" s="71">
        <v>388.6</v>
      </c>
      <c r="G280" s="71">
        <v>-22.6</v>
      </c>
    </row>
    <row r="281" spans="1:7">
      <c r="A281" s="65">
        <f>$B$1</f>
        <v>10</v>
      </c>
      <c r="B281" s="67" t="str">
        <f>LOOKUP($B$1,A263:A280,B263:B280)</f>
        <v>-</v>
      </c>
      <c r="C281" s="67" t="str">
        <f>LOOKUP($B$1,A263:A280,C263:C280)</f>
        <v>-</v>
      </c>
      <c r="D281" s="67" t="str">
        <f>LOOKUP($B$1,A263:A280,D263:D280)</f>
        <v>-</v>
      </c>
      <c r="E281" s="67" t="str">
        <f>LOOKUP($B$1,A263:A280,E263:E280)</f>
        <v>-</v>
      </c>
      <c r="F281" s="67" t="str">
        <f>LOOKUP($B$1,A263:A280,F263:F280)</f>
        <v>-</v>
      </c>
      <c r="G281" s="67" t="str">
        <f>LOOKUP($B$1,A263:A280,G263:G280)</f>
        <v>-</v>
      </c>
    </row>
    <row r="282" spans="1:7">
      <c r="A282" s="79" t="str">
        <f>I18</f>
        <v>Wind Hill</v>
      </c>
      <c r="B282" s="69">
        <v>1</v>
      </c>
      <c r="C282" s="69" t="s">
        <v>90</v>
      </c>
      <c r="D282" s="69">
        <v>2</v>
      </c>
      <c r="E282" s="69" t="s">
        <v>90</v>
      </c>
      <c r="F282" s="69">
        <v>3</v>
      </c>
      <c r="G282" s="69" t="s">
        <v>90</v>
      </c>
    </row>
    <row r="283" spans="1:7">
      <c r="A283" s="71">
        <v>1</v>
      </c>
      <c r="B283" s="71" t="s">
        <v>92</v>
      </c>
      <c r="C283" s="71" t="s">
        <v>92</v>
      </c>
      <c r="D283" s="71" t="s">
        <v>92</v>
      </c>
      <c r="E283" s="71" t="s">
        <v>92</v>
      </c>
      <c r="F283" s="71" t="s">
        <v>92</v>
      </c>
      <c r="G283" s="71" t="s">
        <v>92</v>
      </c>
    </row>
    <row r="284" spans="1:7">
      <c r="A284" s="71">
        <v>2</v>
      </c>
      <c r="B284" s="71">
        <v>303.07</v>
      </c>
      <c r="C284" s="71">
        <v>-7.67</v>
      </c>
      <c r="D284" s="71">
        <v>311.76</v>
      </c>
      <c r="E284" s="71">
        <v>-8.2799999999999994</v>
      </c>
      <c r="F284" s="71">
        <v>319.69</v>
      </c>
      <c r="G284" s="71">
        <v>-7.68</v>
      </c>
    </row>
    <row r="285" spans="1:7">
      <c r="A285" s="71">
        <v>3</v>
      </c>
      <c r="B285" s="71" t="s">
        <v>92</v>
      </c>
      <c r="C285" s="71" t="s">
        <v>92</v>
      </c>
      <c r="D285" s="71" t="s">
        <v>92</v>
      </c>
      <c r="E285" s="71" t="s">
        <v>92</v>
      </c>
      <c r="F285" s="71" t="s">
        <v>92</v>
      </c>
      <c r="G285" s="71" t="s">
        <v>92</v>
      </c>
    </row>
    <row r="286" spans="1:7">
      <c r="A286" s="71">
        <v>4</v>
      </c>
      <c r="B286" s="71" t="s">
        <v>92</v>
      </c>
      <c r="C286" s="71" t="s">
        <v>92</v>
      </c>
      <c r="D286" s="71" t="s">
        <v>92</v>
      </c>
      <c r="E286" s="71" t="s">
        <v>92</v>
      </c>
      <c r="F286" s="71" t="s">
        <v>92</v>
      </c>
      <c r="G286" s="71" t="s">
        <v>92</v>
      </c>
    </row>
    <row r="287" spans="1:7">
      <c r="A287" s="71">
        <v>5</v>
      </c>
      <c r="B287" s="71" t="s">
        <v>92</v>
      </c>
      <c r="C287" s="71" t="s">
        <v>92</v>
      </c>
      <c r="D287" s="71" t="s">
        <v>92</v>
      </c>
      <c r="E287" s="71" t="s">
        <v>92</v>
      </c>
      <c r="F287" s="71" t="s">
        <v>92</v>
      </c>
      <c r="G287" s="71" t="s">
        <v>92</v>
      </c>
    </row>
    <row r="288" spans="1:7">
      <c r="A288" s="71">
        <v>6</v>
      </c>
      <c r="B288" s="71" t="s">
        <v>92</v>
      </c>
      <c r="C288" s="71" t="s">
        <v>92</v>
      </c>
      <c r="D288" s="71" t="s">
        <v>92</v>
      </c>
      <c r="E288" s="71" t="s">
        <v>92</v>
      </c>
      <c r="F288" s="71" t="s">
        <v>92</v>
      </c>
      <c r="G288" s="71" t="s">
        <v>92</v>
      </c>
    </row>
    <row r="289" spans="1:7">
      <c r="A289" s="71">
        <v>7</v>
      </c>
      <c r="B289" s="71">
        <v>244.47</v>
      </c>
      <c r="C289" s="71">
        <v>-15.5</v>
      </c>
      <c r="D289" s="71">
        <v>256.13</v>
      </c>
      <c r="E289" s="71">
        <v>-15.1</v>
      </c>
      <c r="F289" s="71">
        <v>257.88</v>
      </c>
      <c r="G289" s="71">
        <v>-14.9</v>
      </c>
    </row>
    <row r="290" spans="1:7">
      <c r="A290" s="71">
        <v>8</v>
      </c>
      <c r="B290" s="71" t="s">
        <v>92</v>
      </c>
      <c r="C290" s="71" t="s">
        <v>92</v>
      </c>
      <c r="D290" s="71" t="s">
        <v>92</v>
      </c>
      <c r="E290" s="71" t="s">
        <v>92</v>
      </c>
      <c r="F290" s="71" t="s">
        <v>92</v>
      </c>
      <c r="G290" s="71" t="s">
        <v>92</v>
      </c>
    </row>
    <row r="291" spans="1:7">
      <c r="A291" s="71">
        <v>9</v>
      </c>
      <c r="B291" s="71" t="s">
        <v>92</v>
      </c>
      <c r="C291" s="71" t="s">
        <v>92</v>
      </c>
      <c r="D291" s="71" t="s">
        <v>92</v>
      </c>
      <c r="E291" s="71" t="s">
        <v>92</v>
      </c>
      <c r="F291" s="71" t="s">
        <v>92</v>
      </c>
      <c r="G291" s="71" t="s">
        <v>92</v>
      </c>
    </row>
    <row r="292" spans="1:7">
      <c r="A292" s="71">
        <v>10</v>
      </c>
      <c r="B292" s="71" t="s">
        <v>92</v>
      </c>
      <c r="C292" s="71" t="s">
        <v>92</v>
      </c>
      <c r="D292" s="71" t="s">
        <v>92</v>
      </c>
      <c r="E292" s="71" t="s">
        <v>92</v>
      </c>
      <c r="F292" s="71" t="s">
        <v>92</v>
      </c>
      <c r="G292" s="71" t="s">
        <v>92</v>
      </c>
    </row>
    <row r="293" spans="1:7">
      <c r="A293" s="71">
        <v>11</v>
      </c>
      <c r="B293" s="71" t="s">
        <v>92</v>
      </c>
      <c r="C293" s="71" t="s">
        <v>92</v>
      </c>
      <c r="D293" s="71" t="s">
        <v>92</v>
      </c>
      <c r="E293" s="71" t="s">
        <v>92</v>
      </c>
      <c r="F293" s="71" t="s">
        <v>92</v>
      </c>
      <c r="G293" s="71" t="s">
        <v>92</v>
      </c>
    </row>
    <row r="294" spans="1:7">
      <c r="A294" s="71">
        <v>12</v>
      </c>
      <c r="B294" s="71" t="s">
        <v>92</v>
      </c>
      <c r="C294" s="71" t="s">
        <v>92</v>
      </c>
      <c r="D294" s="71" t="s">
        <v>92</v>
      </c>
      <c r="E294" s="71" t="s">
        <v>92</v>
      </c>
      <c r="F294" s="71" t="s">
        <v>92</v>
      </c>
      <c r="G294" s="71" t="s">
        <v>92</v>
      </c>
    </row>
    <row r="295" spans="1:7">
      <c r="A295" s="71">
        <v>13</v>
      </c>
      <c r="B295" s="71">
        <v>239.51</v>
      </c>
      <c r="C295" s="71">
        <v>-14.8</v>
      </c>
      <c r="D295" s="71">
        <v>240.73</v>
      </c>
      <c r="E295" s="71">
        <v>-14.5</v>
      </c>
      <c r="F295" s="71">
        <v>251.37</v>
      </c>
      <c r="G295" s="71">
        <v>-14.8</v>
      </c>
    </row>
    <row r="296" spans="1:7">
      <c r="A296" s="71">
        <v>14</v>
      </c>
      <c r="B296" s="71">
        <v>349.6</v>
      </c>
      <c r="C296" s="71">
        <v>-18.2</v>
      </c>
      <c r="D296" s="71">
        <v>396.6</v>
      </c>
      <c r="E296" s="71">
        <v>-18.3</v>
      </c>
      <c r="F296" s="71">
        <v>401.9</v>
      </c>
      <c r="G296" s="71">
        <v>-18.2</v>
      </c>
    </row>
    <row r="297" spans="1:7">
      <c r="A297" s="71">
        <v>15</v>
      </c>
      <c r="B297" s="71" t="s">
        <v>92</v>
      </c>
      <c r="C297" s="71" t="s">
        <v>92</v>
      </c>
      <c r="D297" s="71" t="s">
        <v>92</v>
      </c>
      <c r="E297" s="71" t="s">
        <v>92</v>
      </c>
      <c r="F297" s="71" t="s">
        <v>92</v>
      </c>
      <c r="G297" s="71" t="s">
        <v>92</v>
      </c>
    </row>
    <row r="298" spans="1:7">
      <c r="A298" s="71">
        <v>16</v>
      </c>
      <c r="B298" s="71">
        <v>252.77</v>
      </c>
      <c r="C298" s="71">
        <v>-6.44</v>
      </c>
      <c r="D298" s="71">
        <v>264.37</v>
      </c>
      <c r="E298" s="71">
        <v>-6.46</v>
      </c>
      <c r="F298" s="71">
        <v>269.97000000000003</v>
      </c>
      <c r="G298" s="71">
        <v>-6.39</v>
      </c>
    </row>
    <row r="299" spans="1:7">
      <c r="A299" s="71">
        <v>17</v>
      </c>
      <c r="B299" s="71" t="s">
        <v>92</v>
      </c>
      <c r="C299" s="71" t="s">
        <v>92</v>
      </c>
      <c r="D299" s="71" t="s">
        <v>92</v>
      </c>
      <c r="E299" s="71" t="s">
        <v>92</v>
      </c>
      <c r="F299" s="71" t="s">
        <v>92</v>
      </c>
      <c r="G299" s="71" t="s">
        <v>92</v>
      </c>
    </row>
    <row r="300" spans="1:7">
      <c r="A300" s="71">
        <v>18</v>
      </c>
      <c r="B300" s="71">
        <v>393.02</v>
      </c>
      <c r="C300" s="71">
        <v>-8.65</v>
      </c>
      <c r="D300" s="71">
        <v>406.76</v>
      </c>
      <c r="E300" s="71">
        <v>-8.7200000000000006</v>
      </c>
      <c r="F300" s="71">
        <v>418.62</v>
      </c>
      <c r="G300" s="71">
        <v>-8.83</v>
      </c>
    </row>
    <row r="301" spans="1:7">
      <c r="A301" s="65">
        <f>$B$1</f>
        <v>10</v>
      </c>
      <c r="B301" s="67" t="str">
        <f>LOOKUP($B$1,A283:A300,B283:B300)</f>
        <v>-</v>
      </c>
      <c r="C301" s="67" t="str">
        <f>LOOKUP($B$1,A283:A300,C283:C300)</f>
        <v>-</v>
      </c>
      <c r="D301" s="67" t="str">
        <f>LOOKUP($B$1,A283:A300,D283:D300)</f>
        <v>-</v>
      </c>
      <c r="E301" s="67" t="str">
        <f>LOOKUP($B$1,A283:A300,E283:E300)</f>
        <v>-</v>
      </c>
      <c r="F301" s="67" t="str">
        <f>LOOKUP($B$1,A283:A300,F283:F300)</f>
        <v>-</v>
      </c>
      <c r="G301" s="67" t="str">
        <f>LOOKUP($B$1,A283:A300,G283:G300)</f>
        <v>-</v>
      </c>
    </row>
    <row r="302" spans="1:7">
      <c r="A302" s="79" t="str">
        <f>I19</f>
        <v>Deep Inferno</v>
      </c>
      <c r="B302" s="69">
        <v>1</v>
      </c>
      <c r="C302" s="69" t="s">
        <v>90</v>
      </c>
      <c r="D302" s="69">
        <v>2</v>
      </c>
      <c r="E302" s="69" t="s">
        <v>90</v>
      </c>
      <c r="F302" s="69">
        <v>3</v>
      </c>
      <c r="G302" s="69" t="s">
        <v>90</v>
      </c>
    </row>
    <row r="303" spans="1:7">
      <c r="A303" s="71">
        <v>1</v>
      </c>
      <c r="B303" s="71">
        <v>359.46</v>
      </c>
      <c r="C303" s="71">
        <v>-1.65</v>
      </c>
      <c r="D303" s="71">
        <v>370.8</v>
      </c>
      <c r="E303" s="71">
        <v>-1.39</v>
      </c>
      <c r="F303" s="71">
        <v>373.9</v>
      </c>
      <c r="G303" s="71">
        <v>-1.53</v>
      </c>
    </row>
    <row r="304" spans="1:7">
      <c r="A304" s="71">
        <v>2</v>
      </c>
      <c r="B304" s="71">
        <v>260.81</v>
      </c>
      <c r="C304" s="71">
        <v>-11.3</v>
      </c>
      <c r="D304" s="71">
        <v>263.23</v>
      </c>
      <c r="E304" s="71">
        <v>-11.5</v>
      </c>
      <c r="F304" s="71">
        <v>272.75</v>
      </c>
      <c r="G304" s="71">
        <v>-11.4</v>
      </c>
    </row>
    <row r="305" spans="1:7">
      <c r="A305" s="71">
        <v>3</v>
      </c>
      <c r="B305" s="71" t="s">
        <v>92</v>
      </c>
      <c r="C305" s="71" t="s">
        <v>92</v>
      </c>
      <c r="D305" s="71" t="s">
        <v>92</v>
      </c>
      <c r="E305" s="71" t="s">
        <v>92</v>
      </c>
      <c r="F305" s="71" t="s">
        <v>92</v>
      </c>
      <c r="G305" s="71" t="s">
        <v>92</v>
      </c>
    </row>
    <row r="306" spans="1:7">
      <c r="A306" s="71">
        <v>4</v>
      </c>
      <c r="B306" s="71" t="s">
        <v>92</v>
      </c>
      <c r="C306" s="71" t="s">
        <v>92</v>
      </c>
      <c r="D306" s="71" t="s">
        <v>92</v>
      </c>
      <c r="E306" s="71" t="s">
        <v>92</v>
      </c>
      <c r="F306" s="71" t="s">
        <v>92</v>
      </c>
      <c r="G306" s="71" t="s">
        <v>92</v>
      </c>
    </row>
    <row r="307" spans="1:7">
      <c r="A307" s="71">
        <v>5</v>
      </c>
      <c r="B307" s="71" t="s">
        <v>92</v>
      </c>
      <c r="C307" s="71" t="s">
        <v>92</v>
      </c>
      <c r="D307" s="71" t="s">
        <v>92</v>
      </c>
      <c r="E307" s="71" t="s">
        <v>92</v>
      </c>
      <c r="F307" s="71" t="s">
        <v>92</v>
      </c>
      <c r="G307" s="71" t="s">
        <v>92</v>
      </c>
    </row>
    <row r="308" spans="1:7">
      <c r="A308" s="71">
        <v>6</v>
      </c>
      <c r="B308" s="71">
        <v>237.2</v>
      </c>
      <c r="C308" s="71">
        <v>-4.71</v>
      </c>
      <c r="D308" s="71">
        <v>237.95</v>
      </c>
      <c r="E308" s="71">
        <v>-4.68</v>
      </c>
      <c r="F308" s="71">
        <v>241.04</v>
      </c>
      <c r="G308" s="71">
        <v>-4.5999999999999996</v>
      </c>
    </row>
    <row r="309" spans="1:7">
      <c r="A309" s="71">
        <v>7</v>
      </c>
      <c r="B309" s="71" t="s">
        <v>92</v>
      </c>
      <c r="C309" s="71" t="s">
        <v>92</v>
      </c>
      <c r="D309" s="71" t="s">
        <v>92</v>
      </c>
      <c r="E309" s="71" t="s">
        <v>92</v>
      </c>
      <c r="F309" s="71" t="s">
        <v>92</v>
      </c>
      <c r="G309" s="71" t="s">
        <v>92</v>
      </c>
    </row>
    <row r="310" spans="1:7">
      <c r="A310" s="71">
        <v>8</v>
      </c>
      <c r="B310" s="71">
        <v>326.89999999999998</v>
      </c>
      <c r="C310" s="71">
        <v>2.15</v>
      </c>
      <c r="D310" s="71">
        <v>334.8</v>
      </c>
      <c r="E310" s="71">
        <v>2.37</v>
      </c>
      <c r="F310" s="71">
        <v>339.6</v>
      </c>
      <c r="G310" s="71">
        <v>2.4</v>
      </c>
    </row>
    <row r="311" spans="1:7">
      <c r="A311" s="71">
        <v>9</v>
      </c>
      <c r="B311" s="71" t="s">
        <v>92</v>
      </c>
      <c r="C311" s="71" t="s">
        <v>92</v>
      </c>
      <c r="D311" s="71" t="s">
        <v>92</v>
      </c>
      <c r="E311" s="71" t="s">
        <v>92</v>
      </c>
      <c r="F311" s="71" t="s">
        <v>92</v>
      </c>
      <c r="G311" s="71" t="s">
        <v>92</v>
      </c>
    </row>
    <row r="312" spans="1:7">
      <c r="A312" s="71">
        <v>10</v>
      </c>
      <c r="B312" s="71" t="s">
        <v>92</v>
      </c>
      <c r="C312" s="71" t="s">
        <v>92</v>
      </c>
      <c r="D312" s="71" t="s">
        <v>92</v>
      </c>
      <c r="E312" s="71" t="s">
        <v>92</v>
      </c>
      <c r="F312" s="71" t="s">
        <v>92</v>
      </c>
      <c r="G312" s="71" t="s">
        <v>92</v>
      </c>
    </row>
    <row r="313" spans="1:7">
      <c r="A313" s="71">
        <v>11</v>
      </c>
      <c r="B313" s="71" t="s">
        <v>92</v>
      </c>
      <c r="C313" s="71" t="s">
        <v>92</v>
      </c>
      <c r="D313" s="71" t="s">
        <v>92</v>
      </c>
      <c r="E313" s="71" t="s">
        <v>92</v>
      </c>
      <c r="F313" s="71" t="s">
        <v>92</v>
      </c>
      <c r="G313" s="71" t="s">
        <v>92</v>
      </c>
    </row>
    <row r="314" spans="1:7">
      <c r="A314" s="71">
        <v>12</v>
      </c>
      <c r="B314" s="71">
        <v>273.01</v>
      </c>
      <c r="C314" s="71">
        <v>-2.98</v>
      </c>
      <c r="D314" s="71">
        <v>279.61</v>
      </c>
      <c r="E314" s="71">
        <v>-2.86</v>
      </c>
      <c r="F314" s="71">
        <v>288.77999999999997</v>
      </c>
      <c r="G314" s="71">
        <v>-2.63</v>
      </c>
    </row>
    <row r="315" spans="1:7">
      <c r="A315" s="71">
        <v>13</v>
      </c>
      <c r="B315" s="71" t="s">
        <v>92</v>
      </c>
      <c r="C315" s="71" t="s">
        <v>92</v>
      </c>
      <c r="D315" s="71" t="s">
        <v>92</v>
      </c>
      <c r="E315" s="71" t="s">
        <v>92</v>
      </c>
      <c r="F315" s="71" t="s">
        <v>92</v>
      </c>
      <c r="G315" s="71" t="s">
        <v>92</v>
      </c>
    </row>
    <row r="316" spans="1:7">
      <c r="A316" s="71">
        <v>14</v>
      </c>
      <c r="B316" s="71" t="s">
        <v>92</v>
      </c>
      <c r="C316" s="71" t="s">
        <v>92</v>
      </c>
      <c r="D316" s="71" t="s">
        <v>92</v>
      </c>
      <c r="E316" s="71" t="s">
        <v>92</v>
      </c>
      <c r="F316" s="71" t="s">
        <v>92</v>
      </c>
      <c r="G316" s="71" t="s">
        <v>92</v>
      </c>
    </row>
    <row r="317" spans="1:7">
      <c r="A317" s="71">
        <v>15</v>
      </c>
      <c r="B317" s="71" t="s">
        <v>92</v>
      </c>
      <c r="C317" s="71" t="s">
        <v>92</v>
      </c>
      <c r="D317" s="71" t="s">
        <v>92</v>
      </c>
      <c r="E317" s="71" t="s">
        <v>92</v>
      </c>
      <c r="F317" s="71" t="s">
        <v>92</v>
      </c>
      <c r="G317" s="71" t="s">
        <v>92</v>
      </c>
    </row>
    <row r="318" spans="1:7">
      <c r="A318" s="71">
        <v>16</v>
      </c>
      <c r="B318" s="71">
        <v>259.68</v>
      </c>
      <c r="C318" s="71">
        <v>-7.34</v>
      </c>
      <c r="D318" s="71">
        <v>270.81</v>
      </c>
      <c r="E318" s="71">
        <v>-6.71</v>
      </c>
      <c r="F318" s="71">
        <v>275.42</v>
      </c>
      <c r="G318" s="71">
        <v>-6.79</v>
      </c>
    </row>
    <row r="319" spans="1:7">
      <c r="A319" s="71">
        <v>17</v>
      </c>
      <c r="B319" s="71" t="s">
        <v>92</v>
      </c>
      <c r="C319" s="71" t="s">
        <v>92</v>
      </c>
      <c r="D319" s="71" t="s">
        <v>92</v>
      </c>
      <c r="E319" s="71" t="s">
        <v>92</v>
      </c>
      <c r="F319" s="71" t="s">
        <v>92</v>
      </c>
      <c r="G319" s="71" t="s">
        <v>92</v>
      </c>
    </row>
    <row r="320" spans="1:7">
      <c r="A320" s="71">
        <v>18</v>
      </c>
      <c r="B320" s="71">
        <v>404.03</v>
      </c>
      <c r="C320" s="71">
        <v>-3.21</v>
      </c>
      <c r="D320" s="71" t="s">
        <v>123</v>
      </c>
      <c r="E320" s="71">
        <v>-2.8</v>
      </c>
      <c r="F320" s="71" t="s">
        <v>124</v>
      </c>
      <c r="G320" s="71">
        <v>-3.24</v>
      </c>
    </row>
    <row r="321" spans="1:7">
      <c r="A321" s="65">
        <f>$B$1</f>
        <v>10</v>
      </c>
      <c r="B321" s="67" t="str">
        <f>LOOKUP($B$1,A303:A320,B303:B320)</f>
        <v>-</v>
      </c>
      <c r="C321" s="67" t="str">
        <f>LOOKUP($B$1,A303:A320,C303:C320)</f>
        <v>-</v>
      </c>
      <c r="D321" s="67" t="str">
        <f>LOOKUP($B$1,A303:A320,D303:D320)</f>
        <v>-</v>
      </c>
      <c r="E321" s="67" t="str">
        <f>LOOKUP($B$1,A303:A320,E303:E320)</f>
        <v>-</v>
      </c>
      <c r="F321" s="67" t="str">
        <f>LOOKUP($B$1,A303:A320,F303:F320)</f>
        <v>-</v>
      </c>
      <c r="G321" s="67" t="str">
        <f>LOOKUP($B$1,A303:A320,G303:G320)</f>
        <v>-</v>
      </c>
    </row>
    <row r="322" spans="1:7">
      <c r="A322" s="79" t="str">
        <f>I20</f>
        <v>Silvia Cannon</v>
      </c>
      <c r="B322" s="69">
        <v>1</v>
      </c>
      <c r="C322" s="69" t="s">
        <v>90</v>
      </c>
      <c r="D322" s="69">
        <v>2</v>
      </c>
      <c r="E322" s="69" t="s">
        <v>90</v>
      </c>
      <c r="F322" s="69">
        <v>3</v>
      </c>
      <c r="G322" s="69" t="s">
        <v>90</v>
      </c>
    </row>
    <row r="323" spans="1:7">
      <c r="A323" s="71">
        <v>1</v>
      </c>
      <c r="B323" s="71" t="s">
        <v>92</v>
      </c>
      <c r="C323" s="71" t="s">
        <v>92</v>
      </c>
      <c r="D323" s="71" t="s">
        <v>92</v>
      </c>
      <c r="E323" s="71" t="s">
        <v>92</v>
      </c>
      <c r="F323" s="71" t="s">
        <v>92</v>
      </c>
      <c r="G323" s="71" t="s">
        <v>92</v>
      </c>
    </row>
    <row r="324" spans="1:7">
      <c r="A324" s="71">
        <v>2</v>
      </c>
      <c r="B324" s="71">
        <v>229.24</v>
      </c>
      <c r="C324" s="71">
        <v>-7.92</v>
      </c>
      <c r="D324" s="71">
        <v>241.27</v>
      </c>
      <c r="E324" s="71">
        <v>-7.98</v>
      </c>
      <c r="F324" s="71">
        <v>242.6</v>
      </c>
      <c r="G324" s="71">
        <v>-8.1999999999999993</v>
      </c>
    </row>
    <row r="325" spans="1:7">
      <c r="A325" s="71">
        <v>3</v>
      </c>
      <c r="B325" s="71" t="s">
        <v>92</v>
      </c>
      <c r="C325" s="71" t="s">
        <v>92</v>
      </c>
      <c r="D325" s="71" t="s">
        <v>92</v>
      </c>
      <c r="E325" s="71" t="s">
        <v>92</v>
      </c>
      <c r="F325" s="71" t="s">
        <v>92</v>
      </c>
      <c r="G325" s="71" t="s">
        <v>92</v>
      </c>
    </row>
    <row r="326" spans="1:7">
      <c r="A326" s="71">
        <v>4</v>
      </c>
      <c r="B326" s="71">
        <v>376.76</v>
      </c>
      <c r="C326" s="71">
        <v>-27.1</v>
      </c>
      <c r="D326" s="71">
        <v>389.89</v>
      </c>
      <c r="E326" s="71">
        <v>-27.1</v>
      </c>
      <c r="F326" s="71">
        <v>394.8</v>
      </c>
      <c r="G326" s="71">
        <v>-27.1</v>
      </c>
    </row>
    <row r="327" spans="1:7">
      <c r="A327" s="71">
        <v>5</v>
      </c>
      <c r="B327" s="71" t="s">
        <v>92</v>
      </c>
      <c r="C327" s="71" t="s">
        <v>92</v>
      </c>
      <c r="D327" s="71" t="s">
        <v>92</v>
      </c>
      <c r="E327" s="71" t="s">
        <v>92</v>
      </c>
      <c r="F327" s="71" t="s">
        <v>92</v>
      </c>
      <c r="G327" s="71" t="s">
        <v>92</v>
      </c>
    </row>
    <row r="328" spans="1:7">
      <c r="A328" s="71">
        <v>6</v>
      </c>
      <c r="B328" s="71" t="s">
        <v>92</v>
      </c>
      <c r="C328" s="71" t="s">
        <v>92</v>
      </c>
      <c r="D328" s="71" t="s">
        <v>92</v>
      </c>
      <c r="E328" s="71" t="s">
        <v>92</v>
      </c>
      <c r="F328" s="71" t="s">
        <v>92</v>
      </c>
      <c r="G328" s="71" t="s">
        <v>92</v>
      </c>
    </row>
    <row r="329" spans="1:7">
      <c r="A329" s="71">
        <v>7</v>
      </c>
      <c r="B329" s="71" t="s">
        <v>92</v>
      </c>
      <c r="C329" s="71" t="s">
        <v>92</v>
      </c>
      <c r="D329" s="71" t="s">
        <v>92</v>
      </c>
      <c r="E329" s="71" t="s">
        <v>92</v>
      </c>
      <c r="F329" s="71" t="s">
        <v>92</v>
      </c>
      <c r="G329" s="71" t="s">
        <v>92</v>
      </c>
    </row>
    <row r="330" spans="1:7">
      <c r="A330" s="71">
        <v>8</v>
      </c>
      <c r="B330" s="71">
        <v>304.89999999999998</v>
      </c>
      <c r="C330" s="71">
        <v>-21.6</v>
      </c>
      <c r="D330" s="71">
        <v>314.89999999999998</v>
      </c>
      <c r="E330" s="71">
        <v>-21.6</v>
      </c>
      <c r="F330" s="71">
        <v>334.5</v>
      </c>
      <c r="G330" s="71">
        <v>-21.6</v>
      </c>
    </row>
    <row r="331" spans="1:7">
      <c r="A331" s="71">
        <v>9</v>
      </c>
      <c r="B331" s="71">
        <v>221.36</v>
      </c>
      <c r="C331" s="71">
        <v>-1.1200000000000001</v>
      </c>
      <c r="D331" s="71">
        <v>234.35</v>
      </c>
      <c r="E331" s="71">
        <v>-1.1599999999999999</v>
      </c>
      <c r="F331" s="71">
        <v>234.8</v>
      </c>
      <c r="G331" s="71">
        <v>-1.29</v>
      </c>
    </row>
    <row r="332" spans="1:7">
      <c r="A332" s="71">
        <v>10</v>
      </c>
      <c r="B332" s="71" t="s">
        <v>92</v>
      </c>
      <c r="C332" s="71" t="s">
        <v>92</v>
      </c>
      <c r="D332" s="71" t="s">
        <v>92</v>
      </c>
      <c r="E332" s="71" t="s">
        <v>92</v>
      </c>
      <c r="F332" s="71" t="s">
        <v>92</v>
      </c>
      <c r="G332" s="71" t="s">
        <v>92</v>
      </c>
    </row>
    <row r="333" spans="1:7">
      <c r="A333" s="71">
        <v>11</v>
      </c>
      <c r="B333" s="71">
        <v>262.8</v>
      </c>
      <c r="C333" s="71">
        <v>-11.6</v>
      </c>
      <c r="D333" s="71">
        <v>273.16000000000003</v>
      </c>
      <c r="E333" s="71">
        <v>-11.5</v>
      </c>
      <c r="F333" s="71">
        <v>290.39999999999998</v>
      </c>
      <c r="G333" s="71">
        <v>-11.6</v>
      </c>
    </row>
    <row r="334" spans="1:7">
      <c r="A334" s="71">
        <v>12</v>
      </c>
      <c r="B334" s="71">
        <v>167.64</v>
      </c>
      <c r="C334" s="71">
        <v>-4.04</v>
      </c>
      <c r="D334" s="71">
        <v>168.7</v>
      </c>
      <c r="E334" s="71">
        <v>-4.01</v>
      </c>
      <c r="F334" s="71">
        <v>179.47</v>
      </c>
      <c r="G334" s="71">
        <v>-4</v>
      </c>
    </row>
    <row r="335" spans="1:7">
      <c r="A335" s="71">
        <v>13</v>
      </c>
      <c r="B335" s="71" t="s">
        <v>92</v>
      </c>
      <c r="C335" s="71" t="s">
        <v>92</v>
      </c>
      <c r="D335" s="71" t="s">
        <v>92</v>
      </c>
      <c r="E335" s="71" t="s">
        <v>92</v>
      </c>
      <c r="F335" s="71" t="s">
        <v>92</v>
      </c>
      <c r="G335" s="71" t="s">
        <v>92</v>
      </c>
    </row>
    <row r="336" spans="1:7">
      <c r="A336" s="71">
        <v>14</v>
      </c>
      <c r="B336" s="71" t="s">
        <v>92</v>
      </c>
      <c r="C336" s="71" t="s">
        <v>92</v>
      </c>
      <c r="D336" s="71" t="s">
        <v>92</v>
      </c>
      <c r="E336" s="71" t="s">
        <v>92</v>
      </c>
      <c r="F336" s="71" t="s">
        <v>92</v>
      </c>
      <c r="G336" s="71" t="s">
        <v>92</v>
      </c>
    </row>
    <row r="337" spans="1:7">
      <c r="A337" s="71">
        <v>15</v>
      </c>
      <c r="B337" s="71" t="s">
        <v>92</v>
      </c>
      <c r="C337" s="71" t="s">
        <v>92</v>
      </c>
      <c r="D337" s="71" t="s">
        <v>92</v>
      </c>
      <c r="E337" s="71" t="s">
        <v>92</v>
      </c>
      <c r="F337" s="71" t="s">
        <v>92</v>
      </c>
      <c r="G337" s="71" t="s">
        <v>92</v>
      </c>
    </row>
    <row r="338" spans="1:7">
      <c r="A338" s="71">
        <v>16</v>
      </c>
      <c r="B338" s="71">
        <v>208.63</v>
      </c>
      <c r="C338" s="71">
        <v>-18</v>
      </c>
      <c r="D338" s="71">
        <v>209.12</v>
      </c>
      <c r="E338" s="71">
        <v>-18</v>
      </c>
      <c r="F338" s="71">
        <v>222.5</v>
      </c>
      <c r="G338" s="71">
        <v>-18</v>
      </c>
    </row>
    <row r="339" spans="1:7">
      <c r="A339" s="71">
        <v>17</v>
      </c>
      <c r="B339" s="71" t="s">
        <v>92</v>
      </c>
      <c r="C339" s="71" t="s">
        <v>92</v>
      </c>
      <c r="D339" s="71" t="s">
        <v>92</v>
      </c>
      <c r="E339" s="71" t="s">
        <v>92</v>
      </c>
      <c r="F339" s="71" t="s">
        <v>92</v>
      </c>
      <c r="G339" s="71" t="s">
        <v>92</v>
      </c>
    </row>
    <row r="340" spans="1:7">
      <c r="A340" s="71">
        <v>18</v>
      </c>
      <c r="B340" s="71" t="s">
        <v>92</v>
      </c>
      <c r="C340" s="71" t="s">
        <v>92</v>
      </c>
      <c r="D340" s="71" t="s">
        <v>92</v>
      </c>
      <c r="E340" s="71" t="s">
        <v>92</v>
      </c>
      <c r="F340" s="71" t="s">
        <v>92</v>
      </c>
      <c r="G340" s="71" t="s">
        <v>92</v>
      </c>
    </row>
    <row r="341" spans="1:7">
      <c r="A341" s="65">
        <f>$B$1</f>
        <v>10</v>
      </c>
      <c r="B341" s="67" t="str">
        <f>LOOKUP($B$1,A323:A340,B323:B340)</f>
        <v>-</v>
      </c>
      <c r="C341" s="67" t="str">
        <f>LOOKUP($B$1,A323:A340,C323:C340)</f>
        <v>-</v>
      </c>
      <c r="D341" s="67" t="str">
        <f>LOOKUP($B$1,A323:A340,D323:D340)</f>
        <v>-</v>
      </c>
      <c r="E341" s="67" t="str">
        <f>LOOKUP($B$1,A323:A340,E323:E340)</f>
        <v>-</v>
      </c>
      <c r="F341" s="67" t="str">
        <f>LOOKUP($B$1,A323:A340,F323:F340)</f>
        <v>-</v>
      </c>
      <c r="G341" s="67" t="str">
        <f>LOOKUP($B$1,A323:A340,G323:G340)</f>
        <v>-</v>
      </c>
    </row>
    <row r="342" spans="1:7">
      <c r="A342" s="82" t="str">
        <f>I21</f>
        <v>Ice Inferno</v>
      </c>
      <c r="B342" s="69">
        <v>1</v>
      </c>
      <c r="C342" s="69" t="s">
        <v>90</v>
      </c>
      <c r="D342" s="69">
        <v>2</v>
      </c>
      <c r="E342" s="69" t="s">
        <v>90</v>
      </c>
      <c r="F342" s="69">
        <v>3</v>
      </c>
      <c r="G342" s="69" t="s">
        <v>90</v>
      </c>
    </row>
    <row r="343" spans="1:7">
      <c r="A343" s="71">
        <v>1</v>
      </c>
      <c r="B343" s="71">
        <v>359.46</v>
      </c>
      <c r="C343" s="71">
        <v>-1.53</v>
      </c>
      <c r="D343" s="71">
        <v>370.8</v>
      </c>
      <c r="E343" s="71">
        <v>-1.01</v>
      </c>
      <c r="F343" s="71">
        <v>373.9</v>
      </c>
      <c r="G343" s="71">
        <v>-1.2</v>
      </c>
    </row>
    <row r="344" spans="1:7">
      <c r="A344" s="71">
        <v>2</v>
      </c>
      <c r="B344" s="71">
        <v>260.81</v>
      </c>
      <c r="C344" s="71">
        <v>-10.6</v>
      </c>
      <c r="D344" s="71">
        <v>263.25</v>
      </c>
      <c r="E344" s="71">
        <v>-10.9</v>
      </c>
      <c r="F344" s="71">
        <v>272.72000000000003</v>
      </c>
      <c r="G344" s="71">
        <v>-10.9</v>
      </c>
    </row>
    <row r="345" spans="1:7">
      <c r="A345" s="71">
        <v>3</v>
      </c>
      <c r="B345" s="71" t="s">
        <v>92</v>
      </c>
      <c r="C345" s="71" t="s">
        <v>92</v>
      </c>
      <c r="D345" s="71" t="s">
        <v>92</v>
      </c>
      <c r="E345" s="71" t="s">
        <v>92</v>
      </c>
      <c r="F345" s="71" t="s">
        <v>92</v>
      </c>
      <c r="G345" s="71" t="s">
        <v>92</v>
      </c>
    </row>
    <row r="346" spans="1:7">
      <c r="A346" s="71">
        <v>4</v>
      </c>
      <c r="B346" s="71" t="s">
        <v>92</v>
      </c>
      <c r="C346" s="71" t="s">
        <v>92</v>
      </c>
      <c r="D346" s="71" t="s">
        <v>92</v>
      </c>
      <c r="E346" s="71" t="s">
        <v>92</v>
      </c>
      <c r="F346" s="71" t="s">
        <v>92</v>
      </c>
      <c r="G346" s="71" t="s">
        <v>92</v>
      </c>
    </row>
    <row r="347" spans="1:7">
      <c r="A347" s="71">
        <v>5</v>
      </c>
      <c r="B347" s="71" t="s">
        <v>92</v>
      </c>
      <c r="C347" s="71" t="s">
        <v>92</v>
      </c>
      <c r="D347" s="71" t="s">
        <v>92</v>
      </c>
      <c r="E347" s="71" t="s">
        <v>92</v>
      </c>
      <c r="F347" s="71" t="s">
        <v>92</v>
      </c>
      <c r="G347" s="71" t="s">
        <v>92</v>
      </c>
    </row>
    <row r="348" spans="1:7">
      <c r="A348" s="71">
        <v>6</v>
      </c>
      <c r="B348" s="71">
        <v>237.2</v>
      </c>
      <c r="C348" s="71">
        <v>-4.8899999999999997</v>
      </c>
      <c r="D348" s="71">
        <v>237.95</v>
      </c>
      <c r="E348" s="71">
        <v>-4.8099999999999996</v>
      </c>
      <c r="F348" s="71">
        <v>241.05</v>
      </c>
      <c r="G348" s="71">
        <v>-4.83</v>
      </c>
    </row>
    <row r="349" spans="1:7">
      <c r="A349" s="71">
        <v>7</v>
      </c>
      <c r="B349" s="71" t="s">
        <v>92</v>
      </c>
      <c r="C349" s="71" t="s">
        <v>92</v>
      </c>
      <c r="D349" s="71" t="s">
        <v>92</v>
      </c>
      <c r="E349" s="71" t="s">
        <v>92</v>
      </c>
      <c r="F349" s="71" t="s">
        <v>92</v>
      </c>
      <c r="G349" s="71" t="s">
        <v>92</v>
      </c>
    </row>
    <row r="350" spans="1:7">
      <c r="A350" s="71">
        <v>8</v>
      </c>
      <c r="B350" s="71">
        <v>326.89999999999998</v>
      </c>
      <c r="C350" s="71">
        <v>2.76</v>
      </c>
      <c r="D350" s="71">
        <v>334.8</v>
      </c>
      <c r="E350" s="71">
        <v>3.04</v>
      </c>
      <c r="F350" s="71">
        <v>339.6</v>
      </c>
      <c r="G350" s="71">
        <v>2.97</v>
      </c>
    </row>
    <row r="351" spans="1:7">
      <c r="A351" s="71">
        <v>9</v>
      </c>
      <c r="B351" s="71" t="s">
        <v>92</v>
      </c>
      <c r="C351" s="71" t="s">
        <v>92</v>
      </c>
      <c r="D351" s="71" t="s">
        <v>92</v>
      </c>
      <c r="E351" s="71" t="s">
        <v>92</v>
      </c>
      <c r="F351" s="71" t="s">
        <v>92</v>
      </c>
      <c r="G351" s="71" t="s">
        <v>92</v>
      </c>
    </row>
    <row r="352" spans="1:7">
      <c r="A352" s="71">
        <v>10</v>
      </c>
      <c r="B352" s="71" t="s">
        <v>92</v>
      </c>
      <c r="C352" s="71" t="s">
        <v>92</v>
      </c>
      <c r="D352" s="71" t="s">
        <v>92</v>
      </c>
      <c r="E352" s="71" t="s">
        <v>92</v>
      </c>
      <c r="F352" s="71" t="s">
        <v>92</v>
      </c>
      <c r="G352" s="71" t="s">
        <v>92</v>
      </c>
    </row>
    <row r="353" spans="1:7">
      <c r="A353" s="71">
        <v>11</v>
      </c>
      <c r="B353" s="71" t="s">
        <v>92</v>
      </c>
      <c r="C353" s="71" t="s">
        <v>92</v>
      </c>
      <c r="D353" s="71" t="s">
        <v>92</v>
      </c>
      <c r="E353" s="71" t="s">
        <v>92</v>
      </c>
      <c r="F353" s="71" t="s">
        <v>92</v>
      </c>
      <c r="G353" s="71" t="s">
        <v>92</v>
      </c>
    </row>
    <row r="354" spans="1:7">
      <c r="A354" s="71">
        <v>12</v>
      </c>
      <c r="B354" s="71">
        <v>273</v>
      </c>
      <c r="C354" s="71">
        <v>-2.58</v>
      </c>
      <c r="D354" s="71">
        <v>279.56</v>
      </c>
      <c r="E354" s="71">
        <v>-2.48</v>
      </c>
      <c r="F354" s="71">
        <v>288.8</v>
      </c>
      <c r="G354" s="71">
        <v>-2.41</v>
      </c>
    </row>
    <row r="355" spans="1:7">
      <c r="A355" s="71">
        <v>13</v>
      </c>
      <c r="B355" s="71" t="s">
        <v>92</v>
      </c>
      <c r="C355" s="71" t="s">
        <v>92</v>
      </c>
      <c r="D355" s="71" t="s">
        <v>92</v>
      </c>
      <c r="E355" s="71" t="s">
        <v>92</v>
      </c>
      <c r="F355" s="71" t="s">
        <v>92</v>
      </c>
      <c r="G355" s="71" t="s">
        <v>92</v>
      </c>
    </row>
    <row r="356" spans="1:7">
      <c r="A356" s="71">
        <v>14</v>
      </c>
      <c r="B356" s="71" t="s">
        <v>92</v>
      </c>
      <c r="C356" s="71" t="s">
        <v>92</v>
      </c>
      <c r="D356" s="71" t="s">
        <v>92</v>
      </c>
      <c r="E356" s="71" t="s">
        <v>92</v>
      </c>
      <c r="F356" s="71" t="s">
        <v>92</v>
      </c>
      <c r="G356" s="71" t="s">
        <v>92</v>
      </c>
    </row>
    <row r="357" spans="1:7">
      <c r="A357" s="71">
        <v>15</v>
      </c>
      <c r="B357" s="71" t="s">
        <v>92</v>
      </c>
      <c r="C357" s="71" t="s">
        <v>92</v>
      </c>
      <c r="D357" s="71" t="s">
        <v>92</v>
      </c>
      <c r="E357" s="71" t="s">
        <v>92</v>
      </c>
      <c r="F357" s="71" t="s">
        <v>92</v>
      </c>
      <c r="G357" s="71" t="s">
        <v>92</v>
      </c>
    </row>
    <row r="358" spans="1:7">
      <c r="A358" s="71">
        <v>16</v>
      </c>
      <c r="B358" s="71">
        <v>259.7</v>
      </c>
      <c r="C358" s="71">
        <v>-6.71</v>
      </c>
      <c r="D358" s="71">
        <v>270.85000000000002</v>
      </c>
      <c r="E358" s="71">
        <v>-6.52</v>
      </c>
      <c r="F358" s="71">
        <v>275.45</v>
      </c>
      <c r="G358" s="71">
        <v>-6.76</v>
      </c>
    </row>
    <row r="359" spans="1:7">
      <c r="A359" s="71">
        <v>17</v>
      </c>
      <c r="B359" s="71" t="s">
        <v>92</v>
      </c>
      <c r="C359" s="71" t="s">
        <v>92</v>
      </c>
      <c r="D359" s="71" t="s">
        <v>92</v>
      </c>
      <c r="E359" s="71" t="s">
        <v>92</v>
      </c>
      <c r="F359" s="71" t="s">
        <v>92</v>
      </c>
      <c r="G359" s="71" t="s">
        <v>92</v>
      </c>
    </row>
    <row r="360" spans="1:7">
      <c r="A360" s="71">
        <v>18</v>
      </c>
      <c r="B360" s="71">
        <v>404.03</v>
      </c>
      <c r="C360" s="71">
        <v>-2.86</v>
      </c>
      <c r="D360" s="71" t="s">
        <v>123</v>
      </c>
      <c r="E360" s="71">
        <v>-2.87</v>
      </c>
      <c r="F360" s="71" t="s">
        <v>124</v>
      </c>
      <c r="G360" s="71">
        <v>-2.85</v>
      </c>
    </row>
    <row r="361" spans="1:7">
      <c r="A361" s="65">
        <f>$B$1</f>
        <v>10</v>
      </c>
      <c r="B361" s="67" t="str">
        <f>LOOKUP($B$1,A343:A360,B343:B360)</f>
        <v>-</v>
      </c>
      <c r="C361" s="67" t="str">
        <f>LOOKUP($B$1,A343:A360,C343:C360)</f>
        <v>-</v>
      </c>
      <c r="D361" s="67" t="str">
        <f>LOOKUP($B$1,A343:A360,D343:D360)</f>
        <v>-</v>
      </c>
      <c r="E361" s="67" t="str">
        <f>LOOKUP($B$1,A343:A360,E343:E360)</f>
        <v>-</v>
      </c>
      <c r="F361" s="67" t="str">
        <f>LOOKUP($B$1,A343:A360,F343:F360)</f>
        <v>-</v>
      </c>
      <c r="G361" s="67" t="str">
        <f>LOOKUP($B$1,A343:A360,G343:G360)</f>
        <v>-</v>
      </c>
    </row>
    <row r="362" spans="1:7">
      <c r="A362" s="82" t="str">
        <f>I22</f>
        <v>Wiz Wiz</v>
      </c>
      <c r="B362" s="69">
        <v>1</v>
      </c>
      <c r="C362" s="69" t="s">
        <v>90</v>
      </c>
      <c r="D362" s="69">
        <v>2</v>
      </c>
      <c r="E362" s="69" t="s">
        <v>90</v>
      </c>
      <c r="F362" s="69">
        <v>3</v>
      </c>
      <c r="G362" s="69" t="s">
        <v>90</v>
      </c>
    </row>
    <row r="363" spans="1:7">
      <c r="A363" s="71">
        <v>1</v>
      </c>
      <c r="B363" s="71" t="s">
        <v>92</v>
      </c>
      <c r="C363" s="71" t="s">
        <v>92</v>
      </c>
      <c r="D363" s="71" t="s">
        <v>92</v>
      </c>
      <c r="E363" s="71" t="s">
        <v>92</v>
      </c>
      <c r="F363" s="71" t="s">
        <v>92</v>
      </c>
      <c r="G363" s="71" t="s">
        <v>92</v>
      </c>
    </row>
    <row r="364" spans="1:7">
      <c r="A364" s="71">
        <v>2</v>
      </c>
      <c r="B364" s="71" t="s">
        <v>92</v>
      </c>
      <c r="C364" s="71" t="s">
        <v>92</v>
      </c>
      <c r="D364" s="71" t="s">
        <v>92</v>
      </c>
      <c r="E364" s="71" t="s">
        <v>92</v>
      </c>
      <c r="F364" s="71" t="s">
        <v>92</v>
      </c>
      <c r="G364" s="71" t="s">
        <v>92</v>
      </c>
    </row>
    <row r="365" spans="1:7">
      <c r="A365" s="71">
        <v>3</v>
      </c>
      <c r="B365" s="71">
        <v>220.92</v>
      </c>
      <c r="C365" s="71">
        <v>-8.67</v>
      </c>
      <c r="D365" s="71">
        <v>238.44</v>
      </c>
      <c r="E365" s="71">
        <v>-8.74</v>
      </c>
      <c r="F365" s="71">
        <v>243.35</v>
      </c>
      <c r="G365" s="71">
        <v>-8.61</v>
      </c>
    </row>
    <row r="366" spans="1:7">
      <c r="A366" s="71">
        <v>4</v>
      </c>
      <c r="B366" s="71">
        <v>222.43</v>
      </c>
      <c r="C366" s="71">
        <v>-0.45</v>
      </c>
      <c r="D366" s="71">
        <v>236.68</v>
      </c>
      <c r="E366" s="71">
        <v>-0.32</v>
      </c>
      <c r="F366" s="71">
        <v>244.43</v>
      </c>
      <c r="G366" s="71">
        <v>-0.51</v>
      </c>
    </row>
    <row r="367" spans="1:7">
      <c r="A367" s="71">
        <v>5</v>
      </c>
      <c r="B367" s="71" t="s">
        <v>92</v>
      </c>
      <c r="C367" s="71" t="s">
        <v>92</v>
      </c>
      <c r="D367" s="71" t="s">
        <v>92</v>
      </c>
      <c r="E367" s="71" t="s">
        <v>92</v>
      </c>
      <c r="F367" s="71" t="s">
        <v>92</v>
      </c>
      <c r="G367" s="71" t="s">
        <v>92</v>
      </c>
    </row>
    <row r="368" spans="1:7">
      <c r="A368" s="71">
        <v>6</v>
      </c>
      <c r="B368" s="71" t="s">
        <v>92</v>
      </c>
      <c r="C368" s="71" t="s">
        <v>92</v>
      </c>
      <c r="D368" s="71" t="s">
        <v>92</v>
      </c>
      <c r="E368" s="71" t="s">
        <v>92</v>
      </c>
      <c r="F368" s="71" t="s">
        <v>92</v>
      </c>
      <c r="G368" s="71" t="s">
        <v>92</v>
      </c>
    </row>
    <row r="369" spans="1:7">
      <c r="A369" s="71">
        <v>7</v>
      </c>
      <c r="B369" s="71">
        <v>404.63</v>
      </c>
      <c r="C369" s="71">
        <v>-6.67</v>
      </c>
      <c r="D369" s="71">
        <v>414.62</v>
      </c>
      <c r="E369" s="71">
        <v>-6.36</v>
      </c>
      <c r="F369" s="71">
        <v>423.6</v>
      </c>
      <c r="G369" s="71">
        <v>-6.36</v>
      </c>
    </row>
    <row r="370" spans="1:7">
      <c r="A370" s="71">
        <v>8</v>
      </c>
      <c r="B370" s="71" t="s">
        <v>92</v>
      </c>
      <c r="C370" s="71" t="s">
        <v>92</v>
      </c>
      <c r="D370" s="71" t="s">
        <v>92</v>
      </c>
      <c r="E370" s="71" t="s">
        <v>92</v>
      </c>
      <c r="F370" s="71" t="s">
        <v>92</v>
      </c>
      <c r="G370" s="71" t="s">
        <v>92</v>
      </c>
    </row>
    <row r="371" spans="1:7">
      <c r="A371" s="71">
        <v>9</v>
      </c>
      <c r="B371" s="71">
        <v>216.28</v>
      </c>
      <c r="C371" s="71">
        <v>-1.5</v>
      </c>
      <c r="D371" s="71">
        <v>224.7</v>
      </c>
      <c r="E371" s="71">
        <v>-1.24</v>
      </c>
      <c r="F371" s="71">
        <v>239.43</v>
      </c>
      <c r="G371" s="71">
        <v>-1.17</v>
      </c>
    </row>
    <row r="372" spans="1:7">
      <c r="A372" s="71">
        <v>10</v>
      </c>
      <c r="B372" s="71">
        <v>242.97</v>
      </c>
      <c r="C372" s="71">
        <v>-28.1</v>
      </c>
      <c r="D372" s="71">
        <v>258.60000000000002</v>
      </c>
      <c r="E372" s="71">
        <v>-27.3</v>
      </c>
      <c r="F372" s="71">
        <v>265.8</v>
      </c>
      <c r="G372" s="71">
        <v>-27.5</v>
      </c>
    </row>
    <row r="373" spans="1:7">
      <c r="A373" s="71">
        <v>11</v>
      </c>
      <c r="B373" s="71" t="s">
        <v>92</v>
      </c>
      <c r="C373" s="71" t="s">
        <v>92</v>
      </c>
      <c r="D373" s="71" t="s">
        <v>92</v>
      </c>
      <c r="E373" s="71" t="s">
        <v>92</v>
      </c>
      <c r="F373" s="71" t="s">
        <v>92</v>
      </c>
      <c r="G373" s="71" t="s">
        <v>92</v>
      </c>
    </row>
    <row r="374" spans="1:7">
      <c r="A374" s="71">
        <v>12</v>
      </c>
      <c r="B374" s="71" t="s">
        <v>92</v>
      </c>
      <c r="C374" s="71" t="s">
        <v>92</v>
      </c>
      <c r="D374" s="71" t="s">
        <v>92</v>
      </c>
      <c r="E374" s="71" t="s">
        <v>92</v>
      </c>
      <c r="F374" s="71" t="s">
        <v>92</v>
      </c>
      <c r="G374" s="71" t="s">
        <v>92</v>
      </c>
    </row>
    <row r="375" spans="1:7">
      <c r="A375" s="71">
        <v>13</v>
      </c>
      <c r="B375" s="71">
        <v>213.13</v>
      </c>
      <c r="C375" s="71">
        <v>-6.12</v>
      </c>
      <c r="D375" s="71">
        <v>220.47</v>
      </c>
      <c r="E375" s="71">
        <v>-6.2</v>
      </c>
      <c r="F375" s="71">
        <v>225.33</v>
      </c>
      <c r="G375" s="71">
        <v>-6.42</v>
      </c>
    </row>
    <row r="376" spans="1:7">
      <c r="A376" s="71">
        <v>14</v>
      </c>
      <c r="B376" s="71">
        <v>370.6</v>
      </c>
      <c r="C376" s="71">
        <v>-8.86</v>
      </c>
      <c r="D376" s="71">
        <v>377.6</v>
      </c>
      <c r="E376" s="71">
        <v>-8.8699999999999992</v>
      </c>
      <c r="F376" s="71">
        <v>383.16</v>
      </c>
      <c r="G376" s="71">
        <v>-8.99</v>
      </c>
    </row>
    <row r="377" spans="1:7">
      <c r="A377" s="71">
        <v>15</v>
      </c>
      <c r="B377" s="71" t="s">
        <v>92</v>
      </c>
      <c r="C377" s="71" t="s">
        <v>92</v>
      </c>
      <c r="D377" s="71" t="s">
        <v>92</v>
      </c>
      <c r="E377" s="71" t="s">
        <v>92</v>
      </c>
      <c r="F377" s="71" t="s">
        <v>92</v>
      </c>
      <c r="G377" s="71" t="s">
        <v>92</v>
      </c>
    </row>
    <row r="378" spans="1:7">
      <c r="A378" s="71">
        <v>16</v>
      </c>
      <c r="B378" s="71">
        <v>211.5</v>
      </c>
      <c r="C378" s="71">
        <v>-5.83</v>
      </c>
      <c r="D378" s="71">
        <v>221.09</v>
      </c>
      <c r="E378" s="71">
        <v>-5.35</v>
      </c>
      <c r="F378" s="71">
        <v>229</v>
      </c>
      <c r="G378" s="71">
        <v>-4.96</v>
      </c>
    </row>
    <row r="379" spans="1:7">
      <c r="A379" s="71">
        <v>17</v>
      </c>
      <c r="B379" s="71">
        <v>257.64999999999998</v>
      </c>
      <c r="C379" s="71">
        <v>-6.77</v>
      </c>
      <c r="D379" s="71">
        <v>260.73</v>
      </c>
      <c r="E379" s="71">
        <v>-6.9</v>
      </c>
      <c r="F379" s="71">
        <v>272.48</v>
      </c>
      <c r="G379" s="71">
        <v>-7.04</v>
      </c>
    </row>
    <row r="380" spans="1:7">
      <c r="A380" s="71">
        <v>18</v>
      </c>
      <c r="B380" s="71">
        <v>389.84</v>
      </c>
      <c r="C380" s="71">
        <v>-9.01</v>
      </c>
      <c r="D380" s="71">
        <v>405.86</v>
      </c>
      <c r="E380" s="71">
        <v>-9.14</v>
      </c>
      <c r="F380" s="71">
        <v>406.37</v>
      </c>
      <c r="G380" s="71">
        <v>-8.83</v>
      </c>
    </row>
    <row r="381" spans="1:7">
      <c r="A381" s="65">
        <f>$B$1</f>
        <v>10</v>
      </c>
      <c r="B381" s="67">
        <f>LOOKUP($B$1,A363:A380,B363:B380)</f>
        <v>242.97</v>
      </c>
      <c r="C381" s="67">
        <f>LOOKUP($B$1,A363:A380,C363:C380)</f>
        <v>-28.1</v>
      </c>
      <c r="D381" s="67">
        <f>LOOKUP($B$1,A363:A380,D363:D380)</f>
        <v>258.60000000000002</v>
      </c>
      <c r="E381" s="67">
        <f>LOOKUP($B$1,A363:A380,E363:E380)</f>
        <v>-27.3</v>
      </c>
      <c r="F381" s="67">
        <f>LOOKUP($B$1,A363:A380,F363:F380)</f>
        <v>265.8</v>
      </c>
      <c r="G381" s="67">
        <f>LOOKUP($B$1,A363:A380,G363:G380)</f>
        <v>-27.5</v>
      </c>
    </row>
  </sheetData>
  <dataConsolidate/>
  <mergeCells count="3">
    <mergeCell ref="B1:G1"/>
    <mergeCell ref="J1:K1"/>
    <mergeCell ref="I31:M35"/>
  </mergeCells>
  <dataValidations count="1">
    <dataValidation type="list" allowBlank="1" showInputMessage="1" showErrorMessage="1" sqref="J25">
      <formula1>$I$4:$I$22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AT223"/>
  <sheetViews>
    <sheetView zoomScale="80" zoomScaleNormal="80" workbookViewId="0">
      <selection activeCell="G15" sqref="G15"/>
    </sheetView>
  </sheetViews>
  <sheetFormatPr defaultRowHeight="15" customHeight="1"/>
  <cols>
    <col min="1" max="2" width="9.85546875" customWidth="1"/>
    <col min="4" max="4" width="10" style="198" customWidth="1"/>
  </cols>
  <sheetData>
    <row r="1" spans="1:46">
      <c r="A1" s="7" t="s">
        <v>0</v>
      </c>
      <c r="B1" s="26">
        <f>Plan1!B1</f>
        <v>246.59</v>
      </c>
      <c r="C1" s="238" t="s">
        <v>46</v>
      </c>
      <c r="D1" s="238"/>
      <c r="E1" s="238"/>
      <c r="F1" s="196"/>
      <c r="G1" s="196"/>
      <c r="H1" s="196"/>
      <c r="I1" s="196"/>
      <c r="R1" s="198" t="s">
        <v>12</v>
      </c>
      <c r="S1" s="198"/>
      <c r="T1" s="198"/>
      <c r="U1" s="198" t="s">
        <v>13</v>
      </c>
      <c r="V1" s="198"/>
      <c r="W1" s="198"/>
      <c r="X1" s="198" t="s">
        <v>8</v>
      </c>
      <c r="Y1" s="198"/>
      <c r="Z1" s="198"/>
      <c r="AA1" s="198" t="s">
        <v>9</v>
      </c>
      <c r="AK1" s="198" t="s">
        <v>12</v>
      </c>
      <c r="AL1" s="198"/>
      <c r="AM1" s="198"/>
      <c r="AN1" s="198" t="s">
        <v>13</v>
      </c>
      <c r="AO1" s="198"/>
      <c r="AP1" s="198"/>
      <c r="AQ1" s="198" t="s">
        <v>8</v>
      </c>
      <c r="AR1" s="198"/>
      <c r="AS1" s="198"/>
      <c r="AT1" s="198" t="s">
        <v>9</v>
      </c>
    </row>
    <row r="2" spans="1:46">
      <c r="A2" s="7" t="s">
        <v>1</v>
      </c>
      <c r="B2" s="27">
        <f>Plan1!B2</f>
        <v>6.0220000000000002</v>
      </c>
      <c r="C2" s="5"/>
      <c r="D2" s="26">
        <f>B1</f>
        <v>246.59</v>
      </c>
      <c r="F2" s="237" t="s">
        <v>139</v>
      </c>
      <c r="G2" s="237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95" t="s">
        <v>10</v>
      </c>
      <c r="Q2" s="195">
        <v>0</v>
      </c>
      <c r="R2" s="195">
        <f>K3</f>
        <v>296.82</v>
      </c>
      <c r="S2" s="195" t="s">
        <v>10</v>
      </c>
      <c r="T2" s="195">
        <v>0</v>
      </c>
      <c r="U2" s="195">
        <f>L3</f>
        <v>215.06944444444449</v>
      </c>
      <c r="V2" s="195" t="s">
        <v>10</v>
      </c>
      <c r="W2" s="195">
        <v>0</v>
      </c>
      <c r="X2" s="195">
        <f>M3</f>
        <v>306.76</v>
      </c>
      <c r="Y2" s="195" t="s">
        <v>10</v>
      </c>
      <c r="Z2" s="195">
        <v>0</v>
      </c>
      <c r="AA2" s="195">
        <f>N3</f>
        <v>286.60000000000002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95" t="s">
        <v>27</v>
      </c>
      <c r="AJ2" s="195">
        <v>0</v>
      </c>
      <c r="AK2" s="195">
        <f>AD3</f>
        <v>296.82</v>
      </c>
      <c r="AL2" s="195" t="s">
        <v>27</v>
      </c>
      <c r="AM2" s="195">
        <v>0</v>
      </c>
      <c r="AN2" s="195">
        <f>AE3</f>
        <v>215.06944444444449</v>
      </c>
      <c r="AO2" s="195" t="s">
        <v>27</v>
      </c>
      <c r="AP2" s="195">
        <v>0</v>
      </c>
      <c r="AQ2" s="195">
        <f>AF3</f>
        <v>306.76</v>
      </c>
      <c r="AR2" s="195" t="s">
        <v>27</v>
      </c>
      <c r="AS2" s="195">
        <v>0</v>
      </c>
      <c r="AT2" s="195">
        <f>AG3</f>
        <v>286.60000000000002</v>
      </c>
    </row>
    <row r="3" spans="1:46">
      <c r="A3" s="7" t="s">
        <v>2</v>
      </c>
      <c r="B3" s="27">
        <f>Plan1!B3</f>
        <v>1</v>
      </c>
      <c r="C3" s="5"/>
      <c r="D3" s="26">
        <f>A9</f>
        <v>258.43625000000003</v>
      </c>
      <c r="F3" s="195" t="s">
        <v>45</v>
      </c>
      <c r="G3" s="23">
        <f>A30</f>
        <v>90.306066082735583</v>
      </c>
      <c r="J3" s="195">
        <v>100</v>
      </c>
      <c r="K3" s="195">
        <v>296.82</v>
      </c>
      <c r="L3" s="195">
        <f>(630-141)/9*4.75/1.2</f>
        <v>215.06944444444449</v>
      </c>
      <c r="M3" s="195">
        <v>306.76</v>
      </c>
      <c r="N3" s="195">
        <v>286.60000000000002</v>
      </c>
      <c r="P3" s="195" t="s">
        <v>10</v>
      </c>
      <c r="Q3" s="195">
        <v>-5</v>
      </c>
      <c r="R3" s="195">
        <f>K8</f>
        <v>300.02999999999997</v>
      </c>
      <c r="S3" s="195" t="s">
        <v>10</v>
      </c>
      <c r="T3" s="195">
        <v>-5</v>
      </c>
      <c r="U3" s="195">
        <f>L8</f>
        <v>224.30555555555554</v>
      </c>
      <c r="V3" s="195" t="s">
        <v>10</v>
      </c>
      <c r="W3" s="195">
        <v>-5</v>
      </c>
      <c r="X3" s="195">
        <f>M8</f>
        <v>310.44</v>
      </c>
      <c r="Y3" s="195" t="s">
        <v>10</v>
      </c>
      <c r="Z3" s="195">
        <v>-5</v>
      </c>
      <c r="AA3" s="195">
        <f>N8</f>
        <v>289.33</v>
      </c>
      <c r="AC3" s="195">
        <v>100</v>
      </c>
      <c r="AD3" s="195">
        <f>K3</f>
        <v>296.82</v>
      </c>
      <c r="AE3" s="195">
        <f t="shared" ref="AE3:AG5" si="0">L3</f>
        <v>215.06944444444449</v>
      </c>
      <c r="AF3" s="195">
        <f t="shared" si="0"/>
        <v>306.76</v>
      </c>
      <c r="AG3" s="195">
        <f t="shared" si="0"/>
        <v>286.60000000000002</v>
      </c>
      <c r="AI3" s="195" t="s">
        <v>27</v>
      </c>
      <c r="AJ3" s="195">
        <v>5</v>
      </c>
      <c r="AK3" s="195">
        <f>AD8</f>
        <v>293.26</v>
      </c>
      <c r="AL3" s="195" t="s">
        <v>27</v>
      </c>
      <c r="AM3" s="195">
        <v>5</v>
      </c>
      <c r="AN3" s="195">
        <f>AE8</f>
        <v>205</v>
      </c>
      <c r="AO3" s="195" t="s">
        <v>27</v>
      </c>
      <c r="AP3" s="195">
        <v>5</v>
      </c>
      <c r="AQ3" s="195">
        <f>AF8</f>
        <v>302.7</v>
      </c>
      <c r="AR3" s="195" t="s">
        <v>27</v>
      </c>
      <c r="AS3" s="195">
        <v>5</v>
      </c>
      <c r="AT3" s="195">
        <f>AG8</f>
        <v>283.56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258.01797387503279</v>
      </c>
      <c r="F4" s="195" t="s">
        <v>140</v>
      </c>
      <c r="G4" s="11">
        <f>B30</f>
        <v>-105.01927429523603</v>
      </c>
      <c r="J4" s="195">
        <v>90</v>
      </c>
      <c r="K4" s="195">
        <v>263.67</v>
      </c>
      <c r="L4" s="195">
        <f>(630-356)/9*4.75/1.2</f>
        <v>120.50925925925927</v>
      </c>
      <c r="M4" s="195">
        <v>270.83</v>
      </c>
      <c r="N4" s="195">
        <v>256.37</v>
      </c>
      <c r="O4" s="16"/>
      <c r="P4" s="195" t="s">
        <v>10</v>
      </c>
      <c r="Q4" s="195">
        <v>-10</v>
      </c>
      <c r="R4" s="195">
        <f>K13</f>
        <v>302.95</v>
      </c>
      <c r="S4" s="195" t="s">
        <v>10</v>
      </c>
      <c r="T4" s="195">
        <v>-10</v>
      </c>
      <c r="U4" s="195">
        <f>L13</f>
        <v>233</v>
      </c>
      <c r="V4" s="195" t="s">
        <v>10</v>
      </c>
      <c r="W4" s="195">
        <v>-10</v>
      </c>
      <c r="X4" s="195">
        <f>M13</f>
        <v>313.82</v>
      </c>
      <c r="Y4" s="195" t="s">
        <v>10</v>
      </c>
      <c r="Z4" s="195">
        <v>-10</v>
      </c>
      <c r="AA4" s="195">
        <f>N13</f>
        <v>291.79000000000002</v>
      </c>
      <c r="AC4" s="195">
        <v>90</v>
      </c>
      <c r="AD4" s="195">
        <f t="shared" ref="AD4:AD5" si="1">K4</f>
        <v>263.67</v>
      </c>
      <c r="AE4" s="195">
        <f t="shared" si="0"/>
        <v>120.50925925925927</v>
      </c>
      <c r="AF4" s="195">
        <f t="shared" si="0"/>
        <v>270.83</v>
      </c>
      <c r="AG4" s="195">
        <f t="shared" si="0"/>
        <v>256.37</v>
      </c>
      <c r="AI4" s="195" t="s">
        <v>27</v>
      </c>
      <c r="AJ4" s="195">
        <v>10</v>
      </c>
      <c r="AK4" s="195">
        <f>AD13</f>
        <v>289.27</v>
      </c>
      <c r="AL4" s="195" t="s">
        <v>27</v>
      </c>
      <c r="AM4" s="195">
        <v>10</v>
      </c>
      <c r="AN4" s="195">
        <f>AE13</f>
        <v>195</v>
      </c>
      <c r="AO4" s="195" t="s">
        <v>27</v>
      </c>
      <c r="AP4" s="195">
        <v>10</v>
      </c>
      <c r="AQ4" s="195">
        <f>AF13</f>
        <v>298.18</v>
      </c>
      <c r="AR4" s="195" t="s">
        <v>27</v>
      </c>
      <c r="AS4" s="195">
        <v>10</v>
      </c>
      <c r="AT4" s="195">
        <f>AG13</f>
        <v>280.12</v>
      </c>
    </row>
    <row r="5" spans="1:46">
      <c r="A5" s="7" t="s">
        <v>4</v>
      </c>
      <c r="B5" s="7">
        <f>Plan1!B5</f>
        <v>-1.8784359062401523</v>
      </c>
      <c r="C5" s="2"/>
      <c r="F5" s="195" t="s">
        <v>127</v>
      </c>
      <c r="G5" s="25">
        <f>A32</f>
        <v>264.42222222222222</v>
      </c>
      <c r="J5" s="195">
        <v>80</v>
      </c>
      <c r="K5" s="195">
        <v>231.62</v>
      </c>
      <c r="L5" s="195">
        <f>(630-382)/9*4.75/1.2</f>
        <v>109.07407407407408</v>
      </c>
      <c r="M5" s="195">
        <v>236.87</v>
      </c>
      <c r="N5" s="195">
        <v>226.3</v>
      </c>
      <c r="O5" s="16"/>
      <c r="P5" s="195" t="s">
        <v>10</v>
      </c>
      <c r="Q5" s="195">
        <v>-15</v>
      </c>
      <c r="R5" s="195">
        <f>K18</f>
        <v>305.63</v>
      </c>
      <c r="S5" s="195" t="s">
        <v>10</v>
      </c>
      <c r="T5" s="195">
        <v>-15</v>
      </c>
      <c r="U5" s="195">
        <f>L18</f>
        <v>242</v>
      </c>
      <c r="V5" s="195" t="s">
        <v>10</v>
      </c>
      <c r="W5" s="195">
        <v>-15</v>
      </c>
      <c r="X5" s="195">
        <f>M18</f>
        <v>316.89999999999998</v>
      </c>
      <c r="Y5" s="195" t="s">
        <v>10</v>
      </c>
      <c r="Z5" s="195">
        <v>-15</v>
      </c>
      <c r="AA5" s="195">
        <f>N18</f>
        <v>294.02999999999997</v>
      </c>
      <c r="AC5" s="195">
        <v>80</v>
      </c>
      <c r="AD5" s="195">
        <f t="shared" si="1"/>
        <v>231.62</v>
      </c>
      <c r="AE5" s="195">
        <f t="shared" si="0"/>
        <v>109.07407407407408</v>
      </c>
      <c r="AF5" s="195">
        <f t="shared" si="0"/>
        <v>236.87</v>
      </c>
      <c r="AG5" s="195">
        <f t="shared" si="0"/>
        <v>226.3</v>
      </c>
      <c r="AI5" s="195" t="s">
        <v>27</v>
      </c>
      <c r="AJ5" s="195">
        <v>15</v>
      </c>
      <c r="AK5" s="195">
        <f>AD18</f>
        <v>284.73</v>
      </c>
      <c r="AL5" s="195" t="s">
        <v>27</v>
      </c>
      <c r="AM5" s="195">
        <v>15</v>
      </c>
      <c r="AN5" s="195">
        <f>AE18</f>
        <v>183</v>
      </c>
      <c r="AO5" s="195" t="s">
        <v>27</v>
      </c>
      <c r="AP5" s="195">
        <v>15</v>
      </c>
      <c r="AQ5" s="195">
        <f>AF18</f>
        <v>293.05</v>
      </c>
      <c r="AR5" s="195" t="s">
        <v>27</v>
      </c>
      <c r="AS5" s="195">
        <v>15</v>
      </c>
      <c r="AT5" s="195">
        <f>AG18</f>
        <v>276.18</v>
      </c>
    </row>
    <row r="6" spans="1:46">
      <c r="A6" s="7" t="s">
        <v>5</v>
      </c>
      <c r="B6" s="29">
        <f>Plan1!B6</f>
        <v>0.85</v>
      </c>
      <c r="C6" s="6"/>
      <c r="F6" s="195" t="s">
        <v>128</v>
      </c>
      <c r="G6" s="11">
        <f>B32</f>
        <v>5.3886433078216367</v>
      </c>
      <c r="O6" s="16"/>
      <c r="P6" s="195" t="s">
        <v>10</v>
      </c>
      <c r="Q6" s="195">
        <v>-20</v>
      </c>
      <c r="R6" s="195">
        <f>K23</f>
        <v>308.10000000000002</v>
      </c>
      <c r="S6" s="195" t="s">
        <v>10</v>
      </c>
      <c r="T6" s="195">
        <v>-20</v>
      </c>
      <c r="U6" s="195">
        <f>L23</f>
        <v>250</v>
      </c>
      <c r="V6" s="195" t="s">
        <v>10</v>
      </c>
      <c r="W6" s="195">
        <v>-20</v>
      </c>
      <c r="X6" s="195">
        <f>M23</f>
        <v>319.81</v>
      </c>
      <c r="Y6" s="195" t="s">
        <v>10</v>
      </c>
      <c r="Z6" s="195">
        <v>-20</v>
      </c>
      <c r="AA6" s="195">
        <f>N23</f>
        <v>296.08</v>
      </c>
      <c r="AI6" s="195" t="s">
        <v>27</v>
      </c>
      <c r="AJ6" s="195">
        <v>20</v>
      </c>
      <c r="AK6" s="195">
        <f>AD23</f>
        <v>279.44</v>
      </c>
      <c r="AL6" s="195" t="s">
        <v>27</v>
      </c>
      <c r="AM6" s="195">
        <v>20</v>
      </c>
      <c r="AN6" s="195">
        <f>AE23</f>
        <v>171</v>
      </c>
      <c r="AO6" s="195" t="s">
        <v>27</v>
      </c>
      <c r="AP6" s="195">
        <v>20</v>
      </c>
      <c r="AQ6" s="195">
        <f>AF23</f>
        <v>287.10000000000002</v>
      </c>
      <c r="AR6" s="195" t="s">
        <v>27</v>
      </c>
      <c r="AS6" s="195">
        <v>20</v>
      </c>
      <c r="AT6" s="195">
        <f>AG23</f>
        <v>271.55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95" t="s">
        <v>10</v>
      </c>
      <c r="Q7" s="195">
        <v>-25</v>
      </c>
      <c r="R7" s="195">
        <f>K28</f>
        <v>310.39</v>
      </c>
      <c r="S7" s="195" t="s">
        <v>10</v>
      </c>
      <c r="T7" s="195">
        <v>-25</v>
      </c>
      <c r="U7" s="195">
        <f>L28</f>
        <v>257</v>
      </c>
      <c r="V7" s="195" t="s">
        <v>10</v>
      </c>
      <c r="W7" s="195">
        <v>-25</v>
      </c>
      <c r="X7" s="195">
        <f>M28</f>
        <v>322.5</v>
      </c>
      <c r="Y7" s="195" t="s">
        <v>10</v>
      </c>
      <c r="Z7" s="195">
        <v>-25</v>
      </c>
      <c r="AA7" s="195">
        <f>N28</f>
        <v>297.97000000000003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95" t="s">
        <v>28</v>
      </c>
      <c r="AJ7" s="9">
        <f>$B$2</f>
        <v>6.0220000000000002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292.48215235440114</v>
      </c>
      <c r="AL7" s="195" t="s">
        <v>28</v>
      </c>
      <c r="AM7" s="9">
        <f>$B$2</f>
        <v>6.0220000000000002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203.0775391887689</v>
      </c>
      <c r="AO7" s="195" t="s">
        <v>28</v>
      </c>
      <c r="AP7" s="9">
        <f>$B$2</f>
        <v>6.0220000000000002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301.81753203778902</v>
      </c>
      <c r="AR7" s="195" t="s">
        <v>28</v>
      </c>
      <c r="AS7" s="9">
        <f>$B$2</f>
        <v>6.0220000000000002</v>
      </c>
      <c r="AT7" s="11">
        <f t="shared" si="2"/>
        <v>282.89133364099149</v>
      </c>
    </row>
    <row r="8" spans="1:46">
      <c r="A8" s="98" t="s">
        <v>138</v>
      </c>
      <c r="E8" s="198" t="s">
        <v>6</v>
      </c>
      <c r="F8" s="198" t="s">
        <v>14</v>
      </c>
      <c r="G8" s="14" t="s">
        <v>15</v>
      </c>
      <c r="J8" s="195">
        <v>100</v>
      </c>
      <c r="K8" s="195">
        <v>300.02999999999997</v>
      </c>
      <c r="L8" s="195">
        <f>(630-120)/9*4.75/1.2</f>
        <v>224.30555555555554</v>
      </c>
      <c r="M8" s="195">
        <v>310.44</v>
      </c>
      <c r="N8" s="195">
        <v>289.33</v>
      </c>
      <c r="O8" s="13"/>
      <c r="P8" s="195" t="s">
        <v>11</v>
      </c>
      <c r="Q8" s="9">
        <f>$B$2</f>
        <v>6.0220000000000002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292.43717294883265</v>
      </c>
      <c r="S8" s="195" t="s">
        <v>11</v>
      </c>
      <c r="T8" s="9">
        <f>$B$2</f>
        <v>6.0220000000000002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193.45164377221016</v>
      </c>
      <c r="V8" s="195" t="s">
        <v>11</v>
      </c>
      <c r="W8" s="9">
        <f>$B$2</f>
        <v>6.0220000000000002</v>
      </c>
      <c r="X8" s="195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302.60422124446296</v>
      </c>
      <c r="Y8" s="195" t="s">
        <v>11</v>
      </c>
      <c r="Z8" s="9">
        <f>$B$2</f>
        <v>6.0220000000000002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282.8218347424347</v>
      </c>
      <c r="AC8" s="195">
        <v>100</v>
      </c>
      <c r="AD8" s="195">
        <v>293.26</v>
      </c>
      <c r="AE8" s="195">
        <v>205</v>
      </c>
      <c r="AF8" s="195">
        <v>302.7</v>
      </c>
      <c r="AG8" s="195">
        <v>283.56</v>
      </c>
    </row>
    <row r="9" spans="1:46">
      <c r="A9" s="4">
        <f>0*(B6-0.9)*(B6-0.8)/((1-0.9)*(1-0.8))+7.7*(B6-1)*(B6-0.8)/((0.9-1)*(0.9-0.8))+16.19*(B6-1)*(B6-0.9)/((0.8-1)*(0.8-0.9))+B1</f>
        <v>258.43625000000003</v>
      </c>
      <c r="D9" s="195">
        <v>100</v>
      </c>
      <c r="E9" s="195">
        <f>K3</f>
        <v>296.82</v>
      </c>
      <c r="F9" s="195">
        <v>297.44</v>
      </c>
      <c r="G9" s="195">
        <v>296.2</v>
      </c>
      <c r="J9" s="195">
        <v>90</v>
      </c>
      <c r="K9" s="195">
        <v>268.3</v>
      </c>
      <c r="L9" s="195">
        <f>(630-261)/9*4.75/1.2</f>
        <v>162.29166666666669</v>
      </c>
      <c r="M9" s="195">
        <v>275.95999999999998</v>
      </c>
      <c r="N9" s="195">
        <v>260.48</v>
      </c>
      <c r="O9" s="13"/>
      <c r="R9" s="198" t="s">
        <v>12</v>
      </c>
      <c r="S9" s="198"/>
      <c r="T9" s="198"/>
      <c r="U9" s="198" t="s">
        <v>13</v>
      </c>
      <c r="V9" s="198"/>
      <c r="W9" s="198"/>
      <c r="X9" s="198" t="s">
        <v>8</v>
      </c>
      <c r="Y9" s="198"/>
      <c r="Z9" s="198"/>
      <c r="AA9" s="198" t="s">
        <v>9</v>
      </c>
      <c r="AC9" s="195">
        <v>90</v>
      </c>
      <c r="AD9" s="195">
        <v>258.35000000000002</v>
      </c>
      <c r="AE9" s="195">
        <v>142</v>
      </c>
      <c r="AF9" s="195">
        <v>264.97000000000003</v>
      </c>
      <c r="AG9" s="195">
        <v>251.6</v>
      </c>
      <c r="AI9" s="198"/>
      <c r="AJ9" s="198"/>
      <c r="AK9" s="198" t="s">
        <v>12</v>
      </c>
      <c r="AL9" s="198"/>
      <c r="AM9" s="198"/>
      <c r="AN9" s="198" t="s">
        <v>13</v>
      </c>
      <c r="AO9" s="198"/>
      <c r="AP9" s="198"/>
      <c r="AQ9" s="198" t="s">
        <v>8</v>
      </c>
      <c r="AR9" s="198"/>
      <c r="AS9" s="198"/>
      <c r="AT9" s="198" t="s">
        <v>9</v>
      </c>
    </row>
    <row r="10" spans="1:46">
      <c r="D10" s="195">
        <v>90</v>
      </c>
      <c r="E10" s="195">
        <f>K4</f>
        <v>263.67</v>
      </c>
      <c r="F10" s="195">
        <v>264.19</v>
      </c>
      <c r="G10" s="195">
        <v>263.14999999999998</v>
      </c>
      <c r="J10" s="195">
        <v>80</v>
      </c>
      <c r="K10" s="195">
        <v>237.85</v>
      </c>
      <c r="L10" s="195">
        <f>(630-359)/9*4.75/1.2</f>
        <v>119.18981481481481</v>
      </c>
      <c r="M10" s="195">
        <v>243.62</v>
      </c>
      <c r="N10" s="195">
        <v>232.01</v>
      </c>
      <c r="O10" s="13"/>
      <c r="P10" s="195" t="s">
        <v>10</v>
      </c>
      <c r="Q10" s="195">
        <v>0</v>
      </c>
      <c r="R10" s="195">
        <f>K4</f>
        <v>263.67</v>
      </c>
      <c r="S10" s="195" t="s">
        <v>10</v>
      </c>
      <c r="T10" s="195">
        <v>0</v>
      </c>
      <c r="U10" s="195">
        <f>L4</f>
        <v>120.50925925925927</v>
      </c>
      <c r="V10" s="195" t="s">
        <v>10</v>
      </c>
      <c r="W10" s="195">
        <v>0</v>
      </c>
      <c r="X10" s="195">
        <f>M4</f>
        <v>270.83</v>
      </c>
      <c r="Y10" s="195" t="s">
        <v>10</v>
      </c>
      <c r="Z10" s="195">
        <v>0</v>
      </c>
      <c r="AA10" s="195">
        <f>N4</f>
        <v>256.37</v>
      </c>
      <c r="AC10" s="195">
        <v>80</v>
      </c>
      <c r="AD10" s="195">
        <v>224.12</v>
      </c>
      <c r="AE10" s="195">
        <v>98</v>
      </c>
      <c r="AF10" s="195">
        <v>228.79</v>
      </c>
      <c r="AG10" s="195">
        <v>219.38</v>
      </c>
      <c r="AI10" s="195" t="s">
        <v>27</v>
      </c>
      <c r="AJ10" s="195">
        <v>0</v>
      </c>
      <c r="AK10" s="195">
        <f>AD4</f>
        <v>263.67</v>
      </c>
      <c r="AL10" s="195" t="s">
        <v>27</v>
      </c>
      <c r="AM10" s="195">
        <v>0</v>
      </c>
      <c r="AN10" s="195">
        <f>AE4</f>
        <v>120.50925925925927</v>
      </c>
      <c r="AO10" s="195" t="s">
        <v>27</v>
      </c>
      <c r="AP10" s="195">
        <v>0</v>
      </c>
      <c r="AQ10" s="195">
        <f>AF4</f>
        <v>270.83</v>
      </c>
      <c r="AR10" s="195" t="s">
        <v>27</v>
      </c>
      <c r="AS10" s="195">
        <v>0</v>
      </c>
      <c r="AT10" s="195">
        <f>AG4</f>
        <v>256.37</v>
      </c>
    </row>
    <row r="11" spans="1:46">
      <c r="A11" s="195" t="s">
        <v>23</v>
      </c>
      <c r="B11" s="195">
        <f>Plan1!$B$17</f>
        <v>86</v>
      </c>
      <c r="D11" s="195">
        <v>80</v>
      </c>
      <c r="E11" s="195">
        <f>K5</f>
        <v>231.62</v>
      </c>
      <c r="F11" s="195">
        <v>232.04</v>
      </c>
      <c r="G11" s="195">
        <v>231.21</v>
      </c>
      <c r="O11" s="13"/>
      <c r="P11" s="195" t="s">
        <v>10</v>
      </c>
      <c r="Q11" s="195">
        <v>-5</v>
      </c>
      <c r="R11" s="195">
        <f>K9</f>
        <v>268.3</v>
      </c>
      <c r="S11" s="195" t="s">
        <v>10</v>
      </c>
      <c r="T11" s="195">
        <v>-5</v>
      </c>
      <c r="U11" s="195">
        <f>L9</f>
        <v>162.29166666666669</v>
      </c>
      <c r="V11" s="195" t="s">
        <v>10</v>
      </c>
      <c r="W11" s="195">
        <v>-5</v>
      </c>
      <c r="X11" s="195">
        <f>M9</f>
        <v>275.95999999999998</v>
      </c>
      <c r="Y11" s="195" t="s">
        <v>10</v>
      </c>
      <c r="Z11" s="195">
        <v>-5</v>
      </c>
      <c r="AA11" s="195">
        <f>N9</f>
        <v>260.48</v>
      </c>
      <c r="AI11" s="195" t="s">
        <v>27</v>
      </c>
      <c r="AJ11" s="195">
        <v>5</v>
      </c>
      <c r="AK11" s="195">
        <f>AD9</f>
        <v>258.35000000000002</v>
      </c>
      <c r="AL11" s="195" t="s">
        <v>27</v>
      </c>
      <c r="AM11" s="195">
        <v>5</v>
      </c>
      <c r="AN11" s="195">
        <f>AE9</f>
        <v>142</v>
      </c>
      <c r="AO11" s="195" t="s">
        <v>27</v>
      </c>
      <c r="AP11" s="195">
        <v>5</v>
      </c>
      <c r="AQ11" s="195">
        <f>AF9</f>
        <v>264.97000000000003</v>
      </c>
      <c r="AR11" s="195" t="s">
        <v>27</v>
      </c>
      <c r="AS11" s="195">
        <v>5</v>
      </c>
      <c r="AT11" s="195">
        <f>AG9</f>
        <v>251.6</v>
      </c>
    </row>
    <row r="12" spans="1:46">
      <c r="A12" s="195" t="s">
        <v>24</v>
      </c>
      <c r="B12" s="195">
        <f>Plan1!$B$18</f>
        <v>49.06</v>
      </c>
      <c r="D12"/>
      <c r="F12" s="198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95" t="s">
        <v>10</v>
      </c>
      <c r="Q12" s="195">
        <v>-10</v>
      </c>
      <c r="R12" s="195">
        <f>K14</f>
        <v>272.39</v>
      </c>
      <c r="S12" s="195" t="s">
        <v>10</v>
      </c>
      <c r="T12" s="195">
        <v>-10</v>
      </c>
      <c r="U12" s="195">
        <f>L14</f>
        <v>172</v>
      </c>
      <c r="V12" s="195" t="s">
        <v>10</v>
      </c>
      <c r="W12" s="195">
        <v>-10</v>
      </c>
      <c r="X12" s="195">
        <f>M14</f>
        <v>280.52999999999997</v>
      </c>
      <c r="Y12" s="195" t="s">
        <v>10</v>
      </c>
      <c r="Z12" s="195">
        <v>-10</v>
      </c>
      <c r="AA12" s="195">
        <f>N14</f>
        <v>264.11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95" t="s">
        <v>27</v>
      </c>
      <c r="AJ12" s="195">
        <v>10</v>
      </c>
      <c r="AK12" s="195">
        <f>AD14</f>
        <v>252.08</v>
      </c>
      <c r="AL12" s="195" t="s">
        <v>27</v>
      </c>
      <c r="AM12" s="195">
        <v>10</v>
      </c>
      <c r="AN12" s="195">
        <f>AE14</f>
        <v>130</v>
      </c>
      <c r="AO12" s="195" t="s">
        <v>27</v>
      </c>
      <c r="AP12" s="195">
        <v>10</v>
      </c>
      <c r="AQ12" s="195">
        <f>AF14</f>
        <v>258.08999999999997</v>
      </c>
      <c r="AR12" s="195" t="s">
        <v>27</v>
      </c>
      <c r="AS12" s="195">
        <v>10</v>
      </c>
      <c r="AT12" s="195">
        <f>AG14</f>
        <v>245.94</v>
      </c>
    </row>
    <row r="13" spans="1:46">
      <c r="A13" s="195" t="s">
        <v>25</v>
      </c>
      <c r="B13" s="195">
        <f>COS(RADIANS(B12))</f>
        <v>0.65526833938609963</v>
      </c>
      <c r="D13" s="195">
        <v>100</v>
      </c>
      <c r="E13" s="195">
        <f>E9</f>
        <v>296.82</v>
      </c>
      <c r="F13" s="11">
        <f>E9*((D9-(100/360))-D10)*((D9-(100/360))-D11)/((D9-D10)*(D9-D11))+E10*((D9-(100/360))-D9)*((D9-(100/360))-D11)/((D10-D9)*(D10-D11))+E11*((D9-(100/360))-D9)*((D9-(100/360))-D10)/((D11-D9)*(D11-D10))</f>
        <v>295.88431327160492</v>
      </c>
      <c r="G13" s="195">
        <v>296.2</v>
      </c>
      <c r="J13" s="195">
        <v>100</v>
      </c>
      <c r="K13" s="195">
        <v>302.95</v>
      </c>
      <c r="L13" s="195">
        <v>233</v>
      </c>
      <c r="M13" s="195">
        <v>313.82</v>
      </c>
      <c r="N13" s="195">
        <v>291.79000000000002</v>
      </c>
      <c r="O13" s="17"/>
      <c r="P13" s="195" t="s">
        <v>10</v>
      </c>
      <c r="Q13" s="195">
        <v>-15</v>
      </c>
      <c r="R13" s="195">
        <f>K19</f>
        <v>276.07</v>
      </c>
      <c r="S13" s="195" t="s">
        <v>10</v>
      </c>
      <c r="T13" s="195">
        <v>-15</v>
      </c>
      <c r="U13" s="195">
        <f>L19</f>
        <v>180</v>
      </c>
      <c r="V13" s="195" t="s">
        <v>10</v>
      </c>
      <c r="W13" s="195">
        <v>-15</v>
      </c>
      <c r="X13" s="195">
        <f>M19</f>
        <v>284.64999999999998</v>
      </c>
      <c r="Y13" s="195" t="s">
        <v>10</v>
      </c>
      <c r="Z13" s="195">
        <v>-15</v>
      </c>
      <c r="AA13" s="195">
        <f>N19</f>
        <v>267.33</v>
      </c>
      <c r="AC13" s="195">
        <v>100</v>
      </c>
      <c r="AD13" s="195">
        <v>289.27</v>
      </c>
      <c r="AE13" s="195">
        <v>195</v>
      </c>
      <c r="AF13" s="195">
        <v>298.18</v>
      </c>
      <c r="AG13" s="195">
        <v>280.12</v>
      </c>
      <c r="AI13" s="195" t="s">
        <v>27</v>
      </c>
      <c r="AJ13" s="195">
        <v>15</v>
      </c>
      <c r="AK13" s="195">
        <f>AD19</f>
        <v>244.37</v>
      </c>
      <c r="AL13" s="195" t="s">
        <v>27</v>
      </c>
      <c r="AM13" s="195">
        <v>15</v>
      </c>
      <c r="AN13" s="195">
        <f>AE19</f>
        <v>117</v>
      </c>
      <c r="AO13" s="195" t="s">
        <v>27</v>
      </c>
      <c r="AP13" s="195">
        <v>15</v>
      </c>
      <c r="AQ13" s="195">
        <f>AF19</f>
        <v>249.69</v>
      </c>
      <c r="AR13" s="195" t="s">
        <v>27</v>
      </c>
      <c r="AS13" s="195">
        <v>15</v>
      </c>
      <c r="AT13" s="195">
        <f>AG19</f>
        <v>238.93</v>
      </c>
    </row>
    <row r="14" spans="1:46">
      <c r="A14" s="195" t="s">
        <v>26</v>
      </c>
      <c r="B14" s="195">
        <f>B5</f>
        <v>-1.8784359062401523</v>
      </c>
      <c r="D14" s="195">
        <v>90</v>
      </c>
      <c r="E14" s="195">
        <f>E10</f>
        <v>263.67</v>
      </c>
      <c r="F14" s="11">
        <f>E9*((D10-(100/360))-D10)*((D10-(100/360))-D11)/((D9-D10)*(D9-D11))+E10*((D10-(100/360))-D9)*((D10-(100/360))-D11)/((D10-D9)*(D10-D11))+E11*((D10-(100/360))-D9)*((D10-(100/360))-D10)/((D11-D9)*(D11-D10))</f>
        <v>262.76486882716057</v>
      </c>
      <c r="G14" s="195">
        <v>263.14999999999998</v>
      </c>
      <c r="J14" s="195">
        <v>90</v>
      </c>
      <c r="K14" s="195">
        <v>272.39</v>
      </c>
      <c r="L14" s="195">
        <v>172</v>
      </c>
      <c r="M14" s="195">
        <v>280.52999999999997</v>
      </c>
      <c r="N14" s="195">
        <v>264.11</v>
      </c>
      <c r="O14" s="17"/>
      <c r="P14" s="195" t="s">
        <v>10</v>
      </c>
      <c r="Q14" s="195">
        <v>-20</v>
      </c>
      <c r="R14" s="195">
        <f>K24</f>
        <v>279.41000000000003</v>
      </c>
      <c r="S14" s="195" t="s">
        <v>10</v>
      </c>
      <c r="T14" s="195">
        <v>-20</v>
      </c>
      <c r="U14" s="195">
        <f>L24</f>
        <v>189</v>
      </c>
      <c r="V14" s="195" t="s">
        <v>10</v>
      </c>
      <c r="W14" s="195">
        <v>-20</v>
      </c>
      <c r="X14" s="195">
        <f>M24</f>
        <v>288.39999999999998</v>
      </c>
      <c r="Y14" s="195" t="s">
        <v>10</v>
      </c>
      <c r="Z14" s="195">
        <v>-20</v>
      </c>
      <c r="AA14" s="195">
        <f>N24</f>
        <v>270.24</v>
      </c>
      <c r="AC14" s="195">
        <v>90</v>
      </c>
      <c r="AD14" s="195">
        <v>252.08</v>
      </c>
      <c r="AE14" s="195">
        <v>130</v>
      </c>
      <c r="AF14" s="195">
        <v>258.08999999999997</v>
      </c>
      <c r="AG14" s="195">
        <v>245.94</v>
      </c>
      <c r="AI14" s="195" t="s">
        <v>27</v>
      </c>
      <c r="AJ14" s="195">
        <v>20</v>
      </c>
      <c r="AK14" s="195">
        <f>AD24</f>
        <v>234.18</v>
      </c>
      <c r="AL14" s="195" t="s">
        <v>27</v>
      </c>
      <c r="AM14" s="195">
        <v>20</v>
      </c>
      <c r="AN14" s="195">
        <f>AE24</f>
        <v>101</v>
      </c>
      <c r="AO14" s="195" t="s">
        <v>27</v>
      </c>
      <c r="AP14" s="195">
        <v>20</v>
      </c>
      <c r="AQ14" s="195">
        <f>AF24</f>
        <v>238.64</v>
      </c>
      <c r="AR14" s="195" t="s">
        <v>27</v>
      </c>
      <c r="AS14" s="195">
        <v>20</v>
      </c>
      <c r="AT14" s="195">
        <f>AG24</f>
        <v>229.59</v>
      </c>
    </row>
    <row r="15" spans="1:46">
      <c r="D15" s="195">
        <v>80</v>
      </c>
      <c r="E15" s="195">
        <f>E11</f>
        <v>231.62</v>
      </c>
      <c r="F15" s="11">
        <f>E9*((D11-(100/360))-D10)*((D11-(100/360))-D11)/((D9-D10)*(D9-D11))+E10*((D11-(100/360))-D9)*((D11-(100/360))-D11)/((D10-D9)*(D10-D11))+E11*((D11-(100/360))-D9)*((D11-(100/360))-D10)/((D11-D9)*(D11-D10))</f>
        <v>230.74542438271607</v>
      </c>
      <c r="G15" s="195">
        <v>231.21</v>
      </c>
      <c r="J15" s="195">
        <v>80</v>
      </c>
      <c r="K15" s="195">
        <v>243.21</v>
      </c>
      <c r="L15" s="195">
        <v>129</v>
      </c>
      <c r="M15" s="195">
        <v>249.45</v>
      </c>
      <c r="N15" s="195">
        <v>236.88</v>
      </c>
      <c r="O15" s="13"/>
      <c r="P15" s="195" t="s">
        <v>10</v>
      </c>
      <c r="Q15" s="195">
        <v>-25</v>
      </c>
      <c r="R15" s="195">
        <f>K29</f>
        <v>282.45</v>
      </c>
      <c r="S15" s="195" t="s">
        <v>10</v>
      </c>
      <c r="T15" s="195">
        <v>-25</v>
      </c>
      <c r="U15" s="195">
        <f>L29</f>
        <v>197</v>
      </c>
      <c r="V15" s="195" t="s">
        <v>10</v>
      </c>
      <c r="W15" s="195">
        <v>-25</v>
      </c>
      <c r="X15" s="195">
        <f>M29</f>
        <v>291.85000000000002</v>
      </c>
      <c r="Y15" s="195" t="s">
        <v>10</v>
      </c>
      <c r="Z15" s="195">
        <v>-25</v>
      </c>
      <c r="AA15" s="195">
        <f>N29</f>
        <v>272.87</v>
      </c>
      <c r="AC15" s="195">
        <v>80</v>
      </c>
      <c r="AD15" s="195">
        <v>214.61</v>
      </c>
      <c r="AE15" s="195">
        <v>85</v>
      </c>
      <c r="AF15" s="195">
        <v>218.61</v>
      </c>
      <c r="AG15" s="195">
        <v>210.54</v>
      </c>
      <c r="AI15" s="195" t="s">
        <v>28</v>
      </c>
      <c r="AJ15" s="9">
        <f>$B$2</f>
        <v>6.0220000000000002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257.15359257365725</v>
      </c>
      <c r="AL15" s="195" t="s">
        <v>28</v>
      </c>
      <c r="AM15" s="9">
        <f>$B$2</f>
        <v>6.0220000000000002</v>
      </c>
      <c r="AN15" s="11">
        <f t="shared" ref="AN15:AT15" si="3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140.70432112311534</v>
      </c>
      <c r="AO15" s="195" t="s">
        <v>28</v>
      </c>
      <c r="AP15" s="9">
        <f>$B$2</f>
        <v>6.0220000000000002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263.65375444071344</v>
      </c>
      <c r="AR15" s="195" t="s">
        <v>28</v>
      </c>
      <c r="AS15" s="9">
        <f>$B$2</f>
        <v>6.0220000000000002</v>
      </c>
      <c r="AT15" s="11">
        <f t="shared" si="3"/>
        <v>250.52285826140388</v>
      </c>
    </row>
    <row r="16" spans="1:46">
      <c r="A16" s="195" t="s">
        <v>32</v>
      </c>
      <c r="B16" s="23">
        <f>$B$3*SIN(RADIANS($B$4))</f>
        <v>0.95798784374570456</v>
      </c>
      <c r="O16" s="13"/>
      <c r="P16" s="195" t="s">
        <v>11</v>
      </c>
      <c r="Q16" s="9">
        <f>$B$2</f>
        <v>6.0220000000000002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257.05648875296362</v>
      </c>
      <c r="S16" s="195" t="s">
        <v>11</v>
      </c>
      <c r="T16" s="9">
        <f>$B$2</f>
        <v>6.0220000000000002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-92.269895402980467</v>
      </c>
      <c r="V16" s="195" t="s">
        <v>11</v>
      </c>
      <c r="W16" s="9">
        <f>$B$2</f>
        <v>6.0220000000000002</v>
      </c>
      <c r="X16" s="195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263.67632265157107</v>
      </c>
      <c r="Y16" s="195" t="s">
        <v>11</v>
      </c>
      <c r="Z16" s="9">
        <f>$B$2</f>
        <v>6.0220000000000002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250.88330918546768</v>
      </c>
    </row>
    <row r="17" spans="1:46">
      <c r="A17" s="195" t="s">
        <v>33</v>
      </c>
      <c r="B17" s="23">
        <f>$B$3*COS(RADIANS($B$4))</f>
        <v>-0.28680880606329973</v>
      </c>
      <c r="E17" s="240" t="s">
        <v>40</v>
      </c>
      <c r="F17" s="241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198" t="s">
        <v>12</v>
      </c>
      <c r="S17" s="198"/>
      <c r="T17" s="198"/>
      <c r="U17" s="198" t="s">
        <v>13</v>
      </c>
      <c r="V17" s="198"/>
      <c r="W17" s="198"/>
      <c r="X17" s="198" t="s">
        <v>8</v>
      </c>
      <c r="Y17" s="198"/>
      <c r="Z17" s="198"/>
      <c r="AA17" s="198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98"/>
      <c r="AJ17" s="198"/>
      <c r="AK17" s="198" t="s">
        <v>12</v>
      </c>
      <c r="AL17" s="198"/>
      <c r="AM17" s="198"/>
      <c r="AN17" s="198" t="s">
        <v>13</v>
      </c>
      <c r="AO17" s="198"/>
      <c r="AP17" s="198"/>
      <c r="AQ17" s="198" t="s">
        <v>8</v>
      </c>
      <c r="AR17" s="198"/>
      <c r="AS17" s="198"/>
      <c r="AT17" s="198" t="s">
        <v>9</v>
      </c>
    </row>
    <row r="18" spans="1:46">
      <c r="E18" s="195">
        <v>100</v>
      </c>
      <c r="F18" s="11">
        <f>E23*(B24-9)*(B24--9)/((0-9)*(0--9))+G23*(B24-0)*(B24--9)/((9-0)*(9--9))+H23*(B24-0)*(B24-9)/((-9-0)*(-9-9))</f>
        <v>292.18209256107377</v>
      </c>
      <c r="J18" s="195">
        <v>100</v>
      </c>
      <c r="K18" s="195">
        <v>305.63</v>
      </c>
      <c r="L18" s="195">
        <v>242</v>
      </c>
      <c r="M18" s="195">
        <v>316.89999999999998</v>
      </c>
      <c r="N18" s="195">
        <v>294.02999999999997</v>
      </c>
      <c r="O18" s="13"/>
      <c r="P18" s="195" t="s">
        <v>10</v>
      </c>
      <c r="Q18" s="195">
        <v>0</v>
      </c>
      <c r="R18" s="195">
        <f>K5</f>
        <v>231.62</v>
      </c>
      <c r="S18" s="195" t="s">
        <v>10</v>
      </c>
      <c r="T18" s="195">
        <v>0</v>
      </c>
      <c r="U18" s="195">
        <f>L5</f>
        <v>109.07407407407408</v>
      </c>
      <c r="V18" s="195" t="s">
        <v>10</v>
      </c>
      <c r="W18" s="195">
        <v>0</v>
      </c>
      <c r="X18" s="195">
        <f>M5</f>
        <v>236.87</v>
      </c>
      <c r="Y18" s="195" t="s">
        <v>10</v>
      </c>
      <c r="Z18" s="195">
        <v>0</v>
      </c>
      <c r="AA18" s="195">
        <f>N5</f>
        <v>226.3</v>
      </c>
      <c r="AC18" s="195">
        <v>100</v>
      </c>
      <c r="AD18" s="195">
        <v>284.73</v>
      </c>
      <c r="AE18" s="195">
        <v>183</v>
      </c>
      <c r="AF18" s="195">
        <v>293.05</v>
      </c>
      <c r="AG18" s="195">
        <v>276.18</v>
      </c>
      <c r="AI18" s="195" t="s">
        <v>27</v>
      </c>
      <c r="AJ18" s="195">
        <v>0</v>
      </c>
      <c r="AK18" s="195">
        <f>AD5</f>
        <v>231.62</v>
      </c>
      <c r="AL18" s="195" t="s">
        <v>27</v>
      </c>
      <c r="AM18" s="195">
        <v>0</v>
      </c>
      <c r="AN18" s="195">
        <f>AE5</f>
        <v>109.07407407407408</v>
      </c>
      <c r="AO18" s="195" t="s">
        <v>27</v>
      </c>
      <c r="AP18" s="195">
        <v>0</v>
      </c>
      <c r="AQ18" s="195">
        <f>AF5</f>
        <v>236.87</v>
      </c>
      <c r="AR18" s="195" t="s">
        <v>27</v>
      </c>
      <c r="AS18" s="195">
        <v>0</v>
      </c>
      <c r="AT18" s="195">
        <f>AG5</f>
        <v>226.3</v>
      </c>
    </row>
    <row r="19" spans="1:46">
      <c r="A19" s="195" t="s">
        <v>31</v>
      </c>
      <c r="B19" s="195" t="s">
        <v>35</v>
      </c>
      <c r="E19" s="195">
        <v>90</v>
      </c>
      <c r="F19" s="11">
        <f>E24*(B24-9)*(B24--9)/((0-9)*(0--9))+G24*(B24-0)*(B24--9)/((9-0)*(9--9))+H24*(B24-0)*(B24-9)/((-9-0)*(-9-9))</f>
        <v>256.94543611006304</v>
      </c>
      <c r="J19" s="195">
        <v>90</v>
      </c>
      <c r="K19" s="195">
        <v>276.07</v>
      </c>
      <c r="L19" s="195">
        <v>180</v>
      </c>
      <c r="M19" s="195">
        <v>284.64999999999998</v>
      </c>
      <c r="N19" s="195">
        <v>267.33</v>
      </c>
      <c r="O19" s="13"/>
      <c r="P19" s="195" t="s">
        <v>10</v>
      </c>
      <c r="Q19" s="195">
        <v>-5</v>
      </c>
      <c r="R19" s="195">
        <f>K10</f>
        <v>237.85</v>
      </c>
      <c r="S19" s="195" t="s">
        <v>10</v>
      </c>
      <c r="T19" s="195">
        <v>-5</v>
      </c>
      <c r="U19" s="195">
        <f>L10</f>
        <v>119.18981481481481</v>
      </c>
      <c r="V19" s="195" t="s">
        <v>10</v>
      </c>
      <c r="W19" s="195">
        <v>-5</v>
      </c>
      <c r="X19" s="195">
        <f>M10</f>
        <v>243.62</v>
      </c>
      <c r="Y19" s="195" t="s">
        <v>10</v>
      </c>
      <c r="Z19" s="195">
        <v>-5</v>
      </c>
      <c r="AA19" s="195">
        <f>N10</f>
        <v>232.01</v>
      </c>
      <c r="AC19" s="195">
        <v>90</v>
      </c>
      <c r="AD19" s="195">
        <v>244.37</v>
      </c>
      <c r="AE19" s="195">
        <v>117</v>
      </c>
      <c r="AF19" s="195">
        <v>249.69</v>
      </c>
      <c r="AG19" s="195">
        <v>238.93</v>
      </c>
      <c r="AI19" s="195" t="s">
        <v>27</v>
      </c>
      <c r="AJ19" s="195">
        <v>5</v>
      </c>
      <c r="AK19" s="195">
        <f>AD10</f>
        <v>224.12</v>
      </c>
      <c r="AL19" s="195" t="s">
        <v>27</v>
      </c>
      <c r="AM19" s="195">
        <v>5</v>
      </c>
      <c r="AN19" s="195">
        <f>AE10</f>
        <v>98</v>
      </c>
      <c r="AO19" s="195" t="s">
        <v>27</v>
      </c>
      <c r="AP19" s="195">
        <v>5</v>
      </c>
      <c r="AQ19" s="195">
        <f>AF10</f>
        <v>228.79</v>
      </c>
      <c r="AR19" s="195" t="s">
        <v>27</v>
      </c>
      <c r="AS19" s="195">
        <v>5</v>
      </c>
      <c r="AT19" s="195">
        <f>AG10</f>
        <v>219.38</v>
      </c>
    </row>
    <row r="20" spans="1:46">
      <c r="A20" s="22">
        <f>(F23*(D2-E24)*(D2-E25)/((E23-E24)*(E23-E25))+F24*(D2-E23)*(D2-E25)/((E24-E23)*(E24-E25))+F25*(D2-E23)*(D2-E24)/((E25-E23)*(E25-E24)))</f>
        <v>125.27287758393223</v>
      </c>
      <c r="B20" s="23">
        <f>(B16*A20+(A21*B14))/(D2*(44/17.5))</f>
        <v>-0.18598000411675294</v>
      </c>
      <c r="E20" s="195">
        <v>80</v>
      </c>
      <c r="F20" s="11">
        <f>E25*(B24-9)*(B24--9)/((0-9)*(0--9))+G25*(B24-0)*(B24--9)/((9-0)*(9--9))+H25*(B24-0)*(B24-9)/((-9-0)*(-9-9))</f>
        <v>222.1043642466972</v>
      </c>
      <c r="J20" s="195">
        <v>80</v>
      </c>
      <c r="K20" s="195">
        <v>247.9</v>
      </c>
      <c r="L20" s="195">
        <v>137</v>
      </c>
      <c r="M20" s="195">
        <v>254.58</v>
      </c>
      <c r="N20" s="195">
        <v>241.12</v>
      </c>
      <c r="O20" s="16"/>
      <c r="P20" s="195" t="s">
        <v>10</v>
      </c>
      <c r="Q20" s="195">
        <v>-10</v>
      </c>
      <c r="R20" s="195">
        <f>K15</f>
        <v>243.21</v>
      </c>
      <c r="S20" s="195" t="s">
        <v>10</v>
      </c>
      <c r="T20" s="195">
        <v>-10</v>
      </c>
      <c r="U20" s="195">
        <f>L15</f>
        <v>129</v>
      </c>
      <c r="V20" s="195" t="s">
        <v>10</v>
      </c>
      <c r="W20" s="195">
        <v>-10</v>
      </c>
      <c r="X20" s="195">
        <f>M15</f>
        <v>249.45</v>
      </c>
      <c r="Y20" s="195" t="s">
        <v>10</v>
      </c>
      <c r="Z20" s="195">
        <v>-10</v>
      </c>
      <c r="AA20" s="195">
        <f>N15</f>
        <v>236.88</v>
      </c>
      <c r="AC20" s="195">
        <v>80</v>
      </c>
      <c r="AD20" s="195">
        <v>201.14</v>
      </c>
      <c r="AE20" s="195">
        <v>70</v>
      </c>
      <c r="AF20" s="195">
        <v>204.28</v>
      </c>
      <c r="AG20" s="195">
        <v>197.94</v>
      </c>
      <c r="AI20" s="195" t="s">
        <v>27</v>
      </c>
      <c r="AJ20" s="195">
        <v>10</v>
      </c>
      <c r="AK20" s="195">
        <f>AD15</f>
        <v>214.61</v>
      </c>
      <c r="AL20" s="195" t="s">
        <v>27</v>
      </c>
      <c r="AM20" s="195">
        <v>10</v>
      </c>
      <c r="AN20" s="195">
        <f>AE15</f>
        <v>85</v>
      </c>
      <c r="AO20" s="195" t="s">
        <v>27</v>
      </c>
      <c r="AP20" s="195">
        <v>10</v>
      </c>
      <c r="AQ20" s="195">
        <f>AF15</f>
        <v>218.61</v>
      </c>
      <c r="AR20" s="195" t="s">
        <v>27</v>
      </c>
      <c r="AS20" s="195">
        <v>10</v>
      </c>
      <c r="AT20" s="195">
        <f>AG15</f>
        <v>210.54</v>
      </c>
    </row>
    <row r="21" spans="1:46">
      <c r="A21" s="22">
        <f>A20*1</f>
        <v>125.27287758393223</v>
      </c>
      <c r="O21" s="16"/>
      <c r="P21" s="195" t="s">
        <v>10</v>
      </c>
      <c r="Q21" s="195">
        <v>-15</v>
      </c>
      <c r="R21" s="195">
        <f>K20</f>
        <v>247.9</v>
      </c>
      <c r="S21" s="195" t="s">
        <v>10</v>
      </c>
      <c r="T21" s="195">
        <v>-15</v>
      </c>
      <c r="U21" s="195">
        <f>L20</f>
        <v>137</v>
      </c>
      <c r="V21" s="195" t="s">
        <v>10</v>
      </c>
      <c r="W21" s="195">
        <v>-15</v>
      </c>
      <c r="X21" s="195">
        <f>M20</f>
        <v>254.58</v>
      </c>
      <c r="Y21" s="195" t="s">
        <v>10</v>
      </c>
      <c r="Z21" s="195">
        <v>-15</v>
      </c>
      <c r="AA21" s="195">
        <f>N20</f>
        <v>241.12</v>
      </c>
      <c r="AI21" s="195" t="s">
        <v>27</v>
      </c>
      <c r="AJ21" s="195">
        <v>15</v>
      </c>
      <c r="AK21" s="195">
        <f>AD20</f>
        <v>201.14</v>
      </c>
      <c r="AL21" s="195" t="s">
        <v>27</v>
      </c>
      <c r="AM21" s="195">
        <v>15</v>
      </c>
      <c r="AN21" s="195">
        <f>AE20</f>
        <v>70</v>
      </c>
      <c r="AO21" s="195" t="s">
        <v>27</v>
      </c>
      <c r="AP21" s="195">
        <v>15</v>
      </c>
      <c r="AQ21" s="195">
        <f>AF20</f>
        <v>204.28</v>
      </c>
      <c r="AR21" s="195" t="s">
        <v>27</v>
      </c>
      <c r="AS21" s="195">
        <v>15</v>
      </c>
      <c r="AT21" s="195">
        <f>AG20</f>
        <v>197.94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95" t="s">
        <v>10</v>
      </c>
      <c r="Q22" s="195">
        <v>-20</v>
      </c>
      <c r="R22" s="195">
        <f>K25</f>
        <v>252.08</v>
      </c>
      <c r="S22" s="195" t="s">
        <v>10</v>
      </c>
      <c r="T22" s="195">
        <v>-20</v>
      </c>
      <c r="U22" s="195">
        <f>L25</f>
        <v>146</v>
      </c>
      <c r="V22" s="195" t="s">
        <v>10</v>
      </c>
      <c r="W22" s="195">
        <v>-20</v>
      </c>
      <c r="X22" s="195">
        <f>M25</f>
        <v>259.19</v>
      </c>
      <c r="Y22" s="195" t="s">
        <v>10</v>
      </c>
      <c r="Z22" s="195">
        <v>-20</v>
      </c>
      <c r="AA22" s="195">
        <f>N25</f>
        <v>244.87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95" t="s">
        <v>27</v>
      </c>
      <c r="AJ22" s="195">
        <v>20</v>
      </c>
      <c r="AK22" s="195">
        <f>AD25</f>
        <v>171.24</v>
      </c>
      <c r="AL22" s="195" t="s">
        <v>27</v>
      </c>
      <c r="AM22" s="195">
        <v>20</v>
      </c>
      <c r="AN22" s="195">
        <f>AE25</f>
        <v>43</v>
      </c>
      <c r="AO22" s="195" t="s">
        <v>27</v>
      </c>
      <c r="AP22" s="195">
        <v>20</v>
      </c>
      <c r="AQ22" s="195">
        <f>AF25</f>
        <v>172.22</v>
      </c>
      <c r="AR22" s="195" t="s">
        <v>27</v>
      </c>
      <c r="AS22" s="195">
        <v>20</v>
      </c>
      <c r="AT22" s="195">
        <f>AG25</f>
        <v>170.09</v>
      </c>
    </row>
    <row r="23" spans="1:46">
      <c r="A23" s="195" t="s">
        <v>36</v>
      </c>
      <c r="B23" s="23">
        <f>$B$3*SIN(RADIANS($B$4+B20*0.707))</f>
        <v>0.9586435169447548</v>
      </c>
      <c r="D23" s="142">
        <v>100</v>
      </c>
      <c r="E23" s="142">
        <f>IF($B$2&gt;0,E28,E33)</f>
        <v>292.48215235440114</v>
      </c>
      <c r="F23" s="142">
        <f t="shared" ref="F23:H25" si="4">IF($B$2&gt;0,F28,F33)</f>
        <v>203.0775391887689</v>
      </c>
      <c r="G23" s="142">
        <f t="shared" si="4"/>
        <v>301.81753203778902</v>
      </c>
      <c r="H23" s="142">
        <f t="shared" si="4"/>
        <v>282.89133364099149</v>
      </c>
      <c r="J23" s="195">
        <v>100</v>
      </c>
      <c r="K23" s="195">
        <v>308.10000000000002</v>
      </c>
      <c r="L23" s="195">
        <v>250</v>
      </c>
      <c r="M23" s="195">
        <v>319.81</v>
      </c>
      <c r="N23" s="195">
        <v>296.08</v>
      </c>
      <c r="P23" s="195" t="s">
        <v>10</v>
      </c>
      <c r="Q23" s="195">
        <v>-25</v>
      </c>
      <c r="R23" s="195">
        <f>K30</f>
        <v>255.85</v>
      </c>
      <c r="S23" s="195" t="s">
        <v>10</v>
      </c>
      <c r="T23" s="195">
        <v>-25</v>
      </c>
      <c r="U23" s="195">
        <f>L30</f>
        <v>154</v>
      </c>
      <c r="V23" s="195" t="s">
        <v>10</v>
      </c>
      <c r="W23" s="195">
        <v>-25</v>
      </c>
      <c r="X23" s="195">
        <f>M30</f>
        <v>263.36</v>
      </c>
      <c r="Y23" s="195" t="s">
        <v>10</v>
      </c>
      <c r="Z23" s="195">
        <v>-25</v>
      </c>
      <c r="AA23" s="195">
        <f>N30</f>
        <v>248.24</v>
      </c>
      <c r="AC23" s="195">
        <v>100</v>
      </c>
      <c r="AD23" s="195">
        <v>279.44</v>
      </c>
      <c r="AE23" s="195">
        <v>171</v>
      </c>
      <c r="AF23" s="195">
        <v>287.10000000000002</v>
      </c>
      <c r="AG23" s="195">
        <v>271.55</v>
      </c>
      <c r="AI23" s="195" t="s">
        <v>28</v>
      </c>
      <c r="AJ23" s="9">
        <f>$B$2</f>
        <v>6.0220000000000002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222.24908831377903</v>
      </c>
      <c r="AL23" s="195" t="s">
        <v>28</v>
      </c>
      <c r="AM23" s="9">
        <f>$B$2</f>
        <v>6.0220000000000002</v>
      </c>
      <c r="AN23" s="11">
        <f t="shared" ref="AN23:AT23" si="5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95.35636498775628</v>
      </c>
      <c r="AO23" s="195" t="s">
        <v>28</v>
      </c>
      <c r="AP23" s="9">
        <f>$B$2</f>
        <v>6.0220000000000002</v>
      </c>
      <c r="AQ23" s="11">
        <f t="shared" si="5"/>
        <v>226.77792243005598</v>
      </c>
      <c r="AR23" s="195" t="s">
        <v>28</v>
      </c>
      <c r="AS23" s="9">
        <f>$B$2</f>
        <v>6.0220000000000002</v>
      </c>
      <c r="AT23" s="11">
        <f t="shared" si="5"/>
        <v>217.64787625761412</v>
      </c>
    </row>
    <row r="24" spans="1:46">
      <c r="A24" s="195" t="s">
        <v>37</v>
      </c>
      <c r="B24" s="23">
        <f>$B$3*COS(RADIANS($B$4+B20*0.5))</f>
        <v>-0.28525363226250711</v>
      </c>
      <c r="D24" s="142">
        <v>90</v>
      </c>
      <c r="E24" s="142">
        <f>IF($B$2&gt;0,E29,E34)</f>
        <v>257.15359257365725</v>
      </c>
      <c r="F24" s="142">
        <f t="shared" si="4"/>
        <v>140.70432112311534</v>
      </c>
      <c r="G24" s="142">
        <f t="shared" si="4"/>
        <v>263.65375444071344</v>
      </c>
      <c r="H24" s="142">
        <f t="shared" si="4"/>
        <v>250.52285826140388</v>
      </c>
      <c r="J24" s="195">
        <v>90</v>
      </c>
      <c r="K24" s="195">
        <v>279.41000000000003</v>
      </c>
      <c r="L24" s="195">
        <v>189</v>
      </c>
      <c r="M24" s="195">
        <v>288.39999999999998</v>
      </c>
      <c r="N24" s="195">
        <v>270.24</v>
      </c>
      <c r="P24" s="195" t="s">
        <v>11</v>
      </c>
      <c r="Q24" s="9">
        <f>$B$2</f>
        <v>6.0220000000000002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222.64949547783567</v>
      </c>
      <c r="S24" s="195" t="s">
        <v>11</v>
      </c>
      <c r="T24" s="9">
        <f>$B$2</f>
        <v>6.0220000000000002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119.20508295158714</v>
      </c>
      <c r="V24" s="195" t="s">
        <v>11</v>
      </c>
      <c r="W24" s="9">
        <f>$B$2</f>
        <v>6.0220000000000002</v>
      </c>
      <c r="X24" s="195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227.24052706433434</v>
      </c>
      <c r="Y24" s="195" t="s">
        <v>11</v>
      </c>
      <c r="Z24" s="9">
        <f>$B$2</f>
        <v>6.0220000000000002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217.84363784825126</v>
      </c>
      <c r="AC24" s="195">
        <v>90</v>
      </c>
      <c r="AD24" s="195">
        <v>234.18</v>
      </c>
      <c r="AE24" s="195">
        <v>101</v>
      </c>
      <c r="AF24" s="195">
        <v>238.64</v>
      </c>
      <c r="AG24" s="195">
        <v>229.59</v>
      </c>
    </row>
    <row r="25" spans="1:46">
      <c r="D25" s="142">
        <v>80</v>
      </c>
      <c r="E25" s="142">
        <f>IF($B$2&gt;0,E30,E35)</f>
        <v>222.24908831377903</v>
      </c>
      <c r="F25" s="142">
        <f t="shared" si="4"/>
        <v>95.35636498775628</v>
      </c>
      <c r="G25" s="142">
        <f t="shared" si="4"/>
        <v>226.77792243005598</v>
      </c>
      <c r="H25" s="142">
        <f t="shared" si="4"/>
        <v>217.64787625761412</v>
      </c>
      <c r="J25" s="195">
        <v>80</v>
      </c>
      <c r="K25" s="195">
        <v>252.08</v>
      </c>
      <c r="L25" s="195">
        <v>146</v>
      </c>
      <c r="M25" s="195">
        <v>259.19</v>
      </c>
      <c r="N25" s="195">
        <v>244.87</v>
      </c>
      <c r="AC25" s="195">
        <v>80</v>
      </c>
      <c r="AD25" s="195">
        <v>171.24</v>
      </c>
      <c r="AE25" s="195">
        <v>43</v>
      </c>
      <c r="AF25" s="195">
        <v>172.22</v>
      </c>
      <c r="AG25" s="195">
        <v>170.09</v>
      </c>
    </row>
    <row r="26" spans="1:46">
      <c r="A26" s="240" t="s">
        <v>39</v>
      </c>
      <c r="B26" s="241"/>
      <c r="D26"/>
      <c r="E26" s="12"/>
      <c r="F26" s="12"/>
      <c r="G26" s="12"/>
      <c r="H26" s="12"/>
      <c r="R26" s="198" t="s">
        <v>12</v>
      </c>
      <c r="S26" s="198"/>
      <c r="T26" s="198"/>
      <c r="U26" s="198" t="s">
        <v>13</v>
      </c>
      <c r="V26" s="198"/>
      <c r="W26" s="198"/>
      <c r="X26" s="198" t="s">
        <v>8</v>
      </c>
      <c r="Y26" s="198"/>
      <c r="Z26" s="198"/>
      <c r="AA26" s="198" t="s">
        <v>9</v>
      </c>
    </row>
    <row r="27" spans="1:46">
      <c r="A27" s="195">
        <f>F13*(D4-E14)*(D4-E15)/((E13-E14)*(E13-E15))+F14*(D4-E13)*(D4-E15)/((E14-E13)*(E14-E15))+F15*(D4-E13)*(D4-E14)/((E15-E13)*(E15-E14))</f>
        <v>257.11815878932367</v>
      </c>
      <c r="B27" s="195">
        <f>G13*(D4-E14)*(D4-E15)/((E13-E14)*(E13-E15))+G14*(D4-E13)*(D4-E15)/((E14-E13)*(E14-E15))+G15*(D4-E13)*(D4-E14)/((E15-E13)*(E15-E14))</f>
        <v>257.5164214795567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95" t="s">
        <v>10</v>
      </c>
      <c r="Q27" s="195">
        <v>-25</v>
      </c>
      <c r="R27" s="195">
        <f>K28</f>
        <v>310.39</v>
      </c>
      <c r="S27" s="195" t="s">
        <v>10</v>
      </c>
      <c r="T27" s="195">
        <v>-25</v>
      </c>
      <c r="U27" s="195">
        <f>L28</f>
        <v>257</v>
      </c>
      <c r="V27" s="195" t="s">
        <v>10</v>
      </c>
      <c r="W27" s="195">
        <v>-25</v>
      </c>
      <c r="X27" s="195">
        <f>M28</f>
        <v>322.5</v>
      </c>
      <c r="Y27" s="195" t="s">
        <v>10</v>
      </c>
      <c r="Z27" s="195">
        <v>-25</v>
      </c>
      <c r="AA27" s="195">
        <f>N28</f>
        <v>297.97000000000003</v>
      </c>
      <c r="AB27" s="198"/>
      <c r="AC27" s="198"/>
      <c r="AD27" s="198"/>
      <c r="AE27" s="198"/>
      <c r="AF27" s="198"/>
      <c r="AG27" s="198"/>
      <c r="AH27" s="198"/>
    </row>
    <row r="28" spans="1:46">
      <c r="D28" s="195">
        <v>100</v>
      </c>
      <c r="E28" s="11">
        <f>AK7</f>
        <v>292.48215235440114</v>
      </c>
      <c r="F28" s="11">
        <f>AN7</f>
        <v>203.0775391887689</v>
      </c>
      <c r="G28" s="11">
        <f>AQ7</f>
        <v>301.81753203778902</v>
      </c>
      <c r="H28" s="145">
        <f>AT7</f>
        <v>282.89133364099149</v>
      </c>
      <c r="J28" s="195">
        <v>100</v>
      </c>
      <c r="K28" s="195">
        <v>310.39</v>
      </c>
      <c r="L28" s="195">
        <v>257</v>
      </c>
      <c r="M28" s="195">
        <v>322.5</v>
      </c>
      <c r="N28" s="195">
        <v>297.97000000000003</v>
      </c>
      <c r="P28" s="195" t="s">
        <v>10</v>
      </c>
      <c r="Q28" s="195">
        <v>-30</v>
      </c>
      <c r="R28" s="195">
        <f>K33</f>
        <v>0</v>
      </c>
      <c r="S28" s="195" t="s">
        <v>10</v>
      </c>
      <c r="T28" s="195">
        <v>-30</v>
      </c>
      <c r="U28" s="195">
        <f>L33</f>
        <v>0</v>
      </c>
      <c r="V28" s="195" t="s">
        <v>10</v>
      </c>
      <c r="W28" s="195">
        <v>-30</v>
      </c>
      <c r="X28" s="195">
        <f>M33</f>
        <v>0</v>
      </c>
      <c r="Y28" s="195" t="s">
        <v>10</v>
      </c>
      <c r="Z28" s="195">
        <v>-30</v>
      </c>
      <c r="AA28" s="195">
        <f>N33</f>
        <v>0</v>
      </c>
      <c r="AB28" s="197"/>
      <c r="AC28" s="198"/>
      <c r="AD28" s="198"/>
      <c r="AE28" s="198"/>
      <c r="AF28" s="198"/>
      <c r="AG28" s="198"/>
      <c r="AH28" s="198"/>
    </row>
    <row r="29" spans="1:46">
      <c r="A29" s="195" t="s">
        <v>41</v>
      </c>
      <c r="B29" s="195" t="s">
        <v>42</v>
      </c>
      <c r="D29" s="195">
        <v>90</v>
      </c>
      <c r="E29" s="11">
        <f>AK15</f>
        <v>257.15359257365725</v>
      </c>
      <c r="F29" s="11">
        <f>AN15</f>
        <v>140.70432112311534</v>
      </c>
      <c r="G29" s="11">
        <f>AQ15</f>
        <v>263.65375444071344</v>
      </c>
      <c r="H29" s="145">
        <f>AT15</f>
        <v>250.52285826140388</v>
      </c>
      <c r="J29" s="195">
        <v>90</v>
      </c>
      <c r="K29" s="195">
        <v>282.45</v>
      </c>
      <c r="L29" s="195">
        <v>197</v>
      </c>
      <c r="M29" s="195">
        <v>291.85000000000002</v>
      </c>
      <c r="N29" s="195">
        <v>272.87</v>
      </c>
      <c r="P29" s="195" t="s">
        <v>10</v>
      </c>
      <c r="Q29" s="195">
        <v>-35</v>
      </c>
      <c r="R29" s="195">
        <f>K38</f>
        <v>0</v>
      </c>
      <c r="S29" s="195" t="s">
        <v>10</v>
      </c>
      <c r="T29" s="195">
        <v>-35</v>
      </c>
      <c r="U29" s="195">
        <f>L38</f>
        <v>0</v>
      </c>
      <c r="V29" s="195" t="s">
        <v>10</v>
      </c>
      <c r="W29" s="195">
        <v>-35</v>
      </c>
      <c r="X29" s="195">
        <f>M38</f>
        <v>0</v>
      </c>
      <c r="Y29" s="195" t="s">
        <v>10</v>
      </c>
      <c r="Z29" s="195">
        <v>-35</v>
      </c>
      <c r="AA29" s="195">
        <f>N38</f>
        <v>0</v>
      </c>
      <c r="AB29" s="197"/>
      <c r="AC29" s="198"/>
      <c r="AD29" s="198"/>
      <c r="AE29" s="198"/>
      <c r="AF29" s="198"/>
      <c r="AG29" s="198"/>
      <c r="AH29" s="198"/>
    </row>
    <row r="30" spans="1:46">
      <c r="A30" s="11">
        <f>E18*(D4-F19)*(D4-F20)/((F18-F19)*(F18-F20))+E19*(D4-F18)*(D4-F20)/((F19-F18)*(F19-F20))+E20*(D4-F18)*(D4-F19)/((F20-F18)*(F20-F19))</f>
        <v>90.306066082735583</v>
      </c>
      <c r="B30" s="11">
        <f>(F23*(A30-D24)*(A30-D25)/((D23-D24)*(D23-D25))+F24*(A30-D23)*(A30-D25)/((D24-D23)*(D24-D25))+F25*(A30-D23)*(A30-D24)/((D25-D23)*(D25-D24)))*(B23+(B14*(A21/A20))*(A30/100))</f>
        <v>-105.01927429523603</v>
      </c>
      <c r="D30" s="195">
        <v>80</v>
      </c>
      <c r="E30" s="11">
        <f>AK23</f>
        <v>222.24908831377903</v>
      </c>
      <c r="F30" s="11">
        <f>AN23</f>
        <v>95.35636498775628</v>
      </c>
      <c r="G30" s="11">
        <f>AQ23</f>
        <v>226.77792243005598</v>
      </c>
      <c r="H30" s="145">
        <f>AT23</f>
        <v>217.64787625761412</v>
      </c>
      <c r="J30" s="195">
        <v>80</v>
      </c>
      <c r="K30" s="195">
        <v>255.85</v>
      </c>
      <c r="L30" s="195">
        <v>154</v>
      </c>
      <c r="M30" s="195">
        <v>263.36</v>
      </c>
      <c r="N30" s="195">
        <v>248.24</v>
      </c>
      <c r="P30" s="195" t="s">
        <v>10</v>
      </c>
      <c r="Q30" s="195">
        <v>-40</v>
      </c>
      <c r="R30" s="195">
        <f>K43</f>
        <v>0</v>
      </c>
      <c r="S30" s="195" t="s">
        <v>10</v>
      </c>
      <c r="T30" s="195">
        <v>-40</v>
      </c>
      <c r="U30" s="195">
        <f>L43</f>
        <v>0</v>
      </c>
      <c r="V30" s="195" t="s">
        <v>10</v>
      </c>
      <c r="W30" s="195">
        <v>-40</v>
      </c>
      <c r="X30" s="195">
        <f>M43</f>
        <v>0</v>
      </c>
      <c r="Y30" s="195" t="s">
        <v>10</v>
      </c>
      <c r="Z30" s="195">
        <v>-40</v>
      </c>
      <c r="AA30" s="195">
        <f>N43</f>
        <v>0</v>
      </c>
      <c r="AB30" s="197"/>
      <c r="AC30" s="198"/>
      <c r="AD30" s="198"/>
      <c r="AE30" s="198"/>
      <c r="AF30" s="198"/>
      <c r="AG30" s="198"/>
      <c r="AH30" s="198"/>
    </row>
    <row r="31" spans="1:46">
      <c r="A31" s="195" t="s">
        <v>44</v>
      </c>
      <c r="B31" s="195" t="s">
        <v>43</v>
      </c>
      <c r="D31"/>
      <c r="E31" s="12"/>
      <c r="F31" s="12"/>
      <c r="G31" s="12"/>
      <c r="H31" s="12"/>
      <c r="P31" s="195" t="s">
        <v>10</v>
      </c>
      <c r="Q31" s="195">
        <v>-45</v>
      </c>
      <c r="R31" s="195">
        <f>K48</f>
        <v>0</v>
      </c>
      <c r="S31" s="195" t="s">
        <v>10</v>
      </c>
      <c r="T31" s="195">
        <v>-45</v>
      </c>
      <c r="U31" s="195">
        <f>L48</f>
        <v>0</v>
      </c>
      <c r="V31" s="195" t="s">
        <v>10</v>
      </c>
      <c r="W31" s="195">
        <v>-45</v>
      </c>
      <c r="X31" s="195">
        <f>M48</f>
        <v>0</v>
      </c>
      <c r="Y31" s="195" t="s">
        <v>10</v>
      </c>
      <c r="Z31" s="195">
        <v>-45</v>
      </c>
      <c r="AA31" s="195">
        <f>N48</f>
        <v>0</v>
      </c>
      <c r="AB31" s="197"/>
      <c r="AC31" s="198"/>
      <c r="AD31" s="198"/>
      <c r="AE31" s="198"/>
      <c r="AF31" s="198"/>
      <c r="AG31" s="198"/>
      <c r="AH31" s="198"/>
    </row>
    <row r="32" spans="1:46">
      <c r="A32" s="25">
        <f>(360-ROUNDDOWN((1-(A30/100))*360,0))*292/360</f>
        <v>264.42222222222222</v>
      </c>
      <c r="B32" s="11">
        <f>MOD((A30/100)*-360,1)*-((D4-A27)/(D4-B27))+7</f>
        <v>5.3886433078216367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95" t="s">
        <v>10</v>
      </c>
      <c r="Q32" s="195">
        <v>-50</v>
      </c>
      <c r="R32" s="195">
        <f>K53</f>
        <v>0</v>
      </c>
      <c r="S32" s="195" t="s">
        <v>10</v>
      </c>
      <c r="T32" s="195">
        <v>-50</v>
      </c>
      <c r="U32" s="195">
        <f>L53</f>
        <v>0</v>
      </c>
      <c r="V32" s="195" t="s">
        <v>10</v>
      </c>
      <c r="W32" s="195">
        <v>-50</v>
      </c>
      <c r="X32" s="195">
        <f>M53</f>
        <v>0</v>
      </c>
      <c r="Y32" s="195" t="s">
        <v>10</v>
      </c>
      <c r="Z32" s="195">
        <v>-50</v>
      </c>
      <c r="AA32" s="195">
        <f>N53</f>
        <v>0</v>
      </c>
      <c r="AB32" s="197"/>
      <c r="AC32" s="198"/>
      <c r="AD32" s="198"/>
      <c r="AE32" s="198"/>
      <c r="AF32" s="198"/>
      <c r="AG32" s="198"/>
      <c r="AH32" s="198"/>
    </row>
    <row r="33" spans="4:28">
      <c r="D33" s="195">
        <v>100</v>
      </c>
      <c r="E33" s="195">
        <f>IF($B$2&gt;0,Q1,IF($B$2&gt;-25,R8,IF($B$2&gt;-50,R33,IF($B$2&gt;-75,R58))))</f>
        <v>0</v>
      </c>
      <c r="F33" s="195">
        <f>IF($B$2&gt;0,Q1,IF($B$2&gt;-25,U8,IF($B$2&gt;-50,U33,IF($B$2&gt;-75,U58))))</f>
        <v>0</v>
      </c>
      <c r="G33" s="195">
        <f>IF($B$2&gt;0,Q1,IF($B$2&gt;-25,X8,IF($B$2&gt;-50,X33,IF($B$2&gt;-75,X58))))</f>
        <v>0</v>
      </c>
      <c r="H33" s="22">
        <f>IF($B$2&gt;0,Q1,IF($B$2&gt;-25,AA8,IF($B$2&gt;-50,AA33,IF($B$2&gt;-75,AA58))))</f>
        <v>0</v>
      </c>
      <c r="J33" s="195"/>
      <c r="K33" s="195"/>
      <c r="L33" s="195"/>
      <c r="M33" s="195"/>
      <c r="N33" s="195"/>
      <c r="P33" s="195" t="s">
        <v>11</v>
      </c>
      <c r="Q33" s="9">
        <f>$B$2</f>
        <v>6.0220000000000002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160895.04925621388</v>
      </c>
      <c r="S33" s="195" t="s">
        <v>11</v>
      </c>
      <c r="T33" s="9">
        <f>$B$2</f>
        <v>6.0220000000000002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133219.58716082017</v>
      </c>
      <c r="V33" s="195" t="s">
        <v>11</v>
      </c>
      <c r="W33" s="9">
        <f>$B$2</f>
        <v>6.0220000000000002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167172.43914149608</v>
      </c>
      <c r="Y33" s="195" t="s">
        <v>11</v>
      </c>
      <c r="Z33" s="9">
        <f>$B$2</f>
        <v>6.0220000000000002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154456.96648369488</v>
      </c>
      <c r="AB33" s="197"/>
    </row>
    <row r="34" spans="4:28">
      <c r="D34" s="195">
        <v>90</v>
      </c>
      <c r="E34" s="195">
        <f>IF($B$2&gt;0,Q1,IF($B$2&gt;-25,R16,IF($B$2&gt;-50,R41,IF($B$2&gt;-75,R66))))</f>
        <v>0</v>
      </c>
      <c r="F34" s="195">
        <f>IF($B$2&gt;0,Q1,IF($B$2&gt;-25,U16,IF($B$2&gt;-50,U41,IF($B$2&gt;-75,U66))))</f>
        <v>0</v>
      </c>
      <c r="G34" s="195">
        <f>IF($B$2&gt;0,Q1,IF($B$2&gt;-25,X16,IF($B$2&gt;-50,X41,IF($B$2&gt;-75,X66))))</f>
        <v>0</v>
      </c>
      <c r="H34" s="22">
        <f>IF($B$2&gt;0,Q1,IF($B$2&gt;-25,AA16,IF($B$2&gt;-50,AA41,IF($B$2&gt;-75,AA66))))</f>
        <v>0</v>
      </c>
      <c r="J34" s="195"/>
      <c r="K34" s="195"/>
      <c r="L34" s="195"/>
      <c r="M34" s="195"/>
      <c r="N34" s="195"/>
      <c r="R34" s="198" t="s">
        <v>12</v>
      </c>
      <c r="S34" s="198"/>
      <c r="T34" s="198"/>
      <c r="U34" s="198" t="s">
        <v>13</v>
      </c>
      <c r="V34" s="198"/>
      <c r="W34" s="198"/>
      <c r="X34" s="198" t="s">
        <v>8</v>
      </c>
      <c r="Y34" s="198"/>
      <c r="Z34" s="198"/>
      <c r="AA34" s="198" t="s">
        <v>9</v>
      </c>
    </row>
    <row r="35" spans="4:28">
      <c r="D35" s="195">
        <v>80</v>
      </c>
      <c r="E35" s="195">
        <f>IF($B$2&gt;0,Q1,IF($B$2&gt;-25,R24,IF($B$2&gt;-50,R49,IF($B$2&gt;-75,R74))))</f>
        <v>0</v>
      </c>
      <c r="F35" s="195">
        <f>IF($B$2&gt;0,Q1,IF($B$2&gt;-25,U24,IF($B$2&gt;-50,U49,IF($B$2&gt;-75,U74))))</f>
        <v>0</v>
      </c>
      <c r="G35" s="195">
        <f>IF($B$2&gt;0,Q1,IF($B$2&gt;-25,X24,IF($B$2&gt;-50,X49,IF($B$2&gt;-75,X74))))</f>
        <v>0</v>
      </c>
      <c r="H35" s="22">
        <f>IF($B$2&gt;0,Q1,IF($B$2&gt;-25,AA24,IF($B$2&gt;-50,AA49,IF($B$2&gt;-75,AA74))))</f>
        <v>0</v>
      </c>
      <c r="J35" s="195"/>
      <c r="K35" s="195"/>
      <c r="L35" s="195"/>
      <c r="M35" s="195"/>
      <c r="N35" s="195"/>
      <c r="P35" s="195" t="s">
        <v>10</v>
      </c>
      <c r="Q35" s="195">
        <v>-25</v>
      </c>
      <c r="R35" s="195">
        <f>K29</f>
        <v>282.45</v>
      </c>
      <c r="S35" s="195" t="s">
        <v>10</v>
      </c>
      <c r="T35" s="195">
        <v>-25</v>
      </c>
      <c r="U35" s="195">
        <f>L29</f>
        <v>197</v>
      </c>
      <c r="V35" s="195" t="s">
        <v>10</v>
      </c>
      <c r="W35" s="195">
        <v>-25</v>
      </c>
      <c r="X35" s="195">
        <f>M29</f>
        <v>291.85000000000002</v>
      </c>
      <c r="Y35" s="195" t="s">
        <v>10</v>
      </c>
      <c r="Z35" s="195">
        <v>-25</v>
      </c>
      <c r="AA35" s="195">
        <f>N29</f>
        <v>272.87</v>
      </c>
    </row>
    <row r="36" spans="4:28">
      <c r="D36"/>
      <c r="E36" s="12"/>
      <c r="F36" s="12"/>
      <c r="G36" s="12"/>
      <c r="H36" s="12"/>
      <c r="P36" s="195" t="s">
        <v>10</v>
      </c>
      <c r="Q36" s="195">
        <v>-30</v>
      </c>
      <c r="R36" s="195">
        <f>K34</f>
        <v>0</v>
      </c>
      <c r="S36" s="195" t="s">
        <v>10</v>
      </c>
      <c r="T36" s="195">
        <v>-30</v>
      </c>
      <c r="U36" s="195">
        <f>L34</f>
        <v>0</v>
      </c>
      <c r="V36" s="195" t="s">
        <v>10</v>
      </c>
      <c r="W36" s="195">
        <v>-30</v>
      </c>
      <c r="X36" s="195">
        <f>M34</f>
        <v>0</v>
      </c>
      <c r="Y36" s="195" t="s">
        <v>10</v>
      </c>
      <c r="Z36" s="195">
        <v>-30</v>
      </c>
      <c r="AA36" s="195">
        <f>N34</f>
        <v>0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95" t="s">
        <v>10</v>
      </c>
      <c r="Q37" s="195">
        <v>-35</v>
      </c>
      <c r="R37" s="195">
        <f>K39</f>
        <v>0</v>
      </c>
      <c r="S37" s="195" t="s">
        <v>10</v>
      </c>
      <c r="T37" s="195">
        <v>-35</v>
      </c>
      <c r="U37" s="195">
        <f>L39</f>
        <v>0</v>
      </c>
      <c r="V37" s="195" t="s">
        <v>10</v>
      </c>
      <c r="W37" s="195">
        <v>-35</v>
      </c>
      <c r="X37" s="195">
        <f>M39</f>
        <v>0</v>
      </c>
      <c r="Y37" s="195" t="s">
        <v>10</v>
      </c>
      <c r="Z37" s="195">
        <v>-35</v>
      </c>
      <c r="AA37" s="195">
        <f>N39</f>
        <v>0</v>
      </c>
    </row>
    <row r="38" spans="4:28">
      <c r="D38"/>
      <c r="J38" s="195"/>
      <c r="K38" s="195"/>
      <c r="L38" s="195"/>
      <c r="M38" s="195"/>
      <c r="N38" s="195"/>
      <c r="P38" s="195" t="s">
        <v>10</v>
      </c>
      <c r="Q38" s="195">
        <v>-40</v>
      </c>
      <c r="R38" s="195">
        <f>K44</f>
        <v>0</v>
      </c>
      <c r="S38" s="195" t="s">
        <v>10</v>
      </c>
      <c r="T38" s="195">
        <v>-40</v>
      </c>
      <c r="U38" s="195">
        <f>L44</f>
        <v>0</v>
      </c>
      <c r="V38" s="195" t="s">
        <v>10</v>
      </c>
      <c r="W38" s="195">
        <v>-40</v>
      </c>
      <c r="X38" s="195">
        <f>M44</f>
        <v>0</v>
      </c>
      <c r="Y38" s="195" t="s">
        <v>10</v>
      </c>
      <c r="Z38" s="195">
        <v>-40</v>
      </c>
      <c r="AA38" s="195">
        <f>N44</f>
        <v>0</v>
      </c>
    </row>
    <row r="39" spans="4:28">
      <c r="D39"/>
      <c r="J39" s="195"/>
      <c r="K39" s="195"/>
      <c r="L39" s="195"/>
      <c r="M39" s="195"/>
      <c r="N39" s="195"/>
      <c r="P39" s="195" t="s">
        <v>10</v>
      </c>
      <c r="Q39" s="195">
        <v>-45</v>
      </c>
      <c r="R39" s="195">
        <f>K49</f>
        <v>0</v>
      </c>
      <c r="S39" s="195" t="s">
        <v>10</v>
      </c>
      <c r="T39" s="195">
        <v>-45</v>
      </c>
      <c r="U39" s="195">
        <f>L49</f>
        <v>0</v>
      </c>
      <c r="V39" s="195" t="s">
        <v>10</v>
      </c>
      <c r="W39" s="195">
        <v>-45</v>
      </c>
      <c r="X39" s="195">
        <f>M49</f>
        <v>0</v>
      </c>
      <c r="Y39" s="195" t="s">
        <v>10</v>
      </c>
      <c r="Z39" s="195">
        <v>-45</v>
      </c>
      <c r="AA39" s="195">
        <f>N49</f>
        <v>0</v>
      </c>
    </row>
    <row r="40" spans="4:28">
      <c r="D40"/>
      <c r="J40" s="195"/>
      <c r="K40" s="195"/>
      <c r="L40" s="195"/>
      <c r="M40" s="195"/>
      <c r="N40" s="195"/>
      <c r="P40" s="195" t="s">
        <v>10</v>
      </c>
      <c r="Q40" s="195">
        <v>-50</v>
      </c>
      <c r="R40" s="195">
        <f>K54</f>
        <v>0</v>
      </c>
      <c r="S40" s="195" t="s">
        <v>10</v>
      </c>
      <c r="T40" s="195">
        <v>-50</v>
      </c>
      <c r="U40" s="195">
        <f>L54</f>
        <v>0</v>
      </c>
      <c r="V40" s="195" t="s">
        <v>10</v>
      </c>
      <c r="W40" s="195">
        <v>-50</v>
      </c>
      <c r="X40" s="195">
        <f>M54</f>
        <v>0</v>
      </c>
      <c r="Y40" s="195" t="s">
        <v>10</v>
      </c>
      <c r="Z40" s="195">
        <v>-50</v>
      </c>
      <c r="AA40" s="195">
        <f>N54</f>
        <v>0</v>
      </c>
    </row>
    <row r="41" spans="4:28">
      <c r="D41"/>
      <c r="P41" s="195" t="s">
        <v>11</v>
      </c>
      <c r="Q41" s="9">
        <f>$B$2</f>
        <v>6.0220000000000002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146411.95483880799</v>
      </c>
      <c r="S41" s="195" t="s">
        <v>11</v>
      </c>
      <c r="T41" s="9">
        <f>$B$2</f>
        <v>6.0220000000000002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102117.73801821623</v>
      </c>
      <c r="V41" s="195" t="s">
        <v>11</v>
      </c>
      <c r="W41" s="9">
        <f>$B$2</f>
        <v>6.0220000000000002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151284.57787114926</v>
      </c>
      <c r="Y41" s="195" t="s">
        <v>11</v>
      </c>
      <c r="Z41" s="9">
        <f>$B$2</f>
        <v>6.0220000000000002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141446.02625903889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98" t="s">
        <v>12</v>
      </c>
      <c r="S42" s="198"/>
      <c r="T42" s="198"/>
      <c r="U42" s="198" t="s">
        <v>13</v>
      </c>
      <c r="V42" s="198"/>
      <c r="W42" s="198"/>
      <c r="X42" s="198" t="s">
        <v>8</v>
      </c>
      <c r="Y42" s="198"/>
      <c r="Z42" s="198"/>
      <c r="AA42" s="198" t="s">
        <v>9</v>
      </c>
    </row>
    <row r="43" spans="4:28">
      <c r="J43" s="195"/>
      <c r="K43" s="195"/>
      <c r="L43" s="195"/>
      <c r="M43" s="195"/>
      <c r="N43" s="195"/>
      <c r="P43" s="195" t="s">
        <v>10</v>
      </c>
      <c r="Q43" s="195">
        <v>-25</v>
      </c>
      <c r="R43" s="195">
        <f>K30</f>
        <v>255.85</v>
      </c>
      <c r="S43" s="195" t="s">
        <v>10</v>
      </c>
      <c r="T43" s="195">
        <v>-25</v>
      </c>
      <c r="U43" s="195">
        <f>L30</f>
        <v>154</v>
      </c>
      <c r="V43" s="195" t="s">
        <v>10</v>
      </c>
      <c r="W43" s="195">
        <v>-25</v>
      </c>
      <c r="X43" s="195">
        <f>M30</f>
        <v>263.36</v>
      </c>
      <c r="Y43" s="195" t="s">
        <v>10</v>
      </c>
      <c r="Z43" s="195">
        <v>-25</v>
      </c>
      <c r="AA43" s="195">
        <f>N30</f>
        <v>248.24</v>
      </c>
    </row>
    <row r="44" spans="4:28">
      <c r="J44" s="195"/>
      <c r="K44" s="195"/>
      <c r="L44" s="195"/>
      <c r="M44" s="195"/>
      <c r="N44" s="195"/>
      <c r="P44" s="195" t="s">
        <v>10</v>
      </c>
      <c r="Q44" s="195">
        <v>-30</v>
      </c>
      <c r="R44" s="195">
        <f>K35</f>
        <v>0</v>
      </c>
      <c r="S44" s="195" t="s">
        <v>10</v>
      </c>
      <c r="T44" s="195">
        <v>-30</v>
      </c>
      <c r="U44" s="195">
        <f>L35</f>
        <v>0</v>
      </c>
      <c r="V44" s="195" t="s">
        <v>10</v>
      </c>
      <c r="W44" s="195">
        <v>-30</v>
      </c>
      <c r="X44" s="195">
        <f>M35</f>
        <v>0</v>
      </c>
      <c r="Y44" s="195" t="s">
        <v>10</v>
      </c>
      <c r="Z44" s="195">
        <v>-30</v>
      </c>
      <c r="AA44" s="195">
        <f>N35</f>
        <v>0</v>
      </c>
    </row>
    <row r="45" spans="4:28">
      <c r="J45" s="195"/>
      <c r="K45" s="195"/>
      <c r="L45" s="195"/>
      <c r="M45" s="195"/>
      <c r="N45" s="195"/>
      <c r="P45" s="195" t="s">
        <v>10</v>
      </c>
      <c r="Q45" s="195">
        <v>-35</v>
      </c>
      <c r="R45" s="195">
        <f>K40</f>
        <v>0</v>
      </c>
      <c r="S45" s="195" t="s">
        <v>10</v>
      </c>
      <c r="T45" s="195">
        <v>-35</v>
      </c>
      <c r="U45" s="195">
        <f>L40</f>
        <v>0</v>
      </c>
      <c r="V45" s="195" t="s">
        <v>10</v>
      </c>
      <c r="W45" s="195">
        <v>-35</v>
      </c>
      <c r="X45" s="195">
        <f>M40</f>
        <v>0</v>
      </c>
      <c r="Y45" s="195" t="s">
        <v>10</v>
      </c>
      <c r="Z45" s="195">
        <v>-35</v>
      </c>
      <c r="AA45" s="195">
        <f>N40</f>
        <v>0</v>
      </c>
    </row>
    <row r="46" spans="4:28">
      <c r="P46" s="195" t="s">
        <v>10</v>
      </c>
      <c r="Q46" s="195">
        <v>-40</v>
      </c>
      <c r="R46" s="195">
        <f>K45</f>
        <v>0</v>
      </c>
      <c r="S46" s="195" t="s">
        <v>10</v>
      </c>
      <c r="T46" s="195">
        <v>-40</v>
      </c>
      <c r="U46" s="195">
        <f>L45</f>
        <v>0</v>
      </c>
      <c r="V46" s="195" t="s">
        <v>10</v>
      </c>
      <c r="W46" s="195">
        <v>-40</v>
      </c>
      <c r="X46" s="195">
        <f>M45</f>
        <v>0</v>
      </c>
      <c r="Y46" s="195" t="s">
        <v>10</v>
      </c>
      <c r="Z46" s="195">
        <v>-40</v>
      </c>
      <c r="AA46" s="195">
        <f>N45</f>
        <v>0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95" t="s">
        <v>10</v>
      </c>
      <c r="Q47" s="195">
        <v>-45</v>
      </c>
      <c r="R47" s="195">
        <f>K50</f>
        <v>0</v>
      </c>
      <c r="S47" s="195" t="s">
        <v>10</v>
      </c>
      <c r="T47" s="195">
        <v>-45</v>
      </c>
      <c r="U47" s="195">
        <f>L50</f>
        <v>0</v>
      </c>
      <c r="V47" s="195" t="s">
        <v>10</v>
      </c>
      <c r="W47" s="195">
        <v>-45</v>
      </c>
      <c r="X47" s="195">
        <f>M50</f>
        <v>0</v>
      </c>
      <c r="Y47" s="195" t="s">
        <v>10</v>
      </c>
      <c r="Z47" s="195">
        <v>-45</v>
      </c>
      <c r="AA47" s="195">
        <f>N50</f>
        <v>0</v>
      </c>
    </row>
    <row r="48" spans="4:28">
      <c r="J48" s="195"/>
      <c r="K48" s="195"/>
      <c r="L48" s="195"/>
      <c r="M48" s="195"/>
      <c r="N48" s="195"/>
      <c r="P48" s="195" t="s">
        <v>10</v>
      </c>
      <c r="Q48" s="195">
        <v>-50</v>
      </c>
      <c r="R48" s="195">
        <f>K55</f>
        <v>0</v>
      </c>
      <c r="S48" s="195" t="s">
        <v>10</v>
      </c>
      <c r="T48" s="195">
        <v>-50</v>
      </c>
      <c r="U48" s="195">
        <f>L55</f>
        <v>0</v>
      </c>
      <c r="V48" s="195" t="s">
        <v>10</v>
      </c>
      <c r="W48" s="195">
        <v>-50</v>
      </c>
      <c r="X48" s="195">
        <f>M55</f>
        <v>0</v>
      </c>
      <c r="Y48" s="195" t="s">
        <v>10</v>
      </c>
      <c r="Z48" s="195">
        <v>-50</v>
      </c>
      <c r="AA48" s="195">
        <f>N55</f>
        <v>0</v>
      </c>
    </row>
    <row r="49" spans="4:27">
      <c r="D49"/>
      <c r="J49" s="195"/>
      <c r="K49" s="195"/>
      <c r="L49" s="195"/>
      <c r="M49" s="195"/>
      <c r="N49" s="195"/>
      <c r="P49" s="195" t="s">
        <v>11</v>
      </c>
      <c r="Q49" s="9">
        <f>$B$2</f>
        <v>6.0220000000000002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132623.46838558692</v>
      </c>
      <c r="S49" s="195" t="s">
        <v>11</v>
      </c>
      <c r="T49" s="9">
        <f>$B$2</f>
        <v>6.0220000000000002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79828.079466016745</v>
      </c>
      <c r="V49" s="195" t="s">
        <v>11</v>
      </c>
      <c r="W49" s="9">
        <f>$B$2</f>
        <v>6.0220000000000002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136516.38316993613</v>
      </c>
      <c r="Y49" s="195" t="s">
        <v>11</v>
      </c>
      <c r="Z49" s="9">
        <f>$B$2</f>
        <v>6.0220000000000002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128678.71718599998</v>
      </c>
    </row>
    <row r="50" spans="4:27">
      <c r="D50"/>
      <c r="J50" s="195"/>
      <c r="K50" s="195"/>
      <c r="L50" s="195"/>
      <c r="M50" s="195"/>
      <c r="N50" s="195"/>
    </row>
    <row r="51" spans="4:27">
      <c r="D51"/>
      <c r="R51" s="198" t="s">
        <v>12</v>
      </c>
      <c r="S51" s="198"/>
      <c r="T51" s="198"/>
      <c r="U51" s="198" t="s">
        <v>13</v>
      </c>
      <c r="V51" s="198"/>
      <c r="W51" s="198"/>
      <c r="X51" s="198" t="s">
        <v>8</v>
      </c>
      <c r="Y51" s="198"/>
      <c r="Z51" s="198"/>
      <c r="AA51" s="198" t="s">
        <v>9</v>
      </c>
    </row>
    <row r="52" spans="4:27">
      <c r="D52"/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95" t="s">
        <v>10</v>
      </c>
      <c r="Q52" s="195">
        <v>-50</v>
      </c>
      <c r="R52" s="195">
        <f>K53</f>
        <v>0</v>
      </c>
      <c r="S52" s="195" t="s">
        <v>10</v>
      </c>
      <c r="T52" s="195">
        <v>-50</v>
      </c>
      <c r="U52" s="195">
        <f>L53</f>
        <v>0</v>
      </c>
      <c r="V52" s="195" t="s">
        <v>10</v>
      </c>
      <c r="W52" s="195">
        <v>-50</v>
      </c>
      <c r="X52" s="195">
        <f>M53</f>
        <v>0</v>
      </c>
      <c r="Y52" s="195" t="s">
        <v>10</v>
      </c>
      <c r="Z52" s="195">
        <v>-50</v>
      </c>
      <c r="AA52" s="195">
        <f>N53</f>
        <v>0</v>
      </c>
    </row>
    <row r="53" spans="4:27">
      <c r="D53"/>
      <c r="J53" s="195"/>
      <c r="K53" s="195"/>
      <c r="L53" s="195"/>
      <c r="M53" s="195"/>
      <c r="N53" s="195"/>
      <c r="P53" s="195" t="s">
        <v>10</v>
      </c>
      <c r="Q53" s="195">
        <v>-55</v>
      </c>
      <c r="R53" s="195">
        <f>K58</f>
        <v>0</v>
      </c>
      <c r="S53" s="195" t="s">
        <v>10</v>
      </c>
      <c r="T53" s="195">
        <v>-55</v>
      </c>
      <c r="U53" s="195">
        <f>L58</f>
        <v>0</v>
      </c>
      <c r="V53" s="195" t="s">
        <v>10</v>
      </c>
      <c r="W53" s="195">
        <v>-55</v>
      </c>
      <c r="X53" s="195">
        <f>M58</f>
        <v>0</v>
      </c>
      <c r="Y53" s="195" t="s">
        <v>10</v>
      </c>
      <c r="Z53" s="195">
        <v>-55</v>
      </c>
      <c r="AA53" s="195">
        <f>N58</f>
        <v>0</v>
      </c>
    </row>
    <row r="54" spans="4:27">
      <c r="D54"/>
      <c r="J54" s="195"/>
      <c r="K54" s="195"/>
      <c r="L54" s="195"/>
      <c r="M54" s="195"/>
      <c r="N54" s="195"/>
      <c r="P54" s="195" t="s">
        <v>10</v>
      </c>
      <c r="Q54" s="195">
        <v>-60</v>
      </c>
      <c r="R54" s="195">
        <f>K63</f>
        <v>0</v>
      </c>
      <c r="S54" s="195" t="s">
        <v>10</v>
      </c>
      <c r="T54" s="195">
        <v>-60</v>
      </c>
      <c r="U54" s="195">
        <f>L63</f>
        <v>0</v>
      </c>
      <c r="V54" s="195" t="s">
        <v>10</v>
      </c>
      <c r="W54" s="195">
        <v>-60</v>
      </c>
      <c r="X54" s="195">
        <f>M63</f>
        <v>0</v>
      </c>
      <c r="Y54" s="195" t="s">
        <v>10</v>
      </c>
      <c r="Z54" s="195">
        <v>-60</v>
      </c>
      <c r="AA54" s="195">
        <f>N63</f>
        <v>0</v>
      </c>
    </row>
    <row r="55" spans="4:27">
      <c r="D55"/>
      <c r="J55" s="195"/>
      <c r="K55" s="195"/>
      <c r="L55" s="195"/>
      <c r="M55" s="195"/>
      <c r="N55" s="195"/>
      <c r="P55" s="195" t="s">
        <v>10</v>
      </c>
      <c r="Q55" s="195">
        <v>-65</v>
      </c>
      <c r="R55" s="195">
        <f>K68</f>
        <v>0</v>
      </c>
      <c r="S55" s="195" t="s">
        <v>10</v>
      </c>
      <c r="T55" s="195">
        <v>-65</v>
      </c>
      <c r="U55" s="195">
        <f>L68</f>
        <v>0</v>
      </c>
      <c r="V55" s="195" t="s">
        <v>10</v>
      </c>
      <c r="W55" s="195">
        <v>-65</v>
      </c>
      <c r="X55" s="195">
        <f>M68</f>
        <v>0</v>
      </c>
      <c r="Y55" s="195" t="s">
        <v>10</v>
      </c>
      <c r="Z55" s="195">
        <v>-65</v>
      </c>
      <c r="AA55" s="195">
        <f>N68</f>
        <v>0</v>
      </c>
    </row>
    <row r="56" spans="4:27">
      <c r="D56"/>
      <c r="P56" s="195" t="s">
        <v>10</v>
      </c>
      <c r="Q56" s="195">
        <v>-70</v>
      </c>
      <c r="R56" s="195">
        <f>K73</f>
        <v>0</v>
      </c>
      <c r="S56" s="195" t="s">
        <v>10</v>
      </c>
      <c r="T56" s="195">
        <v>-70</v>
      </c>
      <c r="U56" s="195">
        <f>L73</f>
        <v>0</v>
      </c>
      <c r="V56" s="195" t="s">
        <v>10</v>
      </c>
      <c r="W56" s="195">
        <v>-70</v>
      </c>
      <c r="X56" s="195">
        <f>M73</f>
        <v>0</v>
      </c>
      <c r="Y56" s="195" t="s">
        <v>10</v>
      </c>
      <c r="Z56" s="195">
        <v>-70</v>
      </c>
      <c r="AA56" s="195">
        <f>N73</f>
        <v>0</v>
      </c>
    </row>
    <row r="57" spans="4:27">
      <c r="D57"/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95" t="s">
        <v>10</v>
      </c>
      <c r="Q57" s="195">
        <v>-75</v>
      </c>
      <c r="R57" s="195">
        <f>K78</f>
        <v>0</v>
      </c>
      <c r="S57" s="195" t="s">
        <v>10</v>
      </c>
      <c r="T57" s="195">
        <v>-75</v>
      </c>
      <c r="U57" s="195">
        <f>L78</f>
        <v>0</v>
      </c>
      <c r="V57" s="195" t="s">
        <v>10</v>
      </c>
      <c r="W57" s="195">
        <v>-75</v>
      </c>
      <c r="X57" s="195">
        <f>M78</f>
        <v>0</v>
      </c>
      <c r="Y57" s="195" t="s">
        <v>10</v>
      </c>
      <c r="Z57" s="195">
        <v>-75</v>
      </c>
      <c r="AA57" s="195">
        <f>N78</f>
        <v>0</v>
      </c>
    </row>
    <row r="58" spans="4:27">
      <c r="D58"/>
      <c r="J58" s="195"/>
      <c r="K58" s="195"/>
      <c r="L58" s="195"/>
      <c r="M58" s="195"/>
      <c r="N58" s="195"/>
      <c r="P58" s="195" t="s">
        <v>11</v>
      </c>
      <c r="Q58" s="9">
        <f>$B$2</f>
        <v>6.0220000000000002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0</v>
      </c>
      <c r="S58" s="195" t="s">
        <v>11</v>
      </c>
      <c r="T58" s="9">
        <f>$B$2</f>
        <v>6.0220000000000002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0</v>
      </c>
      <c r="V58" s="195" t="s">
        <v>11</v>
      </c>
      <c r="W58" s="9">
        <f>$B$2</f>
        <v>6.0220000000000002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0</v>
      </c>
      <c r="Y58" s="195" t="s">
        <v>11</v>
      </c>
      <c r="Z58" s="9">
        <f>$B$2</f>
        <v>6.0220000000000002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0</v>
      </c>
    </row>
    <row r="59" spans="4:27">
      <c r="D59"/>
      <c r="J59" s="195"/>
      <c r="K59" s="195"/>
      <c r="L59" s="195"/>
      <c r="M59" s="195"/>
      <c r="N59" s="195"/>
      <c r="R59" s="198" t="s">
        <v>12</v>
      </c>
      <c r="S59" s="198"/>
      <c r="T59" s="198"/>
      <c r="U59" s="198" t="s">
        <v>13</v>
      </c>
      <c r="V59" s="198"/>
      <c r="W59" s="198"/>
      <c r="X59" s="198" t="s">
        <v>8</v>
      </c>
      <c r="Y59" s="198"/>
      <c r="Z59" s="198"/>
      <c r="AA59" s="198" t="s">
        <v>9</v>
      </c>
    </row>
    <row r="60" spans="4:27">
      <c r="D60"/>
      <c r="J60" s="195"/>
      <c r="K60" s="195"/>
      <c r="L60" s="195"/>
      <c r="M60" s="195"/>
      <c r="N60" s="195"/>
      <c r="P60" s="195" t="s">
        <v>10</v>
      </c>
      <c r="Q60" s="195">
        <v>-50</v>
      </c>
      <c r="R60" s="195">
        <f>K54</f>
        <v>0</v>
      </c>
      <c r="S60" s="195" t="s">
        <v>10</v>
      </c>
      <c r="T60" s="195">
        <v>-50</v>
      </c>
      <c r="U60" s="195">
        <f>L54</f>
        <v>0</v>
      </c>
      <c r="V60" s="195" t="s">
        <v>10</v>
      </c>
      <c r="W60" s="195">
        <v>-50</v>
      </c>
      <c r="X60" s="195">
        <f>M54</f>
        <v>0</v>
      </c>
      <c r="Y60" s="195" t="s">
        <v>10</v>
      </c>
      <c r="Z60" s="195">
        <v>-50</v>
      </c>
      <c r="AA60" s="195">
        <f>N54</f>
        <v>0</v>
      </c>
    </row>
    <row r="61" spans="4:27">
      <c r="D61"/>
      <c r="P61" s="195" t="s">
        <v>10</v>
      </c>
      <c r="Q61" s="195">
        <v>-55</v>
      </c>
      <c r="R61" s="195">
        <f>K59</f>
        <v>0</v>
      </c>
      <c r="S61" s="195" t="s">
        <v>10</v>
      </c>
      <c r="T61" s="195">
        <v>-55</v>
      </c>
      <c r="U61" s="195">
        <f>L59</f>
        <v>0</v>
      </c>
      <c r="V61" s="195" t="s">
        <v>10</v>
      </c>
      <c r="W61" s="195">
        <v>-55</v>
      </c>
      <c r="X61" s="195">
        <f>M59</f>
        <v>0</v>
      </c>
      <c r="Y61" s="195" t="s">
        <v>10</v>
      </c>
      <c r="Z61" s="195">
        <v>-55</v>
      </c>
      <c r="AA61" s="195">
        <f>N59</f>
        <v>0</v>
      </c>
    </row>
    <row r="62" spans="4:27">
      <c r="D62"/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95" t="s">
        <v>10</v>
      </c>
      <c r="Q62" s="195">
        <v>-60</v>
      </c>
      <c r="R62" s="195">
        <f>K64</f>
        <v>0</v>
      </c>
      <c r="S62" s="195" t="s">
        <v>10</v>
      </c>
      <c r="T62" s="195">
        <v>-60</v>
      </c>
      <c r="U62" s="195">
        <f>L64</f>
        <v>0</v>
      </c>
      <c r="V62" s="195" t="s">
        <v>10</v>
      </c>
      <c r="W62" s="195">
        <v>-60</v>
      </c>
      <c r="X62" s="195">
        <f>M64</f>
        <v>0</v>
      </c>
      <c r="Y62" s="195" t="s">
        <v>10</v>
      </c>
      <c r="Z62" s="195">
        <v>-60</v>
      </c>
      <c r="AA62" s="195">
        <f>N64</f>
        <v>0</v>
      </c>
    </row>
    <row r="63" spans="4:27">
      <c r="D63"/>
      <c r="J63" s="195"/>
      <c r="K63" s="195"/>
      <c r="L63" s="195"/>
      <c r="M63" s="195"/>
      <c r="N63" s="195"/>
      <c r="P63" s="195" t="s">
        <v>10</v>
      </c>
      <c r="Q63" s="195">
        <v>-65</v>
      </c>
      <c r="R63" s="195">
        <f>K69</f>
        <v>0</v>
      </c>
      <c r="S63" s="195" t="s">
        <v>10</v>
      </c>
      <c r="T63" s="195">
        <v>-65</v>
      </c>
      <c r="U63" s="195">
        <f>L69</f>
        <v>0</v>
      </c>
      <c r="V63" s="195" t="s">
        <v>10</v>
      </c>
      <c r="W63" s="195">
        <v>-65</v>
      </c>
      <c r="X63" s="195">
        <f>M69</f>
        <v>0</v>
      </c>
      <c r="Y63" s="195" t="s">
        <v>10</v>
      </c>
      <c r="Z63" s="195">
        <v>-65</v>
      </c>
      <c r="AA63" s="195">
        <f>N69</f>
        <v>0</v>
      </c>
    </row>
    <row r="64" spans="4:27">
      <c r="D64"/>
      <c r="J64" s="195"/>
      <c r="K64" s="195"/>
      <c r="L64" s="195"/>
      <c r="M64" s="195"/>
      <c r="N64" s="195"/>
      <c r="P64" s="195" t="s">
        <v>10</v>
      </c>
      <c r="Q64" s="195">
        <v>-70</v>
      </c>
      <c r="R64" s="195">
        <f>K74</f>
        <v>0</v>
      </c>
      <c r="S64" s="195" t="s">
        <v>10</v>
      </c>
      <c r="T64" s="195">
        <v>-70</v>
      </c>
      <c r="U64" s="195">
        <f>L74</f>
        <v>0</v>
      </c>
      <c r="V64" s="195" t="s">
        <v>10</v>
      </c>
      <c r="W64" s="195">
        <v>-70</v>
      </c>
      <c r="X64" s="195">
        <f>M74</f>
        <v>0</v>
      </c>
      <c r="Y64" s="195" t="s">
        <v>10</v>
      </c>
      <c r="Z64" s="195">
        <v>-70</v>
      </c>
      <c r="AA64" s="195">
        <f>N74</f>
        <v>0</v>
      </c>
    </row>
    <row r="65" spans="4:27">
      <c r="D65"/>
      <c r="J65" s="195"/>
      <c r="K65" s="195"/>
      <c r="L65" s="195"/>
      <c r="M65" s="195"/>
      <c r="N65" s="195"/>
      <c r="P65" s="195" t="s">
        <v>10</v>
      </c>
      <c r="Q65" s="195">
        <v>-75</v>
      </c>
      <c r="R65" s="195">
        <f>K79</f>
        <v>0</v>
      </c>
      <c r="S65" s="195" t="s">
        <v>10</v>
      </c>
      <c r="T65" s="195">
        <v>-75</v>
      </c>
      <c r="U65" s="195">
        <f>L79</f>
        <v>0</v>
      </c>
      <c r="V65" s="195" t="s">
        <v>10</v>
      </c>
      <c r="W65" s="195">
        <v>-75</v>
      </c>
      <c r="X65" s="195">
        <f>M79</f>
        <v>0</v>
      </c>
      <c r="Y65" s="195" t="s">
        <v>10</v>
      </c>
      <c r="Z65" s="195">
        <v>-75</v>
      </c>
      <c r="AA65" s="195">
        <f>N79</f>
        <v>0</v>
      </c>
    </row>
    <row r="66" spans="4:27">
      <c r="D66"/>
      <c r="P66" s="195" t="s">
        <v>11</v>
      </c>
      <c r="Q66" s="9">
        <f>$B$2</f>
        <v>6.0220000000000002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0</v>
      </c>
      <c r="S66" s="195" t="s">
        <v>11</v>
      </c>
      <c r="T66" s="9">
        <f>$B$2</f>
        <v>6.0220000000000002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0</v>
      </c>
      <c r="V66" s="195" t="s">
        <v>11</v>
      </c>
      <c r="W66" s="9">
        <f>$B$2</f>
        <v>6.0220000000000002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0</v>
      </c>
      <c r="Y66" s="195" t="s">
        <v>11</v>
      </c>
      <c r="Z66" s="9">
        <f>$B$2</f>
        <v>6.0220000000000002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0</v>
      </c>
    </row>
    <row r="67" spans="4:27">
      <c r="D67"/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98" t="s">
        <v>12</v>
      </c>
      <c r="S67" s="198"/>
      <c r="T67" s="198"/>
      <c r="U67" s="198" t="s">
        <v>13</v>
      </c>
      <c r="V67" s="198"/>
      <c r="W67" s="198"/>
      <c r="X67" s="198" t="s">
        <v>8</v>
      </c>
      <c r="Y67" s="198"/>
      <c r="Z67" s="198"/>
      <c r="AA67" s="198" t="s">
        <v>9</v>
      </c>
    </row>
    <row r="68" spans="4:27">
      <c r="D68"/>
      <c r="J68" s="195"/>
      <c r="K68" s="195"/>
      <c r="L68" s="195"/>
      <c r="M68" s="195"/>
      <c r="N68" s="195"/>
      <c r="P68" s="195" t="s">
        <v>10</v>
      </c>
      <c r="Q68" s="195">
        <v>-50</v>
      </c>
      <c r="R68" s="195">
        <f>K55</f>
        <v>0</v>
      </c>
      <c r="S68" s="195" t="s">
        <v>10</v>
      </c>
      <c r="T68" s="195">
        <v>-50</v>
      </c>
      <c r="U68" s="195">
        <f>L55</f>
        <v>0</v>
      </c>
      <c r="V68" s="195" t="s">
        <v>10</v>
      </c>
      <c r="W68" s="195">
        <v>-50</v>
      </c>
      <c r="X68" s="195">
        <f>M55</f>
        <v>0</v>
      </c>
      <c r="Y68" s="195" t="s">
        <v>10</v>
      </c>
      <c r="Z68" s="195">
        <v>-50</v>
      </c>
      <c r="AA68" s="195">
        <f>N55</f>
        <v>0</v>
      </c>
    </row>
    <row r="69" spans="4:27">
      <c r="D69"/>
      <c r="J69" s="195"/>
      <c r="K69" s="195"/>
      <c r="L69" s="195"/>
      <c r="M69" s="195"/>
      <c r="N69" s="195"/>
      <c r="P69" s="195" t="s">
        <v>10</v>
      </c>
      <c r="Q69" s="195">
        <v>-55</v>
      </c>
      <c r="R69" s="195">
        <f>K60</f>
        <v>0</v>
      </c>
      <c r="S69" s="195" t="s">
        <v>10</v>
      </c>
      <c r="T69" s="195">
        <v>-55</v>
      </c>
      <c r="U69" s="195">
        <f>L60</f>
        <v>0</v>
      </c>
      <c r="V69" s="195" t="s">
        <v>10</v>
      </c>
      <c r="W69" s="195">
        <v>-55</v>
      </c>
      <c r="X69" s="195">
        <f>M60</f>
        <v>0</v>
      </c>
      <c r="Y69" s="195" t="s">
        <v>10</v>
      </c>
      <c r="Z69" s="195">
        <v>-55</v>
      </c>
      <c r="AA69" s="195">
        <f>N60</f>
        <v>0</v>
      </c>
    </row>
    <row r="70" spans="4:27">
      <c r="D70"/>
      <c r="J70" s="195"/>
      <c r="K70" s="195"/>
      <c r="L70" s="195"/>
      <c r="M70" s="195"/>
      <c r="N70" s="195"/>
      <c r="P70" s="195" t="s">
        <v>10</v>
      </c>
      <c r="Q70" s="195">
        <v>-60</v>
      </c>
      <c r="R70" s="195">
        <f>K65</f>
        <v>0</v>
      </c>
      <c r="S70" s="195" t="s">
        <v>10</v>
      </c>
      <c r="T70" s="195">
        <v>-60</v>
      </c>
      <c r="U70" s="195">
        <f>L65</f>
        <v>0</v>
      </c>
      <c r="V70" s="195" t="s">
        <v>10</v>
      </c>
      <c r="W70" s="195">
        <v>-60</v>
      </c>
      <c r="X70" s="195">
        <f>M65</f>
        <v>0</v>
      </c>
      <c r="Y70" s="195" t="s">
        <v>10</v>
      </c>
      <c r="Z70" s="195">
        <v>-60</v>
      </c>
      <c r="AA70" s="195">
        <f>N65</f>
        <v>0</v>
      </c>
    </row>
    <row r="71" spans="4:27">
      <c r="D71"/>
      <c r="P71" s="195" t="s">
        <v>10</v>
      </c>
      <c r="Q71" s="195">
        <v>-65</v>
      </c>
      <c r="R71" s="195">
        <f>K70</f>
        <v>0</v>
      </c>
      <c r="S71" s="195" t="s">
        <v>10</v>
      </c>
      <c r="T71" s="195">
        <v>-65</v>
      </c>
      <c r="U71" s="195">
        <f>L70</f>
        <v>0</v>
      </c>
      <c r="V71" s="195" t="s">
        <v>10</v>
      </c>
      <c r="W71" s="195">
        <v>-65</v>
      </c>
      <c r="X71" s="195">
        <f>M70</f>
        <v>0</v>
      </c>
      <c r="Y71" s="195" t="s">
        <v>10</v>
      </c>
      <c r="Z71" s="195">
        <v>-65</v>
      </c>
      <c r="AA71" s="195">
        <f>N70</f>
        <v>0</v>
      </c>
    </row>
    <row r="72" spans="4:27">
      <c r="D72"/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95" t="s">
        <v>10</v>
      </c>
      <c r="Q72" s="195">
        <v>-70</v>
      </c>
      <c r="R72" s="195">
        <f>K75</f>
        <v>0</v>
      </c>
      <c r="S72" s="195" t="s">
        <v>10</v>
      </c>
      <c r="T72" s="195">
        <v>-70</v>
      </c>
      <c r="U72" s="195">
        <f>L75</f>
        <v>0</v>
      </c>
      <c r="V72" s="195" t="s">
        <v>10</v>
      </c>
      <c r="W72" s="195">
        <v>-70</v>
      </c>
      <c r="X72" s="195">
        <f>M75</f>
        <v>0</v>
      </c>
      <c r="Y72" s="195" t="s">
        <v>10</v>
      </c>
      <c r="Z72" s="195">
        <v>-70</v>
      </c>
      <c r="AA72" s="195">
        <f>N75</f>
        <v>0</v>
      </c>
    </row>
    <row r="73" spans="4:27">
      <c r="D73"/>
      <c r="J73" s="195"/>
      <c r="K73" s="195"/>
      <c r="L73" s="195"/>
      <c r="M73" s="195"/>
      <c r="N73" s="195"/>
      <c r="P73" s="195" t="s">
        <v>10</v>
      </c>
      <c r="Q73" s="195">
        <v>-75</v>
      </c>
      <c r="R73" s="195">
        <f>K80</f>
        <v>0</v>
      </c>
      <c r="S73" s="195" t="s">
        <v>10</v>
      </c>
      <c r="T73" s="195">
        <v>-75</v>
      </c>
      <c r="U73" s="195">
        <f>L80</f>
        <v>0</v>
      </c>
      <c r="V73" s="195" t="s">
        <v>10</v>
      </c>
      <c r="W73" s="195">
        <v>-75</v>
      </c>
      <c r="X73" s="195">
        <f>M80</f>
        <v>0</v>
      </c>
      <c r="Y73" s="195" t="s">
        <v>10</v>
      </c>
      <c r="Z73" s="195">
        <v>-75</v>
      </c>
      <c r="AA73" s="195">
        <f>N80</f>
        <v>0</v>
      </c>
    </row>
    <row r="74" spans="4:27">
      <c r="D74"/>
      <c r="J74" s="195"/>
      <c r="K74" s="195"/>
      <c r="L74" s="195"/>
      <c r="M74" s="195"/>
      <c r="N74" s="195"/>
      <c r="P74" s="195" t="s">
        <v>11</v>
      </c>
      <c r="Q74" s="9">
        <f>$B$2</f>
        <v>6.0220000000000002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0</v>
      </c>
      <c r="S74" s="195" t="s">
        <v>11</v>
      </c>
      <c r="T74" s="9">
        <f>$B$2</f>
        <v>6.0220000000000002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0</v>
      </c>
      <c r="V74" s="195" t="s">
        <v>11</v>
      </c>
      <c r="W74" s="9">
        <f>$B$2</f>
        <v>6.0220000000000002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0</v>
      </c>
      <c r="Y74" s="195" t="s">
        <v>11</v>
      </c>
      <c r="Z74" s="9">
        <f>$B$2</f>
        <v>6.0220000000000002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0</v>
      </c>
    </row>
    <row r="75" spans="4:27">
      <c r="D75"/>
      <c r="J75" s="195"/>
      <c r="K75" s="195"/>
      <c r="L75" s="195"/>
      <c r="M75" s="195"/>
      <c r="N75" s="195"/>
    </row>
    <row r="76" spans="4:27">
      <c r="D76"/>
    </row>
    <row r="77" spans="4:27">
      <c r="D77"/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4:27">
      <c r="D78"/>
      <c r="J78" s="195"/>
      <c r="K78" s="195"/>
      <c r="L78" s="195"/>
      <c r="M78" s="195"/>
      <c r="N78" s="195"/>
    </row>
    <row r="79" spans="4:27">
      <c r="D79"/>
      <c r="J79" s="195"/>
      <c r="K79" s="195"/>
      <c r="L79" s="195"/>
      <c r="M79" s="195"/>
      <c r="N79" s="195"/>
    </row>
    <row r="80" spans="4:27">
      <c r="D80"/>
      <c r="J80" s="195"/>
      <c r="K80" s="195"/>
      <c r="L80" s="195"/>
      <c r="M80" s="195"/>
      <c r="N80" s="195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</sheetData>
  <sortState ref="T57:BK62">
    <sortCondition ref="T57"/>
  </sortState>
  <mergeCells count="4">
    <mergeCell ref="F2:G2"/>
    <mergeCell ref="E17:F17"/>
    <mergeCell ref="C1:E1"/>
    <mergeCell ref="A26:B2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P38"/>
  <sheetViews>
    <sheetView zoomScaleNormal="100" workbookViewId="0">
      <selection activeCell="H38" sqref="H38"/>
    </sheetView>
  </sheetViews>
  <sheetFormatPr defaultRowHeight="15"/>
  <cols>
    <col min="1" max="2" width="9.85546875" customWidth="1"/>
    <col min="4" max="4" width="10" style="1" customWidth="1"/>
  </cols>
  <sheetData>
    <row r="1" spans="1:42">
      <c r="A1" s="7" t="s">
        <v>0</v>
      </c>
      <c r="B1" s="26">
        <f>Plan1!B1</f>
        <v>246.59</v>
      </c>
      <c r="C1" s="238" t="s">
        <v>46</v>
      </c>
      <c r="D1" s="238"/>
      <c r="E1" s="23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G1" s="1" t="s">
        <v>12</v>
      </c>
      <c r="AH1" s="1"/>
      <c r="AI1" s="1"/>
      <c r="AJ1" s="1" t="s">
        <v>13</v>
      </c>
      <c r="AK1" s="1"/>
      <c r="AL1" s="1"/>
      <c r="AM1" s="1" t="s">
        <v>8</v>
      </c>
      <c r="AN1" s="1"/>
      <c r="AO1" s="1"/>
      <c r="AP1" s="1" t="s">
        <v>9</v>
      </c>
    </row>
    <row r="2" spans="1:42">
      <c r="A2" s="7" t="s">
        <v>1</v>
      </c>
      <c r="B2" s="27">
        <f>Plan1!B2</f>
        <v>6.0220000000000002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93" t="s">
        <v>10</v>
      </c>
      <c r="M2" s="93">
        <v>0</v>
      </c>
      <c r="N2" s="93">
        <f>G3</f>
        <v>241.42</v>
      </c>
      <c r="O2" s="93" t="s">
        <v>10</v>
      </c>
      <c r="P2" s="93">
        <v>0</v>
      </c>
      <c r="Q2" s="93">
        <f>H3</f>
        <v>264.3287037037037</v>
      </c>
      <c r="R2" s="93" t="s">
        <v>10</v>
      </c>
      <c r="S2" s="93">
        <v>0</v>
      </c>
      <c r="T2" s="93">
        <f>I3</f>
        <v>254</v>
      </c>
      <c r="U2" s="93" t="s">
        <v>10</v>
      </c>
      <c r="V2" s="93">
        <v>0</v>
      </c>
      <c r="W2" s="93">
        <f>J3</f>
        <v>228.35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95" t="s">
        <v>27</v>
      </c>
      <c r="AF2" s="95">
        <v>0</v>
      </c>
      <c r="AG2" s="95">
        <f>Z3</f>
        <v>241.42</v>
      </c>
      <c r="AH2" s="95" t="s">
        <v>27</v>
      </c>
      <c r="AI2" s="95">
        <v>0</v>
      </c>
      <c r="AJ2" s="95">
        <f>AA3</f>
        <v>264.3287037037037</v>
      </c>
      <c r="AK2" s="95" t="s">
        <v>27</v>
      </c>
      <c r="AL2" s="95">
        <v>0</v>
      </c>
      <c r="AM2" s="95">
        <f>AB3</f>
        <v>254</v>
      </c>
      <c r="AN2" s="95" t="s">
        <v>27</v>
      </c>
      <c r="AO2" s="95">
        <v>0</v>
      </c>
      <c r="AP2" s="95">
        <f>AC3</f>
        <v>228.35</v>
      </c>
    </row>
    <row r="3" spans="1:42">
      <c r="A3" s="7" t="s">
        <v>2</v>
      </c>
      <c r="B3" s="27">
        <f>Plan1!B3</f>
        <v>1</v>
      </c>
      <c r="C3" s="5"/>
      <c r="D3" s="26">
        <f>A9</f>
        <v>258.43625000000003</v>
      </c>
      <c r="F3" s="93">
        <v>100</v>
      </c>
      <c r="G3" s="93">
        <v>241.42</v>
      </c>
      <c r="H3" s="129">
        <f>(630-29)/9*4.75/1.2</f>
        <v>264.3287037037037</v>
      </c>
      <c r="I3" s="93">
        <v>254</v>
      </c>
      <c r="J3" s="93">
        <v>228.35</v>
      </c>
      <c r="L3" s="93" t="s">
        <v>10</v>
      </c>
      <c r="M3" s="93">
        <v>-5</v>
      </c>
      <c r="N3" s="93">
        <f>G8</f>
        <v>244.36</v>
      </c>
      <c r="O3" s="93" t="s">
        <v>10</v>
      </c>
      <c r="P3" s="93">
        <v>-5</v>
      </c>
      <c r="Q3" s="93">
        <f>H8</f>
        <v>275.76388888888891</v>
      </c>
      <c r="R3" s="93" t="s">
        <v>10</v>
      </c>
      <c r="S3" s="93">
        <v>-5</v>
      </c>
      <c r="T3" s="93">
        <f>I8</f>
        <v>257.54000000000002</v>
      </c>
      <c r="U3" s="93" t="s">
        <v>10</v>
      </c>
      <c r="V3" s="93">
        <v>-5</v>
      </c>
      <c r="W3" s="93">
        <f>J8</f>
        <v>230.69</v>
      </c>
      <c r="Y3" s="93">
        <v>100</v>
      </c>
      <c r="Z3" s="93">
        <f>G3</f>
        <v>241.42</v>
      </c>
      <c r="AA3" s="93">
        <f t="shared" ref="AA3:AC5" si="0">H3</f>
        <v>264.3287037037037</v>
      </c>
      <c r="AB3" s="93">
        <f t="shared" si="0"/>
        <v>254</v>
      </c>
      <c r="AC3" s="93">
        <f t="shared" si="0"/>
        <v>228.35</v>
      </c>
      <c r="AE3" s="95" t="s">
        <v>27</v>
      </c>
      <c r="AF3" s="95">
        <v>5</v>
      </c>
      <c r="AG3" s="95">
        <f>Z8</f>
        <v>238.15</v>
      </c>
      <c r="AH3" s="95" t="s">
        <v>27</v>
      </c>
      <c r="AI3" s="95">
        <v>5</v>
      </c>
      <c r="AJ3" s="95">
        <f>AA8</f>
        <v>252</v>
      </c>
      <c r="AK3" s="95" t="s">
        <v>27</v>
      </c>
      <c r="AL3" s="95">
        <v>5</v>
      </c>
      <c r="AM3" s="95">
        <f>AB8</f>
        <v>250.11</v>
      </c>
      <c r="AN3" s="95" t="s">
        <v>27</v>
      </c>
      <c r="AO3" s="95">
        <v>5</v>
      </c>
      <c r="AP3" s="95">
        <f>AC8</f>
        <v>225.71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258.04351321200397</v>
      </c>
      <c r="F4" s="93">
        <v>95</v>
      </c>
      <c r="G4" s="93">
        <v>224.98</v>
      </c>
      <c r="H4" s="129">
        <f>(630-134)/9*4.75/1.2</f>
        <v>218.14814814814815</v>
      </c>
      <c r="I4" s="93">
        <v>235.47</v>
      </c>
      <c r="J4" s="93">
        <v>214.16</v>
      </c>
      <c r="K4" s="16"/>
      <c r="L4" s="93" t="s">
        <v>10</v>
      </c>
      <c r="M4" s="93">
        <v>-10</v>
      </c>
      <c r="N4" s="93">
        <f>G13</f>
        <v>247.05</v>
      </c>
      <c r="O4" s="93" t="s">
        <v>10</v>
      </c>
      <c r="P4" s="93">
        <v>-10</v>
      </c>
      <c r="Q4" s="93">
        <f>H13</f>
        <v>286.484375</v>
      </c>
      <c r="R4" s="93" t="s">
        <v>10</v>
      </c>
      <c r="S4" s="93">
        <v>-10</v>
      </c>
      <c r="T4" s="93">
        <f>I13</f>
        <v>260.79000000000002</v>
      </c>
      <c r="U4" s="93" t="s">
        <v>10</v>
      </c>
      <c r="V4" s="93">
        <v>-10</v>
      </c>
      <c r="W4" s="93">
        <f>J13</f>
        <v>232.8</v>
      </c>
      <c r="Y4" s="93">
        <v>95</v>
      </c>
      <c r="Z4" s="93">
        <f t="shared" ref="Z4:Z5" si="1">G4</f>
        <v>224.98</v>
      </c>
      <c r="AA4" s="93">
        <f t="shared" si="0"/>
        <v>218.14814814814815</v>
      </c>
      <c r="AB4" s="93">
        <f t="shared" si="0"/>
        <v>235.47</v>
      </c>
      <c r="AC4" s="93">
        <f t="shared" si="0"/>
        <v>214.16</v>
      </c>
      <c r="AE4" s="95" t="s">
        <v>27</v>
      </c>
      <c r="AF4" s="95">
        <v>10</v>
      </c>
      <c r="AG4" s="95">
        <f>Z13</f>
        <v>234.49</v>
      </c>
      <c r="AH4" s="95" t="s">
        <v>27</v>
      </c>
      <c r="AI4" s="95">
        <v>10</v>
      </c>
      <c r="AJ4" s="95">
        <f>AA13</f>
        <v>239</v>
      </c>
      <c r="AK4" s="95" t="s">
        <v>27</v>
      </c>
      <c r="AL4" s="95">
        <v>10</v>
      </c>
      <c r="AM4" s="95">
        <f>AB13</f>
        <v>245.77</v>
      </c>
      <c r="AN4" s="95" t="s">
        <v>27</v>
      </c>
      <c r="AO4" s="95">
        <v>10</v>
      </c>
      <c r="AP4" s="95">
        <f>AC13</f>
        <v>222.77</v>
      </c>
    </row>
    <row r="5" spans="1:42">
      <c r="A5" s="7" t="s">
        <v>4</v>
      </c>
      <c r="B5" s="7">
        <f>Plan1!B5</f>
        <v>-1.8784359062401523</v>
      </c>
      <c r="C5" s="2"/>
      <c r="F5" s="93">
        <v>90</v>
      </c>
      <c r="G5" s="93">
        <v>208.68</v>
      </c>
      <c r="H5" s="129">
        <f>(630-221)/9*4.75/1.2</f>
        <v>179.88425925925927</v>
      </c>
      <c r="I5" s="93">
        <v>217.44</v>
      </c>
      <c r="J5" s="93">
        <v>199.69</v>
      </c>
      <c r="K5" s="16"/>
      <c r="L5" s="93" t="s">
        <v>10</v>
      </c>
      <c r="M5" s="93">
        <v>-15</v>
      </c>
      <c r="N5" s="93">
        <f>G18</f>
        <v>249.51</v>
      </c>
      <c r="O5" s="93" t="s">
        <v>10</v>
      </c>
      <c r="P5" s="93">
        <v>-15</v>
      </c>
      <c r="Q5" s="93">
        <f>H18</f>
        <v>296.875</v>
      </c>
      <c r="R5" s="93" t="s">
        <v>10</v>
      </c>
      <c r="S5" s="93">
        <v>-15</v>
      </c>
      <c r="T5" s="93">
        <f>I18</f>
        <v>263.79000000000002</v>
      </c>
      <c r="U5" s="93" t="s">
        <v>10</v>
      </c>
      <c r="V5" s="93">
        <v>-15</v>
      </c>
      <c r="W5" s="93">
        <f>J18</f>
        <v>234.71</v>
      </c>
      <c r="Y5" s="93">
        <v>90</v>
      </c>
      <c r="Z5" s="93">
        <f t="shared" si="1"/>
        <v>208.68</v>
      </c>
      <c r="AA5" s="93">
        <f t="shared" si="0"/>
        <v>179.88425925925927</v>
      </c>
      <c r="AB5" s="93">
        <f t="shared" si="0"/>
        <v>217.44</v>
      </c>
      <c r="AC5" s="93">
        <f t="shared" si="0"/>
        <v>199.69</v>
      </c>
      <c r="AE5" s="95" t="s">
        <v>27</v>
      </c>
      <c r="AF5" s="95">
        <v>15</v>
      </c>
      <c r="AG5" s="95">
        <f>Z18</f>
        <v>230.33</v>
      </c>
      <c r="AH5" s="95" t="s">
        <v>27</v>
      </c>
      <c r="AI5" s="95">
        <v>15</v>
      </c>
      <c r="AJ5" s="95">
        <f>AA18</f>
        <v>226</v>
      </c>
      <c r="AK5" s="95" t="s">
        <v>27</v>
      </c>
      <c r="AL5" s="95">
        <v>15</v>
      </c>
      <c r="AM5" s="95">
        <f>AB18</f>
        <v>240.81</v>
      </c>
      <c r="AN5" s="95" t="s">
        <v>27</v>
      </c>
      <c r="AO5" s="95">
        <v>15</v>
      </c>
      <c r="AP5" s="95">
        <f>AC18</f>
        <v>219.25</v>
      </c>
    </row>
    <row r="6" spans="1:42">
      <c r="A6" s="7" t="s">
        <v>5</v>
      </c>
      <c r="B6" s="29">
        <f>Plan1!B6</f>
        <v>0.85</v>
      </c>
      <c r="C6" s="6"/>
      <c r="K6" s="16"/>
      <c r="L6" s="93" t="s">
        <v>10</v>
      </c>
      <c r="M6" s="93">
        <v>-20</v>
      </c>
      <c r="N6" s="93">
        <f>G23</f>
        <v>251.79</v>
      </c>
      <c r="O6" s="93" t="s">
        <v>10</v>
      </c>
      <c r="P6" s="93">
        <v>-20</v>
      </c>
      <c r="Q6" s="93">
        <f>H23</f>
        <v>306.77083333333337</v>
      </c>
      <c r="R6" s="93" t="s">
        <v>10</v>
      </c>
      <c r="S6" s="93">
        <v>-20</v>
      </c>
      <c r="T6" s="93">
        <f>I23</f>
        <v>266.58</v>
      </c>
      <c r="U6" s="93" t="s">
        <v>10</v>
      </c>
      <c r="V6" s="93">
        <v>-20</v>
      </c>
      <c r="W6" s="93">
        <f>J23</f>
        <v>236.46</v>
      </c>
      <c r="AE6" s="95" t="s">
        <v>27</v>
      </c>
      <c r="AF6" s="95">
        <v>20</v>
      </c>
      <c r="AG6" s="95">
        <f>Z23</f>
        <v>225.48</v>
      </c>
      <c r="AH6" s="95" t="s">
        <v>27</v>
      </c>
      <c r="AI6" s="95">
        <v>20</v>
      </c>
      <c r="AJ6" s="95">
        <f>AA23</f>
        <v>210.5</v>
      </c>
      <c r="AK6" s="95" t="s">
        <v>27</v>
      </c>
      <c r="AL6" s="95">
        <v>20</v>
      </c>
      <c r="AM6" s="95">
        <f>AB23</f>
        <v>235.15</v>
      </c>
      <c r="AN6" s="95" t="s">
        <v>27</v>
      </c>
      <c r="AO6" s="95">
        <v>20</v>
      </c>
      <c r="AP6" s="95">
        <f>AC23</f>
        <v>215.29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L7" s="93" t="s">
        <v>10</v>
      </c>
      <c r="M7" s="93">
        <v>-25</v>
      </c>
      <c r="N7" s="93">
        <f>G28</f>
        <v>253.9</v>
      </c>
      <c r="O7" s="93" t="s">
        <v>10</v>
      </c>
      <c r="P7" s="93">
        <v>-25</v>
      </c>
      <c r="Q7" s="93">
        <f>H28</f>
        <v>316.66666666666669</v>
      </c>
      <c r="R7" s="93" t="s">
        <v>10</v>
      </c>
      <c r="S7" s="93">
        <v>-25</v>
      </c>
      <c r="T7" s="93">
        <f>I28</f>
        <v>269.19</v>
      </c>
      <c r="U7" s="93" t="s">
        <v>10</v>
      </c>
      <c r="V7" s="93">
        <v>-25</v>
      </c>
      <c r="W7" s="93">
        <f>J28</f>
        <v>238.06</v>
      </c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  <c r="AE7" s="95" t="s">
        <v>28</v>
      </c>
      <c r="AF7" s="9">
        <f>$B$2</f>
        <v>6.0220000000000002</v>
      </c>
      <c r="AG7" s="11">
        <f>AG2*(AF7-AF3)*(AF7-AF4)*(AF7-AF5)*(AF7-AF6)/((AF2-AF3)*(AF2-AF4)*(AF2-AF5)*(AF2-AF6))+AG3*(AF7-AF2)*(AF7-AF4)*(AF7-AF5)*(AF7-AF6)/((AF3-AF2)*(AF3-AF4)*(AF3-AF5)*(AF3-AF6))+AG4*(AF7-AF2)*(AF7-AF3)*(AF7-AF5)*(AF7-AF6)/((AF4-AF2)*(AF4-AF3)*(AF4-AF5)*(AF4-AF6))+AG5*(AF7-AF2)*(AF7-AF3)*(AF7-AF4)*(AF7-AF6)/((AF5-AF2)*(AF5-AF3)*(AF5-AF4)*(AF5-AF6))+AG6*(AF7-AF2)*(AF7-AF3)*(AF7-AF4)*(AF7-AF5)/((AF6-AF2)*(AF6-AF3)*(AF6-AF4)*(AF6-AF5))</f>
        <v>237.43602550776976</v>
      </c>
      <c r="AH7" s="95" t="s">
        <v>28</v>
      </c>
      <c r="AI7" s="9">
        <f>$B$2</f>
        <v>6.0220000000000002</v>
      </c>
      <c r="AJ7" s="11">
        <f>AJ2*(AI7-AI3)*(AI7-AI4)*(AI7-AI5)*(AI7-AI6)/((AI2-AI3)*(AI2-AI4)*(AI2-AI5)*(AI2-AI6))+AJ3*(AI7-AI2)*(AI7-AI4)*(AI7-AI5)*(AI7-AI6)/((AI3-AI2)*(AI3-AI4)*(AI3-AI5)*(AI3-AI6))+AJ4*(AI7-AI2)*(AI7-AI3)*(AI7-AI5)*(AI7-AI6)/((AI4-AI2)*(AI4-AI3)*(AI4-AI5)*(AI4-AI6))+AJ5*(AI7-AI2)*(AI7-AI3)*(AI7-AI4)*(AI7-AI6)/((AI5-AI2)*(AI5-AI3)*(AI5-AI4)*(AI5-AI6))+AJ6*(AI7-AI2)*(AI7-AI3)*(AI7-AI4)*(AI7-AI5)/((AI6-AI2)*(AI6-AI3)*(AI6-AI4)*(AI6-AI5))</f>
        <v>249.32899898047592</v>
      </c>
      <c r="AK7" s="95" t="s">
        <v>28</v>
      </c>
      <c r="AL7" s="9">
        <f>$B$2</f>
        <v>6.0220000000000002</v>
      </c>
      <c r="AM7" s="11">
        <f t="shared" ref="AM7:AP7" si="2">AM2*(AL7-AL3)*(AL7-AL4)*(AL7-AL5)*(AL7-AL6)/((AL2-AL3)*(AL2-AL4)*(AL2-AL5)*(AL2-AL6))+AM3*(AL7-AL2)*(AL7-AL4)*(AL7-AL5)*(AL7-AL6)/((AL3-AL2)*(AL3-AL4)*(AL3-AL5)*(AL3-AL6))+AM4*(AL7-AL2)*(AL7-AL3)*(AL7-AL5)*(AL7-AL6)/((AL4-AL2)*(AL4-AL3)*(AL4-AL5)*(AL4-AL6))+AM5*(AL7-AL2)*(AL7-AL3)*(AL7-AL4)*(AL7-AL6)/((AL5-AL2)*(AL5-AL3)*(AL5-AL4)*(AL5-AL6))+AM6*(AL7-AL2)*(AL7-AL3)*(AL7-AL4)*(AL7-AL5)/((AL6-AL2)*(AL6-AL3)*(AL6-AL4)*(AL6-AL5))</f>
        <v>249.26636184445519</v>
      </c>
      <c r="AN7" s="95" t="s">
        <v>28</v>
      </c>
      <c r="AO7" s="9">
        <f>$B$2</f>
        <v>6.0220000000000002</v>
      </c>
      <c r="AP7" s="11">
        <f t="shared" si="2"/>
        <v>225.14875176144778</v>
      </c>
    </row>
    <row r="8" spans="1:42">
      <c r="A8" s="98" t="s">
        <v>138</v>
      </c>
      <c r="D8"/>
      <c r="F8" s="93">
        <v>100</v>
      </c>
      <c r="G8" s="93">
        <v>244.36</v>
      </c>
      <c r="H8" s="129">
        <f>(630-3)/9*4.75/1.2</f>
        <v>275.76388888888891</v>
      </c>
      <c r="I8" s="93">
        <v>257.54000000000002</v>
      </c>
      <c r="J8" s="93">
        <v>230.69</v>
      </c>
      <c r="K8" s="13"/>
      <c r="L8" s="93" t="s">
        <v>11</v>
      </c>
      <c r="M8" s="9">
        <f>$B$2</f>
        <v>6.0220000000000002</v>
      </c>
      <c r="N8" s="11">
        <f>N2*(M8-M3)*(M8-M4)*(M8-M5)*(M8-M6)*(M8-M7)/((M2-M3)*(M2-M4)*(M2-M5)*(M2-M6)*(M2-M7))+N3*(M8-M2)*(M8-M4)*(M8-M5)*(M8-M6)*(M8-M7)/((M3-M2)*(M3-M4)*(M3-M5)*(M3-M6)*(M3-M7))+N4*(M8-M2)*(M8-M3)*(M8-M5)*(M8-M6)*(M8-M7)/((M4-M2)*(M4-M3)*(M4-M5)*(M4-M6)*(M4-M7))+N5*(M8-M2)*(M8-M3)*(M8-M4)*(M8-M6)*(M8-M7)/((M5-M2)*(M5-M3)*(M5-M4)*(M5-M6)*(M5-M7))+N6*(M8-M2)*(M8-M3)*(M8-M4)*(M8-M5)*(M8-M7)/((M6-M2)*(M6-M3)*(M6-M4)*(M6-M5)*(M6-M7))+N7*(M8-M2)*(M8-M3)*(M8-M4)*(M8-M5)*(M8-M6)/((M7-M2)*(M7-M3)*(M7-M4)*(M7-M5)*(M7-M6))</f>
        <v>237.67213701818525</v>
      </c>
      <c r="O8" s="93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246.36605767430171</v>
      </c>
      <c r="R8" s="93" t="s">
        <v>11</v>
      </c>
      <c r="S8" s="9">
        <f>$B$2</f>
        <v>6.0220000000000002</v>
      </c>
      <c r="T8" s="93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249.31024775123524</v>
      </c>
      <c r="U8" s="93" t="s">
        <v>11</v>
      </c>
      <c r="V8" s="9">
        <f>$B$2</f>
        <v>6.0220000000000002</v>
      </c>
      <c r="W8" s="11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225.26080000938418</v>
      </c>
      <c r="Y8" s="93">
        <v>100</v>
      </c>
      <c r="Z8" s="93">
        <v>238.15</v>
      </c>
      <c r="AA8" s="93">
        <v>252</v>
      </c>
      <c r="AB8" s="93">
        <v>250.11</v>
      </c>
      <c r="AC8" s="93">
        <v>225.71</v>
      </c>
    </row>
    <row r="9" spans="1:42">
      <c r="A9" s="4">
        <f>0*(B6-0.9)*(B6-0.8)/((1-0.9)*(1-0.8))+7.7*(B6-1)*(B6-0.8)/((0.9-1)*(0.9-0.8))+16.19*(B6-1)*(B6-0.9)/((0.8-1)*(0.8-0.9))+B1</f>
        <v>258.43625000000003</v>
      </c>
      <c r="D9"/>
      <c r="F9" s="93">
        <v>95</v>
      </c>
      <c r="G9" s="93">
        <v>228.61</v>
      </c>
      <c r="H9" s="129">
        <f>(630-107)/9*4.75/1.2</f>
        <v>230.02314814814815</v>
      </c>
      <c r="I9" s="93">
        <v>239.71</v>
      </c>
      <c r="J9" s="93">
        <v>217.15</v>
      </c>
      <c r="K9" s="13"/>
      <c r="N9" s="1" t="s">
        <v>12</v>
      </c>
      <c r="O9" s="1"/>
      <c r="P9" s="1"/>
      <c r="Q9" s="1" t="s">
        <v>13</v>
      </c>
      <c r="R9" s="1"/>
      <c r="S9" s="1"/>
      <c r="T9" s="1" t="s">
        <v>8</v>
      </c>
      <c r="U9" s="1"/>
      <c r="V9" s="1"/>
      <c r="W9" s="1" t="s">
        <v>9</v>
      </c>
      <c r="Y9" s="93">
        <v>95</v>
      </c>
      <c r="Z9" s="93">
        <v>220.88</v>
      </c>
      <c r="AA9" s="93">
        <v>205</v>
      </c>
      <c r="AB9" s="93">
        <v>237.71</v>
      </c>
      <c r="AC9" s="93">
        <v>210.74</v>
      </c>
      <c r="AE9" s="1"/>
      <c r="AF9" s="1"/>
      <c r="AG9" s="1" t="s">
        <v>12</v>
      </c>
      <c r="AH9" s="1"/>
      <c r="AI9" s="1"/>
      <c r="AJ9" s="1" t="s">
        <v>13</v>
      </c>
      <c r="AK9" s="1"/>
      <c r="AL9" s="1"/>
      <c r="AM9" s="1" t="s">
        <v>8</v>
      </c>
      <c r="AN9" s="1"/>
      <c r="AO9" s="1"/>
      <c r="AP9" s="1" t="s">
        <v>9</v>
      </c>
    </row>
    <row r="10" spans="1:42">
      <c r="D10"/>
      <c r="F10" s="93">
        <v>90</v>
      </c>
      <c r="G10" s="93">
        <v>213.06</v>
      </c>
      <c r="H10" s="129">
        <f>(630-193)/9*4.75/1.2</f>
        <v>192.19907407407408</v>
      </c>
      <c r="I10" s="93">
        <v>222.45</v>
      </c>
      <c r="J10" s="93">
        <v>203.41</v>
      </c>
      <c r="K10" s="13"/>
      <c r="L10" s="93" t="s">
        <v>10</v>
      </c>
      <c r="M10" s="93">
        <v>0</v>
      </c>
      <c r="N10" s="93">
        <f>G4</f>
        <v>224.98</v>
      </c>
      <c r="O10" s="93" t="s">
        <v>10</v>
      </c>
      <c r="P10" s="93">
        <v>0</v>
      </c>
      <c r="Q10" s="93">
        <f>H4</f>
        <v>218.14814814814815</v>
      </c>
      <c r="R10" s="93" t="s">
        <v>10</v>
      </c>
      <c r="S10" s="93">
        <v>0</v>
      </c>
      <c r="T10" s="93">
        <f>I4</f>
        <v>235.47</v>
      </c>
      <c r="U10" s="93" t="s">
        <v>10</v>
      </c>
      <c r="V10" s="93">
        <v>0</v>
      </c>
      <c r="W10" s="93">
        <f>J4</f>
        <v>214.16</v>
      </c>
      <c r="Y10" s="93">
        <v>90</v>
      </c>
      <c r="Z10" s="93">
        <v>203.63</v>
      </c>
      <c r="AA10" s="93">
        <v>166</v>
      </c>
      <c r="AB10" s="93">
        <v>211.7</v>
      </c>
      <c r="AC10" s="93">
        <v>195.35</v>
      </c>
      <c r="AE10" s="95" t="s">
        <v>27</v>
      </c>
      <c r="AF10" s="95">
        <v>0</v>
      </c>
      <c r="AG10" s="95">
        <f>Z4</f>
        <v>224.98</v>
      </c>
      <c r="AH10" s="95" t="s">
        <v>27</v>
      </c>
      <c r="AI10" s="95">
        <v>0</v>
      </c>
      <c r="AJ10" s="95">
        <f>AA4</f>
        <v>218.14814814814815</v>
      </c>
      <c r="AK10" s="95" t="s">
        <v>27</v>
      </c>
      <c r="AL10" s="95">
        <v>0</v>
      </c>
      <c r="AM10" s="95">
        <f>AB4</f>
        <v>235.47</v>
      </c>
      <c r="AN10" s="95" t="s">
        <v>27</v>
      </c>
      <c r="AO10" s="95">
        <v>0</v>
      </c>
      <c r="AP10" s="95">
        <f>AC4</f>
        <v>214.16</v>
      </c>
    </row>
    <row r="11" spans="1:42">
      <c r="A11" s="93" t="s">
        <v>23</v>
      </c>
      <c r="B11" s="93">
        <f>Plan1!B17</f>
        <v>86</v>
      </c>
      <c r="D11"/>
      <c r="K11" s="13"/>
      <c r="L11" s="93" t="s">
        <v>10</v>
      </c>
      <c r="M11" s="93">
        <v>-5</v>
      </c>
      <c r="N11" s="93">
        <f>G9</f>
        <v>228.61</v>
      </c>
      <c r="O11" s="93" t="s">
        <v>10</v>
      </c>
      <c r="P11" s="93">
        <v>-5</v>
      </c>
      <c r="Q11" s="93">
        <f>H9</f>
        <v>230.02314814814815</v>
      </c>
      <c r="R11" s="93" t="s">
        <v>10</v>
      </c>
      <c r="S11" s="93">
        <v>-5</v>
      </c>
      <c r="T11" s="93">
        <f>I9</f>
        <v>239.71</v>
      </c>
      <c r="U11" s="93" t="s">
        <v>10</v>
      </c>
      <c r="V11" s="93">
        <v>-5</v>
      </c>
      <c r="W11" s="93">
        <f>J9</f>
        <v>217.15</v>
      </c>
      <c r="AE11" s="95" t="s">
        <v>27</v>
      </c>
      <c r="AF11" s="95">
        <v>5</v>
      </c>
      <c r="AG11" s="95">
        <f>Z9</f>
        <v>220.88</v>
      </c>
      <c r="AH11" s="95" t="s">
        <v>27</v>
      </c>
      <c r="AI11" s="95">
        <v>5</v>
      </c>
      <c r="AJ11" s="95">
        <f>AA9</f>
        <v>205</v>
      </c>
      <c r="AK11" s="95" t="s">
        <v>27</v>
      </c>
      <c r="AL11" s="95">
        <v>5</v>
      </c>
      <c r="AM11" s="95">
        <f>AB9</f>
        <v>237.71</v>
      </c>
      <c r="AN11" s="95" t="s">
        <v>27</v>
      </c>
      <c r="AO11" s="95">
        <v>5</v>
      </c>
      <c r="AP11" s="95">
        <f>AC9</f>
        <v>210.74</v>
      </c>
    </row>
    <row r="12" spans="1:42">
      <c r="A12" s="93" t="s">
        <v>24</v>
      </c>
      <c r="B12" s="93">
        <f>Plan1!B18</f>
        <v>49.06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93" t="s">
        <v>10</v>
      </c>
      <c r="M12" s="93">
        <v>-10</v>
      </c>
      <c r="N12" s="93">
        <f>G14</f>
        <v>231.86</v>
      </c>
      <c r="O12" s="93" t="s">
        <v>10</v>
      </c>
      <c r="P12" s="93">
        <v>-10</v>
      </c>
      <c r="Q12" s="93">
        <f>H14</f>
        <v>240.96354166666669</v>
      </c>
      <c r="R12" s="93" t="s">
        <v>10</v>
      </c>
      <c r="S12" s="93">
        <v>-10</v>
      </c>
      <c r="T12" s="93">
        <f>I14</f>
        <v>243.55</v>
      </c>
      <c r="U12" s="93" t="s">
        <v>10</v>
      </c>
      <c r="V12" s="93">
        <v>-10</v>
      </c>
      <c r="W12" s="93">
        <f>J14</f>
        <v>219.81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95" t="s">
        <v>27</v>
      </c>
      <c r="AF12" s="95">
        <v>10</v>
      </c>
      <c r="AG12" s="95">
        <f>Z14</f>
        <v>216.17</v>
      </c>
      <c r="AH12" s="95" t="s">
        <v>27</v>
      </c>
      <c r="AI12" s="95">
        <v>10</v>
      </c>
      <c r="AJ12" s="95">
        <f>AA14</f>
        <v>191</v>
      </c>
      <c r="AK12" s="95" t="s">
        <v>27</v>
      </c>
      <c r="AL12" s="95">
        <v>10</v>
      </c>
      <c r="AM12" s="95">
        <f>AB14</f>
        <v>225.27</v>
      </c>
      <c r="AN12" s="95" t="s">
        <v>27</v>
      </c>
      <c r="AO12" s="95">
        <v>10</v>
      </c>
      <c r="AP12" s="95">
        <f>AC14</f>
        <v>206.77</v>
      </c>
    </row>
    <row r="13" spans="1:42">
      <c r="A13" s="93" t="s">
        <v>25</v>
      </c>
      <c r="B13" s="93">
        <f>COS(RADIANS(B12))</f>
        <v>0.65526833938609963</v>
      </c>
      <c r="D13"/>
      <c r="F13" s="93">
        <v>100</v>
      </c>
      <c r="G13" s="93">
        <v>247.05</v>
      </c>
      <c r="H13" s="129">
        <f>(630-51)/8*4.75/1.2</f>
        <v>286.484375</v>
      </c>
      <c r="I13" s="93">
        <v>260.79000000000002</v>
      </c>
      <c r="J13" s="93">
        <v>232.8</v>
      </c>
      <c r="K13" s="17"/>
      <c r="L13" s="93" t="s">
        <v>10</v>
      </c>
      <c r="M13" s="93">
        <v>-15</v>
      </c>
      <c r="N13" s="93">
        <f>G19</f>
        <v>234.82</v>
      </c>
      <c r="O13" s="93" t="s">
        <v>10</v>
      </c>
      <c r="P13" s="93">
        <v>-15</v>
      </c>
      <c r="Q13" s="93">
        <f>H19</f>
        <v>251.84895833333334</v>
      </c>
      <c r="R13" s="93" t="s">
        <v>10</v>
      </c>
      <c r="S13" s="93">
        <v>-15</v>
      </c>
      <c r="T13" s="93">
        <f>I19</f>
        <v>247.05</v>
      </c>
      <c r="U13" s="93" t="s">
        <v>10</v>
      </c>
      <c r="V13" s="93">
        <v>-15</v>
      </c>
      <c r="W13" s="93">
        <f>J19</f>
        <v>222.2</v>
      </c>
      <c r="Y13" s="93">
        <v>100</v>
      </c>
      <c r="Z13" s="93">
        <v>234.49</v>
      </c>
      <c r="AA13" s="93">
        <v>239</v>
      </c>
      <c r="AB13" s="93">
        <v>245.77</v>
      </c>
      <c r="AC13" s="93">
        <v>222.77</v>
      </c>
      <c r="AE13" s="95" t="s">
        <v>27</v>
      </c>
      <c r="AF13" s="95">
        <v>15</v>
      </c>
      <c r="AG13" s="95">
        <f>Z19</f>
        <v>210.6</v>
      </c>
      <c r="AH13" s="95" t="s">
        <v>27</v>
      </c>
      <c r="AI13" s="95">
        <v>15</v>
      </c>
      <c r="AJ13" s="95">
        <f>AA19</f>
        <v>176.5</v>
      </c>
      <c r="AK13" s="95" t="s">
        <v>27</v>
      </c>
      <c r="AL13" s="95">
        <v>15</v>
      </c>
      <c r="AM13" s="95">
        <f>AB19</f>
        <v>218.89</v>
      </c>
      <c r="AN13" s="95" t="s">
        <v>27</v>
      </c>
      <c r="AO13" s="95">
        <v>15</v>
      </c>
      <c r="AP13" s="95">
        <f>AC19</f>
        <v>201.93</v>
      </c>
    </row>
    <row r="14" spans="1:42">
      <c r="A14" s="93" t="s">
        <v>26</v>
      </c>
      <c r="B14" s="109">
        <f>B5</f>
        <v>-1.8784359062401523</v>
      </c>
      <c r="D14"/>
      <c r="F14" s="93">
        <v>95</v>
      </c>
      <c r="G14" s="93">
        <v>231.86</v>
      </c>
      <c r="H14" s="129">
        <f>(630-143)/8*4.75/1.2</f>
        <v>240.96354166666669</v>
      </c>
      <c r="I14" s="93">
        <v>243.55</v>
      </c>
      <c r="J14" s="93">
        <v>219.81</v>
      </c>
      <c r="K14" s="17"/>
      <c r="L14" s="93" t="s">
        <v>10</v>
      </c>
      <c r="M14" s="93">
        <v>-20</v>
      </c>
      <c r="N14" s="93">
        <f>G24</f>
        <v>237.52</v>
      </c>
      <c r="O14" s="93" t="s">
        <v>10</v>
      </c>
      <c r="P14" s="93">
        <v>-20</v>
      </c>
      <c r="Q14" s="93">
        <f>H24</f>
        <v>261.74479166666669</v>
      </c>
      <c r="R14" s="93" t="s">
        <v>10</v>
      </c>
      <c r="S14" s="93">
        <v>-20</v>
      </c>
      <c r="T14" s="93">
        <f>I24</f>
        <v>250.28</v>
      </c>
      <c r="U14" s="93" t="s">
        <v>10</v>
      </c>
      <c r="V14" s="93">
        <v>-20</v>
      </c>
      <c r="W14" s="93">
        <f>J24</f>
        <v>224.36</v>
      </c>
      <c r="Y14" s="93">
        <v>95</v>
      </c>
      <c r="Z14" s="93">
        <v>216.17</v>
      </c>
      <c r="AA14" s="93">
        <v>191</v>
      </c>
      <c r="AB14" s="93">
        <v>225.27</v>
      </c>
      <c r="AC14" s="93">
        <v>206.77</v>
      </c>
      <c r="AE14" s="95" t="s">
        <v>27</v>
      </c>
      <c r="AF14" s="95">
        <v>20</v>
      </c>
      <c r="AG14" s="95">
        <f>Z24</f>
        <v>203.72</v>
      </c>
      <c r="AH14" s="95" t="s">
        <v>27</v>
      </c>
      <c r="AI14" s="95">
        <v>20</v>
      </c>
      <c r="AJ14" s="95">
        <f>AA24</f>
        <v>159.5</v>
      </c>
      <c r="AK14" s="95" t="s">
        <v>27</v>
      </c>
      <c r="AL14" s="95">
        <v>20</v>
      </c>
      <c r="AM14" s="95">
        <f>AB24</f>
        <v>211.06</v>
      </c>
      <c r="AN14" s="95" t="s">
        <v>27</v>
      </c>
      <c r="AO14" s="95">
        <v>20</v>
      </c>
      <c r="AP14" s="95">
        <f>AC24</f>
        <v>196.08</v>
      </c>
    </row>
    <row r="15" spans="1:42">
      <c r="D15"/>
      <c r="F15" s="93">
        <v>90</v>
      </c>
      <c r="G15" s="93">
        <v>216.92</v>
      </c>
      <c r="H15" s="129">
        <f>(630-219)/8*4.75/1.2</f>
        <v>203.359375</v>
      </c>
      <c r="I15" s="93">
        <v>226.91</v>
      </c>
      <c r="J15" s="93">
        <v>206.67</v>
      </c>
      <c r="K15" s="13"/>
      <c r="L15" s="93" t="s">
        <v>10</v>
      </c>
      <c r="M15" s="93">
        <v>-25</v>
      </c>
      <c r="N15" s="93">
        <f>G29</f>
        <v>239.98</v>
      </c>
      <c r="O15" s="93" t="s">
        <v>10</v>
      </c>
      <c r="P15" s="93">
        <v>-25</v>
      </c>
      <c r="Q15" s="93">
        <f>H29</f>
        <v>271.99404761904759</v>
      </c>
      <c r="R15" s="93" t="s">
        <v>10</v>
      </c>
      <c r="S15" s="93">
        <v>-25</v>
      </c>
      <c r="T15" s="93">
        <f>I29</f>
        <v>253.27</v>
      </c>
      <c r="U15" s="93" t="s">
        <v>10</v>
      </c>
      <c r="V15" s="93">
        <v>-25</v>
      </c>
      <c r="W15" s="93">
        <f>J29</f>
        <v>226.33</v>
      </c>
      <c r="Y15" s="93">
        <v>90</v>
      </c>
      <c r="Z15" s="93">
        <v>197.63</v>
      </c>
      <c r="AA15" s="93">
        <v>152</v>
      </c>
      <c r="AB15" s="93">
        <v>204.92</v>
      </c>
      <c r="AC15" s="93">
        <v>190.11</v>
      </c>
      <c r="AE15" s="95" t="s">
        <v>28</v>
      </c>
      <c r="AF15" s="9">
        <f>$B$2</f>
        <v>6.0220000000000002</v>
      </c>
      <c r="AG15" s="11">
        <f>AG10*(AF15-AF11)*(AF15-AF12)*(AF15-AF13)*(AF15-AF14)/((AF10-AF11)*(AF10-AF12)*(AF10-AF13)*(AF10-AF14))+AG11*(AF15-AF10)*(AF15-AF12)*(AF15-AF13)*(AF15-AF14)/((AF11-AF10)*(AF11-AF12)*(AF11-AF13)*(AF11-AF14))+AG12*(AF15-AF10)*(AF15-AF11)*(AF15-AF13)*(AF15-AF14)/((AF12-AF10)*(AF12-AF11)*(AF12-AF13)*(AF12-AF14))+AG13*(AF15-AF10)*(AF15-AF11)*(AF15-AF12)*(AF15-AF14)/((AF13-AF10)*(AF13-AF11)*(AF13-AF12)*(AF13-AF14))+AG14*(AF15-AF10)*(AF15-AF11)*(AF15-AF12)*(AF15-AF13)/((AF14-AF10)*(AF14-AF11)*(AF14-AF12)*(AF14-AF13))</f>
        <v>219.97210541804603</v>
      </c>
      <c r="AH15" s="95" t="s">
        <v>28</v>
      </c>
      <c r="AI15" s="9">
        <f>$B$2</f>
        <v>6.0220000000000002</v>
      </c>
      <c r="AJ15" s="11">
        <f t="shared" ref="AJ15:AP15" si="3">AJ10*(AI15-AI11)*(AI15-AI12)*(AI15-AI13)*(AI15-AI14)/((AI10-AI11)*(AI10-AI12)*(AI10-AI13)*(AI10-AI14))+AJ11*(AI15-AI10)*(AI15-AI12)*(AI15-AI13)*(AI15-AI14)/((AI11-AI10)*(AI11-AI12)*(AI11-AI13)*(AI11-AI14))+AJ12*(AI15-AI10)*(AI15-AI11)*(AI15-AI13)*(AI15-AI14)/((AI12-AI10)*(AI12-AI11)*(AI12-AI13)*(AI12-AI14))+AJ13*(AI15-AI10)*(AI15-AI11)*(AI15-AI12)*(AI15-AI14)/((AI13-AI10)*(AI13-AI11)*(AI13-AI12)*(AI13-AI14))+AJ14*(AI15-AI10)*(AI15-AI11)*(AI15-AI12)*(AI15-AI13)/((AI14-AI10)*(AI14-AI11)*(AI14-AI12)*(AI14-AI13))</f>
        <v>202.1617155810151</v>
      </c>
      <c r="AK15" s="95" t="s">
        <v>28</v>
      </c>
      <c r="AL15" s="9">
        <f>$B$2</f>
        <v>6.0220000000000002</v>
      </c>
      <c r="AM15" s="11">
        <f>AM10*(AL15-AL11)*(AL15-AL12)*(AL15-AL13)*(AL15-AL14)/((AL10-AL11)*(AL10-AL12)*(AL10-AL13)*(AL10-AL14))+AM11*(AL15-AL10)*(AL15-AL12)*(AL15-AL13)*(AL15-AL14)/((AL11-AL10)*(AL11-AL12)*(AL11-AL13)*(AL11-AL14))+AM12*(AL15-AL10)*(AL15-AL11)*(AL15-AL13)*(AL15-AL14)/((AL12-AL10)*(AL12-AL11)*(AL12-AL13)*(AL12-AL14))+AM13*(AL15-AL10)*(AL15-AL11)*(AL15-AL12)*(AL15-AL14)/((AL13-AL10)*(AL13-AL11)*(AL13-AL12)*(AL13-AL14))+AM14*(AL15-AL10)*(AL15-AL11)*(AL15-AL12)*(AL15-AL13)/((AL14-AL10)*(AL14-AL11)*(AL14-AL12)*(AL14-AL13))</f>
        <v>235.26991111637392</v>
      </c>
      <c r="AN15" s="95" t="s">
        <v>28</v>
      </c>
      <c r="AO15" s="9">
        <f>$B$2</f>
        <v>6.0220000000000002</v>
      </c>
      <c r="AP15" s="11">
        <f t="shared" si="3"/>
        <v>209.9863362092477</v>
      </c>
    </row>
    <row r="16" spans="1:42">
      <c r="A16" s="93" t="s">
        <v>32</v>
      </c>
      <c r="B16" s="23">
        <f>B3*SIN(RADIANS(B4))</f>
        <v>0.95798784374570456</v>
      </c>
      <c r="D16"/>
      <c r="K16" s="13"/>
      <c r="L16" s="93" t="s">
        <v>11</v>
      </c>
      <c r="M16" s="9">
        <f>$B$2</f>
        <v>6.0220000000000002</v>
      </c>
      <c r="N16" s="11">
        <f>N10*(M16-M11)*(M16-M12)*(M16-M13)*(M16-M14)*(M16-M15)/((M10-M11)*(M10-M12)*(M10-M13)*(M10-M14)*(M10-M15))+N11*(M16-M10)*(M16-M12)*(M16-M13)*(M16-M14)*(M16-M15)/((M11-M10)*(M11-M12)*(M11-M13)*(M11-M14)*(M11-M15))+N12*(M16-M10)*(M16-M11)*(M16-M13)*(M16-M14)*(M16-M15)/((M12-M10)*(M12-M11)*(M12-M13)*(M12-M14)*(M12-M15))+N13*(M16-M10)*(M16-M11)*(M16-M12)*(M16-M14)*(M16-M15)/((M13-M10)*(M13-M11)*(M13-M12)*(M13-M14)*(M13-M15))+N14*(M16-M10)*(M16-M11)*(M16-M12)*(M16-M13)*(M16-M15)/((M14-M10)*(M14-M11)*(M14-M12)*(M14-M13)*(M14-M15))+N15*(M16-M10)*(M16-M11)*(M16-M12)*(M16-M13)*(M16-M14)/((M15-M10)*(M15-M11)*(M15-M12)*(M15-M13)*(M15-M14))</f>
        <v>219.80897814582141</v>
      </c>
      <c r="O16" s="93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192.30626982264147</v>
      </c>
      <c r="R16" s="93" t="s">
        <v>11</v>
      </c>
      <c r="S16" s="9">
        <f>$B$2</f>
        <v>6.0220000000000002</v>
      </c>
      <c r="T16" s="93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229.83974188198499</v>
      </c>
      <c r="U16" s="93" t="s">
        <v>11</v>
      </c>
      <c r="V16" s="9">
        <f>$B$2</f>
        <v>6.0220000000000002</v>
      </c>
      <c r="W16" s="11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209.97486200186569</v>
      </c>
    </row>
    <row r="17" spans="1:42">
      <c r="A17" s="93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1" t="s">
        <v>12</v>
      </c>
      <c r="O17" s="1"/>
      <c r="P17" s="1"/>
      <c r="Q17" s="1" t="s">
        <v>13</v>
      </c>
      <c r="R17" s="1"/>
      <c r="S17" s="1"/>
      <c r="T17" s="1" t="s">
        <v>8</v>
      </c>
      <c r="U17" s="1"/>
      <c r="V17" s="1"/>
      <c r="W17" s="1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1"/>
      <c r="AF17" s="1"/>
      <c r="AG17" s="1" t="s">
        <v>12</v>
      </c>
      <c r="AH17" s="1"/>
      <c r="AI17" s="1"/>
      <c r="AJ17" s="1" t="s">
        <v>13</v>
      </c>
      <c r="AK17" s="1"/>
      <c r="AL17" s="1"/>
      <c r="AM17" s="1" t="s">
        <v>8</v>
      </c>
      <c r="AN17" s="1"/>
      <c r="AO17" s="1"/>
      <c r="AP17" s="1" t="s">
        <v>9</v>
      </c>
    </row>
    <row r="18" spans="1:42">
      <c r="D18"/>
      <c r="F18" s="93">
        <v>100</v>
      </c>
      <c r="G18" s="93">
        <v>249.51</v>
      </c>
      <c r="H18" s="130">
        <f>(630-30)/8*4.75/1.2</f>
        <v>296.875</v>
      </c>
      <c r="I18" s="93">
        <v>263.79000000000002</v>
      </c>
      <c r="J18" s="93">
        <v>234.71</v>
      </c>
      <c r="K18" s="13"/>
      <c r="L18" s="93" t="s">
        <v>10</v>
      </c>
      <c r="M18" s="93">
        <v>0</v>
      </c>
      <c r="N18" s="93">
        <f>G5</f>
        <v>208.68</v>
      </c>
      <c r="O18" s="93" t="s">
        <v>10</v>
      </c>
      <c r="P18" s="93">
        <v>0</v>
      </c>
      <c r="Q18" s="93">
        <f>H5</f>
        <v>179.88425925925927</v>
      </c>
      <c r="R18" s="93" t="s">
        <v>10</v>
      </c>
      <c r="S18" s="93">
        <v>0</v>
      </c>
      <c r="T18" s="93">
        <f>I5</f>
        <v>217.44</v>
      </c>
      <c r="U18" s="93" t="s">
        <v>10</v>
      </c>
      <c r="V18" s="93">
        <v>0</v>
      </c>
      <c r="W18" s="93">
        <f>J5</f>
        <v>199.69</v>
      </c>
      <c r="Y18" s="93">
        <v>100</v>
      </c>
      <c r="Z18" s="93">
        <v>230.33</v>
      </c>
      <c r="AA18" s="93">
        <v>226</v>
      </c>
      <c r="AB18" s="93">
        <v>240.81</v>
      </c>
      <c r="AC18" s="93">
        <v>219.25</v>
      </c>
      <c r="AE18" s="95" t="s">
        <v>27</v>
      </c>
      <c r="AF18" s="95">
        <v>0</v>
      </c>
      <c r="AG18" s="95">
        <f>Z5</f>
        <v>208.68</v>
      </c>
      <c r="AH18" s="95" t="s">
        <v>27</v>
      </c>
      <c r="AI18" s="95">
        <v>0</v>
      </c>
      <c r="AJ18" s="95">
        <f>AA5</f>
        <v>179.88425925925927</v>
      </c>
      <c r="AK18" s="95" t="s">
        <v>27</v>
      </c>
      <c r="AL18" s="95">
        <v>0</v>
      </c>
      <c r="AM18" s="95">
        <f>AB5</f>
        <v>217.44</v>
      </c>
      <c r="AN18" s="95" t="s">
        <v>27</v>
      </c>
      <c r="AO18" s="95">
        <v>0</v>
      </c>
      <c r="AP18" s="95">
        <f>AC5</f>
        <v>199.69</v>
      </c>
    </row>
    <row r="19" spans="1:42">
      <c r="A19" s="93" t="s">
        <v>31</v>
      </c>
      <c r="B19" s="93" t="s">
        <v>35</v>
      </c>
      <c r="D19"/>
      <c r="F19" s="93">
        <v>95</v>
      </c>
      <c r="G19" s="93">
        <v>234.82</v>
      </c>
      <c r="H19" s="130">
        <f>(630-121)/8*4.75/1.2</f>
        <v>251.84895833333334</v>
      </c>
      <c r="I19" s="93">
        <v>247.05</v>
      </c>
      <c r="J19" s="93">
        <v>222.2</v>
      </c>
      <c r="K19" s="13"/>
      <c r="L19" s="93" t="s">
        <v>10</v>
      </c>
      <c r="M19" s="93">
        <v>-5</v>
      </c>
      <c r="N19" s="93">
        <f>G10</f>
        <v>213.06</v>
      </c>
      <c r="O19" s="93" t="s">
        <v>10</v>
      </c>
      <c r="P19" s="93">
        <v>-5</v>
      </c>
      <c r="Q19" s="93">
        <f>H10</f>
        <v>192.19907407407408</v>
      </c>
      <c r="R19" s="93" t="s">
        <v>10</v>
      </c>
      <c r="S19" s="93">
        <v>-5</v>
      </c>
      <c r="T19" s="93">
        <f>I10</f>
        <v>222.45</v>
      </c>
      <c r="U19" s="93" t="s">
        <v>10</v>
      </c>
      <c r="V19" s="93">
        <v>-5</v>
      </c>
      <c r="W19" s="93">
        <f>J10</f>
        <v>203.41</v>
      </c>
      <c r="Y19" s="93">
        <v>95</v>
      </c>
      <c r="Z19" s="93">
        <v>210.6</v>
      </c>
      <c r="AA19" s="93">
        <v>176.5</v>
      </c>
      <c r="AB19" s="93">
        <v>218.89</v>
      </c>
      <c r="AC19" s="93">
        <v>201.93</v>
      </c>
      <c r="AE19" s="95" t="s">
        <v>27</v>
      </c>
      <c r="AF19" s="95">
        <v>5</v>
      </c>
      <c r="AG19" s="95">
        <f>Z10</f>
        <v>203.63</v>
      </c>
      <c r="AH19" s="95" t="s">
        <v>27</v>
      </c>
      <c r="AI19" s="95">
        <v>5</v>
      </c>
      <c r="AJ19" s="95">
        <f>AA10</f>
        <v>166</v>
      </c>
      <c r="AK19" s="95" t="s">
        <v>27</v>
      </c>
      <c r="AL19" s="95">
        <v>5</v>
      </c>
      <c r="AM19" s="95">
        <f>AB10</f>
        <v>211.7</v>
      </c>
      <c r="AN19" s="95" t="s">
        <v>27</v>
      </c>
      <c r="AO19" s="95">
        <v>5</v>
      </c>
      <c r="AP19" s="95">
        <f>AC10</f>
        <v>195.35</v>
      </c>
    </row>
    <row r="20" spans="1:42">
      <c r="A20" s="22">
        <f>(S27*(D2-R28)*(D2-R29)/((R27-R28)*(R27-R29))+S28*(D2-R27)*(D2-R29)/((R28-R27)*(R28-R29))+S29*(D2-R27)*(D2-R28)/((R29-R27)*(R29-R28)))</f>
        <v>277.35917761883672</v>
      </c>
      <c r="B20" s="23">
        <f>(B16*A20+(A21*B14))/(D2*(44/17.5))</f>
        <v>-0.41176719167171616</v>
      </c>
      <c r="D20"/>
      <c r="F20" s="93">
        <v>90</v>
      </c>
      <c r="G20" s="93">
        <v>220.38</v>
      </c>
      <c r="H20" s="130">
        <f>(630-197)/8*4.75/1.2</f>
        <v>214.24479166666669</v>
      </c>
      <c r="I20" s="93">
        <v>230.92</v>
      </c>
      <c r="J20" s="93">
        <v>209.55</v>
      </c>
      <c r="K20" s="16"/>
      <c r="L20" s="93" t="s">
        <v>10</v>
      </c>
      <c r="M20" s="93">
        <v>-10</v>
      </c>
      <c r="N20" s="93">
        <f>G15</f>
        <v>216.92</v>
      </c>
      <c r="O20" s="93" t="s">
        <v>10</v>
      </c>
      <c r="P20" s="93">
        <v>-10</v>
      </c>
      <c r="Q20" s="93">
        <f>H15</f>
        <v>203.359375</v>
      </c>
      <c r="R20" s="93" t="s">
        <v>10</v>
      </c>
      <c r="S20" s="93">
        <v>-10</v>
      </c>
      <c r="T20" s="93">
        <f>I15</f>
        <v>226.91</v>
      </c>
      <c r="U20" s="93" t="s">
        <v>10</v>
      </c>
      <c r="V20" s="93">
        <v>-10</v>
      </c>
      <c r="W20" s="93">
        <f>J15</f>
        <v>206.67</v>
      </c>
      <c r="Y20" s="93">
        <v>90</v>
      </c>
      <c r="Z20" s="93">
        <v>190.15</v>
      </c>
      <c r="AA20" s="93">
        <v>135.5</v>
      </c>
      <c r="AB20" s="93">
        <v>196.53</v>
      </c>
      <c r="AC20" s="93">
        <v>183.58</v>
      </c>
      <c r="AE20" s="95" t="s">
        <v>27</v>
      </c>
      <c r="AF20" s="95">
        <v>10</v>
      </c>
      <c r="AG20" s="95">
        <f>Z15</f>
        <v>197.63</v>
      </c>
      <c r="AH20" s="95" t="s">
        <v>27</v>
      </c>
      <c r="AI20" s="95">
        <v>10</v>
      </c>
      <c r="AJ20" s="95">
        <f>AA15</f>
        <v>152</v>
      </c>
      <c r="AK20" s="95" t="s">
        <v>27</v>
      </c>
      <c r="AL20" s="95">
        <v>10</v>
      </c>
      <c r="AM20" s="95">
        <f>AB15</f>
        <v>204.92</v>
      </c>
      <c r="AN20" s="95" t="s">
        <v>27</v>
      </c>
      <c r="AO20" s="95">
        <v>10</v>
      </c>
      <c r="AP20" s="95">
        <f>AC15</f>
        <v>190.11</v>
      </c>
    </row>
    <row r="21" spans="1:42">
      <c r="A21" s="22">
        <f>A20*1</f>
        <v>277.35917761883672</v>
      </c>
      <c r="D21"/>
      <c r="K21" s="16"/>
      <c r="L21" s="93" t="s">
        <v>10</v>
      </c>
      <c r="M21" s="93">
        <v>-15</v>
      </c>
      <c r="N21" s="93">
        <f>G20</f>
        <v>220.38</v>
      </c>
      <c r="O21" s="93" t="s">
        <v>10</v>
      </c>
      <c r="P21" s="93">
        <v>-15</v>
      </c>
      <c r="Q21" s="93">
        <f>H20</f>
        <v>214.24479166666669</v>
      </c>
      <c r="R21" s="93" t="s">
        <v>10</v>
      </c>
      <c r="S21" s="93">
        <v>-15</v>
      </c>
      <c r="T21" s="93">
        <f>I20</f>
        <v>230.92</v>
      </c>
      <c r="U21" s="93" t="s">
        <v>10</v>
      </c>
      <c r="V21" s="93">
        <v>-15</v>
      </c>
      <c r="W21" s="93">
        <f>J20</f>
        <v>209.55</v>
      </c>
      <c r="AE21" s="95" t="s">
        <v>27</v>
      </c>
      <c r="AF21" s="95">
        <v>15</v>
      </c>
      <c r="AG21" s="95">
        <f>Z20</f>
        <v>190.15</v>
      </c>
      <c r="AH21" s="95" t="s">
        <v>27</v>
      </c>
      <c r="AI21" s="95">
        <v>15</v>
      </c>
      <c r="AJ21" s="95">
        <f>AA20</f>
        <v>135.5</v>
      </c>
      <c r="AK21" s="95" t="s">
        <v>27</v>
      </c>
      <c r="AL21" s="95">
        <v>15</v>
      </c>
      <c r="AM21" s="95">
        <f>AB20</f>
        <v>196.53</v>
      </c>
      <c r="AN21" s="95" t="s">
        <v>27</v>
      </c>
      <c r="AO21" s="95">
        <v>15</v>
      </c>
      <c r="AP21" s="95">
        <f>AC20</f>
        <v>183.58</v>
      </c>
    </row>
    <row r="22" spans="1:42">
      <c r="D22"/>
      <c r="F22" s="15">
        <v>-20</v>
      </c>
      <c r="G22" s="7" t="s">
        <v>6</v>
      </c>
      <c r="H22" s="7" t="s">
        <v>7</v>
      </c>
      <c r="I22" s="7" t="s">
        <v>8</v>
      </c>
      <c r="J22" s="7" t="s">
        <v>9</v>
      </c>
      <c r="K22" s="16"/>
      <c r="L22" s="93" t="s">
        <v>10</v>
      </c>
      <c r="M22" s="93">
        <v>-20</v>
      </c>
      <c r="N22" s="93">
        <f>G25</f>
        <v>223.51</v>
      </c>
      <c r="O22" s="93" t="s">
        <v>10</v>
      </c>
      <c r="P22" s="93">
        <v>-20</v>
      </c>
      <c r="Q22" s="93">
        <f>H25</f>
        <v>224.63541666666669</v>
      </c>
      <c r="R22" s="93" t="s">
        <v>10</v>
      </c>
      <c r="S22" s="93">
        <v>-20</v>
      </c>
      <c r="T22" s="93">
        <f>I25</f>
        <v>234.58</v>
      </c>
      <c r="U22" s="93" t="s">
        <v>10</v>
      </c>
      <c r="V22" s="93">
        <v>-20</v>
      </c>
      <c r="W22" s="93">
        <f>J25</f>
        <v>212.14</v>
      </c>
      <c r="Y22" s="15">
        <v>20</v>
      </c>
      <c r="Z22" s="7" t="s">
        <v>6</v>
      </c>
      <c r="AA22" s="7" t="s">
        <v>7</v>
      </c>
      <c r="AB22" s="7" t="s">
        <v>8</v>
      </c>
      <c r="AC22" s="7" t="s">
        <v>9</v>
      </c>
      <c r="AE22" s="95" t="s">
        <v>27</v>
      </c>
      <c r="AF22" s="95">
        <v>20</v>
      </c>
      <c r="AG22" s="95">
        <f>Z25</f>
        <v>179.93</v>
      </c>
      <c r="AH22" s="95" t="s">
        <v>27</v>
      </c>
      <c r="AI22" s="95">
        <v>20</v>
      </c>
      <c r="AJ22" s="95">
        <f>AA25</f>
        <v>114.5</v>
      </c>
      <c r="AK22" s="95" t="s">
        <v>27</v>
      </c>
      <c r="AL22" s="95">
        <v>20</v>
      </c>
      <c r="AM22" s="95">
        <f>AB25</f>
        <v>185.15</v>
      </c>
      <c r="AN22" s="95" t="s">
        <v>27</v>
      </c>
      <c r="AO22" s="95">
        <v>20</v>
      </c>
      <c r="AP22" s="95">
        <f>AC25</f>
        <v>174.52</v>
      </c>
    </row>
    <row r="23" spans="1:42">
      <c r="A23" s="93" t="s">
        <v>36</v>
      </c>
      <c r="B23" s="23">
        <f>B3*SIN(RADIANS(B4+B20*0.707))</f>
        <v>0.95943274484960606</v>
      </c>
      <c r="D23"/>
      <c r="F23" s="93">
        <v>100</v>
      </c>
      <c r="G23" s="93">
        <v>251.79</v>
      </c>
      <c r="H23" s="130">
        <f>(630-10)/8*4.75/1.2</f>
        <v>306.77083333333337</v>
      </c>
      <c r="I23" s="93">
        <v>266.58</v>
      </c>
      <c r="J23" s="93">
        <v>236.46</v>
      </c>
      <c r="L23" s="93" t="s">
        <v>10</v>
      </c>
      <c r="M23" s="93">
        <v>-25</v>
      </c>
      <c r="N23" s="93">
        <f>G30</f>
        <v>226.37</v>
      </c>
      <c r="O23" s="93" t="s">
        <v>10</v>
      </c>
      <c r="P23" s="93">
        <v>-25</v>
      </c>
      <c r="Q23" s="93">
        <f>H30</f>
        <v>234.67261904761904</v>
      </c>
      <c r="R23" s="93" t="s">
        <v>10</v>
      </c>
      <c r="S23" s="93">
        <v>-25</v>
      </c>
      <c r="T23" s="93">
        <f>I30</f>
        <v>237.8</v>
      </c>
      <c r="U23" s="93" t="s">
        <v>10</v>
      </c>
      <c r="V23" s="93">
        <v>-25</v>
      </c>
      <c r="W23" s="93">
        <f>J30</f>
        <v>214.48</v>
      </c>
      <c r="Y23" s="93">
        <v>100</v>
      </c>
      <c r="Z23" s="93">
        <v>225.48</v>
      </c>
      <c r="AA23" s="93">
        <v>210.5</v>
      </c>
      <c r="AB23" s="93">
        <v>235.15</v>
      </c>
      <c r="AC23" s="93">
        <v>215.29</v>
      </c>
      <c r="AE23" s="95" t="s">
        <v>28</v>
      </c>
      <c r="AF23" s="9">
        <f>$B$2</f>
        <v>6.0220000000000002</v>
      </c>
      <c r="AG23" s="11">
        <f>AG18*(AF23-AF19)*(AF23-AF20)*(AF23-AF21)*(AF23-AF22)/((AF18-AF19)*(AF18-AF20)*(AF18-AF21)*(AF18-AF22))+AG19*(AF23-AF18)*(AF23-AF20)*(AF23-AF21)*(AF23-AF22)/((AF19-AF18)*(AF19-AF20)*(AF19-AF21)*(AF19-AF22))+AG20*(AF23-AF18)*(AF23-AF19)*(AF23-AF21)*(AF23-AF22)/((AF20-AF18)*(AF20-AF19)*(AF20-AF21)*(AF20-AF22))+AG21*(AF23-AF18)*(AF23-AF19)*(AF23-AF20)*(AF23-AF22)/((AF21-AF18)*(AF21-AF19)*(AF21-AF20)*(AF21-AF22))+AG22*(AF23-AF18)*(AF23-AF19)*(AF23-AF20)*(AF23-AF21)/((AF22-AF18)*(AF22-AF19)*(AF22-AF20)*(AF22-AF21))</f>
        <v>202.48744865833854</v>
      </c>
      <c r="AH23" s="95" t="s">
        <v>28</v>
      </c>
      <c r="AI23" s="9">
        <f>$B$2</f>
        <v>6.0220000000000002</v>
      </c>
      <c r="AJ23" s="11">
        <f t="shared" ref="AJ23:AP23" si="4">AJ18*(AI23-AI19)*(AI23-AI20)*(AI23-AI21)*(AI23-AI22)/((AI18-AI19)*(AI18-AI20)*(AI18-AI21)*(AI18-AI22))+AJ19*(AI23-AI18)*(AI23-AI20)*(AI23-AI21)*(AI23-AI22)/((AI19-AI18)*(AI19-AI20)*(AI19-AI21)*(AI19-AI22))+AJ20*(AI23-AI18)*(AI23-AI19)*(AI23-AI21)*(AI23-AI22)/((AI20-AI18)*(AI20-AI19)*(AI20-AI21)*(AI20-AI22))+AJ21*(AI23-AI18)*(AI23-AI19)*(AI23-AI20)*(AI23-AI22)/((AI21-AI18)*(AI21-AI19)*(AI21-AI20)*(AI21-AI22))+AJ22*(AI23-AI18)*(AI23-AI19)*(AI23-AI20)*(AI23-AI21)/((AI22-AI18)*(AI22-AI19)*(AI22-AI20)*(AI22-AI21))</f>
        <v>163.23127199228838</v>
      </c>
      <c r="AK23" s="95" t="s">
        <v>28</v>
      </c>
      <c r="AL23" s="9">
        <f>$B$2</f>
        <v>6.0220000000000002</v>
      </c>
      <c r="AM23" s="11">
        <f t="shared" si="4"/>
        <v>210.4054680332888</v>
      </c>
      <c r="AN23" s="95" t="s">
        <v>28</v>
      </c>
      <c r="AO23" s="9">
        <f>$B$2</f>
        <v>6.0220000000000002</v>
      </c>
      <c r="AP23" s="11">
        <f t="shared" si="4"/>
        <v>194.35239863493675</v>
      </c>
    </row>
    <row r="24" spans="1:42">
      <c r="A24" s="93" t="s">
        <v>37</v>
      </c>
      <c r="B24" s="23">
        <f>B3*COS(RADIANS(B4+B20*0.5))</f>
        <v>-0.28336457943228044</v>
      </c>
      <c r="D24"/>
      <c r="F24" s="93">
        <v>95</v>
      </c>
      <c r="G24" s="93">
        <v>237.52</v>
      </c>
      <c r="H24" s="130">
        <f>(630-101)/8*4.75/1.2</f>
        <v>261.74479166666669</v>
      </c>
      <c r="I24" s="93">
        <v>250.28</v>
      </c>
      <c r="J24" s="93">
        <v>224.36</v>
      </c>
      <c r="L24" s="93" t="s">
        <v>11</v>
      </c>
      <c r="M24" s="9">
        <f>$B$2</f>
        <v>6.0220000000000002</v>
      </c>
      <c r="N24" s="11">
        <f>N18*(M24-M19)*(M24-M20)*(M24-M21)*(M24-M22)*(M24-M23)/((M18-M19)*(M18-M20)*(M18-M21)*(M18-M22)*(M18-M23))+N19*(M24-M18)*(M24-M20)*(M24-M21)*(M24-M22)*(M24-M23)/((M19-M18)*(M19-M20)*(M19-M21)*(M19-M22)*(M19-M23))+N20*(M24-M18)*(M24-M19)*(M24-M21)*(M24-M22)*(M24-M23)/((M20-M18)*(M20-M19)*(M20-M21)*(M20-M22)*(M20-M23))+N21*(M24-M18)*(M24-M19)*(M24-M20)*(M24-M22)*(M24-M23)/((M21-M18)*(M21-M19)*(M21-M20)*(M21-M22)*(M21-M23))+N22*(M24-M18)*(M24-M19)*(M24-M20)*(M24-M21)*(M24-M23)/((M22-M18)*(M22-M19)*(M22-M20)*(M22-M21)*(M22-M23))+N23*(M24-M18)*(M24-M19)*(M24-M20)*(M24-M21)*(M24-M22)/((M23-M18)*(M23-M19)*(M23-M20)*(M23-M21)*(M23-M22))</f>
        <v>202.40770863387513</v>
      </c>
      <c r="O24" s="93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158.36750194331455</v>
      </c>
      <c r="R24" s="93" t="s">
        <v>11</v>
      </c>
      <c r="S24" s="9">
        <f>$B$2</f>
        <v>6.0220000000000002</v>
      </c>
      <c r="T24" s="93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210.82879383098566</v>
      </c>
      <c r="U24" s="93" t="s">
        <v>11</v>
      </c>
      <c r="V24" s="9">
        <f>$B$2</f>
        <v>6.0220000000000002</v>
      </c>
      <c r="W24" s="11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194.59353497915725</v>
      </c>
      <c r="Y24" s="93">
        <v>95</v>
      </c>
      <c r="Z24" s="93">
        <v>203.72</v>
      </c>
      <c r="AA24" s="93">
        <v>159.5</v>
      </c>
      <c r="AB24" s="93">
        <v>211.06</v>
      </c>
      <c r="AC24" s="93">
        <v>196.08</v>
      </c>
    </row>
    <row r="25" spans="1:42">
      <c r="D25"/>
      <c r="E25" s="12"/>
      <c r="F25" s="93">
        <v>90</v>
      </c>
      <c r="G25" s="93">
        <v>223.51</v>
      </c>
      <c r="H25" s="130">
        <f>(630-176)/8*4.75/1.2</f>
        <v>224.63541666666669</v>
      </c>
      <c r="I25" s="93">
        <v>234.58</v>
      </c>
      <c r="J25" s="93">
        <v>212.14</v>
      </c>
      <c r="Y25" s="93">
        <v>90</v>
      </c>
      <c r="Z25" s="93">
        <v>179.93</v>
      </c>
      <c r="AA25" s="93">
        <v>114.5</v>
      </c>
      <c r="AB25" s="93">
        <v>185.15</v>
      </c>
      <c r="AC25" s="93">
        <v>174.52</v>
      </c>
    </row>
    <row r="26" spans="1:42">
      <c r="A26" s="240" t="s">
        <v>39</v>
      </c>
      <c r="B26" s="241"/>
      <c r="D26"/>
      <c r="E26" s="12"/>
      <c r="M26" s="1" t="s">
        <v>6</v>
      </c>
      <c r="N26" s="1" t="s">
        <v>14</v>
      </c>
      <c r="O26" s="14" t="s">
        <v>15</v>
      </c>
      <c r="R26" s="1" t="s">
        <v>6</v>
      </c>
      <c r="S26" s="1" t="s">
        <v>7</v>
      </c>
      <c r="T26" s="1" t="s">
        <v>29</v>
      </c>
      <c r="U26" s="1" t="s">
        <v>30</v>
      </c>
    </row>
    <row r="27" spans="1:42">
      <c r="A27" s="93">
        <f>N31*(D4-M32)*(D4-M33)/((M31-M32)*(M31-M33))+N32*(D4-M31)*(D4-M33)/((M32-M31)*(M32-M33))+N33*(D4-M31)*(D4-M32)/((M33-M31)*(M33-M32))</f>
        <v>257.11871065729497</v>
      </c>
      <c r="B27" s="93">
        <f>O31*(D4-M32)*(D4-M33)/((M31-M32)*(M31-M33))+O32*(D4-M31)*(D4-M33)/((M32-M31)*(M32-M33))+O33*(D4-M31)*(D4-M32)/((M33-M31)*(M33-M32))</f>
        <v>257.33366894310052</v>
      </c>
      <c r="D27"/>
      <c r="E27" s="12"/>
      <c r="F27" s="15">
        <v>-25</v>
      </c>
      <c r="G27" s="7" t="s">
        <v>6</v>
      </c>
      <c r="H27" s="7" t="s">
        <v>7</v>
      </c>
      <c r="I27" s="7" t="s">
        <v>8</v>
      </c>
      <c r="J27" s="7" t="s">
        <v>9</v>
      </c>
      <c r="L27" s="93">
        <v>100</v>
      </c>
      <c r="M27" s="93">
        <f>G3</f>
        <v>241.42</v>
      </c>
      <c r="N27" s="93">
        <v>241.93</v>
      </c>
      <c r="O27" s="130">
        <v>240.76</v>
      </c>
      <c r="Q27" s="10">
        <v>100</v>
      </c>
      <c r="R27" s="93">
        <f>IF($B$2&gt;0,AG7,N8)</f>
        <v>237.43602550776976</v>
      </c>
      <c r="S27" s="93">
        <f>IF($B$2&gt;0,AJ7,Q8)</f>
        <v>249.32899898047592</v>
      </c>
      <c r="T27" s="93">
        <f>IF($B$2&gt;0,AM7,T8)</f>
        <v>249.26636184445519</v>
      </c>
      <c r="U27" s="22">
        <f>IF($B$2&gt;0,AP7,W8)</f>
        <v>225.14875176144778</v>
      </c>
      <c r="V27" s="1"/>
      <c r="W27" s="1"/>
      <c r="X27" s="1"/>
      <c r="Y27" s="1"/>
      <c r="Z27" s="1"/>
      <c r="AA27" s="1"/>
      <c r="AB27" s="1"/>
      <c r="AC27" s="1"/>
      <c r="AD27" s="1"/>
    </row>
    <row r="28" spans="1:42">
      <c r="D28"/>
      <c r="E28" s="12"/>
      <c r="F28" s="93">
        <v>100</v>
      </c>
      <c r="G28" s="93">
        <v>253.9</v>
      </c>
      <c r="H28" s="130">
        <f>(630-70)/7*4.75/1.2</f>
        <v>316.66666666666669</v>
      </c>
      <c r="I28" s="93">
        <v>269.19</v>
      </c>
      <c r="J28" s="93">
        <v>238.06</v>
      </c>
      <c r="L28" s="10">
        <v>95</v>
      </c>
      <c r="M28" s="93">
        <f>G4</f>
        <v>224.98</v>
      </c>
      <c r="N28" s="93">
        <v>225.44</v>
      </c>
      <c r="O28" s="130">
        <v>224.38</v>
      </c>
      <c r="Q28" s="10">
        <v>95</v>
      </c>
      <c r="R28" s="93">
        <f>IF($B$2&gt;0,AG15,N16)</f>
        <v>219.97210541804603</v>
      </c>
      <c r="S28" s="93">
        <f>IF($B$2&gt;0,AJ15,Q16)</f>
        <v>202.1617155810151</v>
      </c>
      <c r="T28" s="93">
        <f>IF($B$2&gt;0,AM15,T16)</f>
        <v>235.26991111637392</v>
      </c>
      <c r="U28" s="22">
        <f>IF($B$2&gt;0,AP15,W16)</f>
        <v>209.9863362092477</v>
      </c>
      <c r="W28" s="97"/>
      <c r="X28" s="97"/>
      <c r="Y28" s="1"/>
      <c r="Z28" s="1"/>
      <c r="AA28" s="1"/>
      <c r="AB28" s="1"/>
      <c r="AC28" s="1"/>
      <c r="AD28" s="1"/>
    </row>
    <row r="29" spans="1:42">
      <c r="A29" s="93" t="s">
        <v>41</v>
      </c>
      <c r="B29" s="93" t="s">
        <v>42</v>
      </c>
      <c r="D29"/>
      <c r="E29" s="12"/>
      <c r="F29" s="93">
        <v>95</v>
      </c>
      <c r="G29" s="93">
        <v>239.98</v>
      </c>
      <c r="H29" s="130">
        <f>(630-149)/7*4.75/1.2</f>
        <v>271.99404761904759</v>
      </c>
      <c r="I29" s="93">
        <v>253.27</v>
      </c>
      <c r="J29" s="93">
        <v>226.33</v>
      </c>
      <c r="L29" s="10">
        <v>90</v>
      </c>
      <c r="M29" s="93">
        <f>G5</f>
        <v>208.68</v>
      </c>
      <c r="N29" s="93">
        <v>209.09</v>
      </c>
      <c r="O29" s="130">
        <v>208.15</v>
      </c>
      <c r="Q29" s="10">
        <v>90</v>
      </c>
      <c r="R29" s="93">
        <f>IF($B$2&gt;0,AG23,N24)</f>
        <v>202.48744865833854</v>
      </c>
      <c r="S29" s="93">
        <f>IF($B$2&gt;0,AJ23,Q24)</f>
        <v>163.23127199228838</v>
      </c>
      <c r="T29" s="93">
        <f>IF($B$2&gt;0,AM23,T24)</f>
        <v>210.4054680332888</v>
      </c>
      <c r="U29" s="22">
        <f>IF($B$2&gt;0,AP23,W24)</f>
        <v>194.35239863493675</v>
      </c>
      <c r="W29" s="97"/>
      <c r="X29" s="97"/>
      <c r="Y29" s="1"/>
      <c r="Z29" s="1"/>
      <c r="AA29" s="1"/>
      <c r="AB29" s="1"/>
      <c r="AC29" s="1"/>
      <c r="AD29" s="1"/>
    </row>
    <row r="30" spans="1:42">
      <c r="A30" s="11">
        <f>L36*(D4-M37)*(D4-M38)/((M36-M37)*(M36-M38))+L37*(D4-M36)*(D4-M38)/((M37-M36)*(M37-M38))+L38*(D4-M36)*(D4-M37)/((M38-M36)*(M38-M37))</f>
        <v>105.95093986360448</v>
      </c>
      <c r="B30" s="24">
        <f>(S27*(A30-Q28)*(A30-Q29)/((Q27-Q28)*(Q27-Q29))+S28*(A30-Q27)*(A30-Q29)/((Q28-Q27)*(Q28-Q29))+S29*(A30-Q27)*(A30-Q28)/((Q29-Q27)*(Q29-Q28)))*(B23+(B14*8/9*(A21/A20))*(A30/100))</f>
        <v>-256.01408257736296</v>
      </c>
      <c r="D30"/>
      <c r="E30" s="12"/>
      <c r="F30" s="93">
        <v>90</v>
      </c>
      <c r="G30" s="93">
        <v>226.37</v>
      </c>
      <c r="H30" s="130">
        <f>(630-215)/7*4.75/1.2</f>
        <v>234.67261904761904</v>
      </c>
      <c r="I30" s="93">
        <v>237.8</v>
      </c>
      <c r="J30" s="93">
        <v>214.48</v>
      </c>
      <c r="N30" s="1" t="s">
        <v>38</v>
      </c>
      <c r="W30" s="97"/>
      <c r="X30" s="97"/>
      <c r="Y30" s="1"/>
      <c r="Z30" s="1"/>
      <c r="AA30" s="1"/>
      <c r="AB30" s="1"/>
      <c r="AC30" s="1"/>
      <c r="AD30" s="1"/>
    </row>
    <row r="31" spans="1:42">
      <c r="A31" s="93" t="s">
        <v>44</v>
      </c>
      <c r="B31" s="93" t="s">
        <v>43</v>
      </c>
      <c r="D31"/>
      <c r="L31" s="93">
        <v>100</v>
      </c>
      <c r="M31" s="93">
        <f>M27</f>
        <v>241.42</v>
      </c>
      <c r="N31" s="11">
        <f>M27*((L27-(100/360))-L28)*((L27-(100/360))-L29)/((L27-L28)*(L27-L29))+M28*((L27-(100/360))-L27)*((L27-(100/360))-L29)/((L28-L27)*(L28-L29))+M29*((L27-(100/360))-L27)*((L27-(100/360))-L28)/((L29-L27)*(L29-L28))</f>
        <v>240.50299382716051</v>
      </c>
      <c r="O31" s="130">
        <v>240.76</v>
      </c>
      <c r="W31" s="97"/>
      <c r="X31" s="97"/>
      <c r="Y31" s="1"/>
      <c r="Z31" s="1"/>
      <c r="AA31" s="1"/>
      <c r="AB31" s="1"/>
      <c r="AC31" s="1"/>
      <c r="AD31" s="1"/>
    </row>
    <row r="32" spans="1:42">
      <c r="A32" s="25">
        <f>(360-ROUNDDOWN((1-(A30/100))*360,0))*256/360</f>
        <v>270.93333333333334</v>
      </c>
      <c r="B32" s="11">
        <f>MOD((A30/100)*-360,1)*-((D4-A27)/(D4-B27))+30</f>
        <v>29.248769867776751</v>
      </c>
      <c r="D32"/>
      <c r="L32" s="10">
        <v>95</v>
      </c>
      <c r="M32" s="93">
        <f>M28</f>
        <v>224.98</v>
      </c>
      <c r="N32" s="11">
        <f>M27*((L28-(100/360))-L28)*((L28-(100/360))-L29)/((L27-L28)*(L27-L29))+M28*((L28-(100/360))-L27)*((L28-(100/360))-L29)/((L28-L27)*(L28-L29))+M29*((L28-(100/360))-L27)*((L28-(100/360))-L28)/((L29-L27)*(L29-L28))</f>
        <v>224.07077160493827</v>
      </c>
      <c r="O32" s="130">
        <v>224.38</v>
      </c>
      <c r="R32" s="14"/>
      <c r="W32" s="97"/>
      <c r="X32" s="97"/>
      <c r="Y32" s="1"/>
      <c r="Z32" s="1"/>
      <c r="AA32" s="1"/>
      <c r="AB32" s="1"/>
      <c r="AC32" s="1"/>
      <c r="AD32" s="1"/>
    </row>
    <row r="33" spans="4:24">
      <c r="D33"/>
      <c r="L33" s="10">
        <v>90</v>
      </c>
      <c r="M33" s="93">
        <f>M29</f>
        <v>208.68</v>
      </c>
      <c r="N33" s="11">
        <f>M27*((L29-(100/360))-L28)*((L29-(100/360))-L29)/((L27-L28)*(L27-L29))+M28*((L29-(100/360))-L27)*((L29-(100/360))-L29)/((L28-L27)*(L28-L29))+M29*((L29-(100/360))-L27)*((L29-(100/360))-L28)/((L29-L27)*(L29-L28))</f>
        <v>207.77854938271608</v>
      </c>
      <c r="O33" s="130">
        <v>208.15</v>
      </c>
      <c r="Q33" s="14"/>
      <c r="R33" s="14"/>
      <c r="W33" s="97"/>
      <c r="X33" s="97"/>
    </row>
    <row r="34" spans="4:24">
      <c r="D34"/>
    </row>
    <row r="35" spans="4:24">
      <c r="D35"/>
      <c r="L35" s="240" t="s">
        <v>40</v>
      </c>
      <c r="M35" s="241"/>
    </row>
    <row r="36" spans="4:24">
      <c r="D36"/>
      <c r="L36" s="10">
        <v>100</v>
      </c>
      <c r="M36" s="11">
        <f>R27*(B24-9)*(B24--9)/((0-9)*(0--9))+T27*(B24-0)*(B24--9)/((9-0)*(9--9))+U27*(B24-0)*(B24-9)/((-9-0)*(-9-9))</f>
        <v>237.05612811299434</v>
      </c>
    </row>
    <row r="37" spans="4:24">
      <c r="L37" s="10">
        <v>95</v>
      </c>
      <c r="M37" s="11">
        <f>R28*(B24-9)*(B24--9)/((0-9)*(0--9))+T28*(B24-0)*(B24--9)/((9-0)*(9--9))+U28*(B24-0)*(B24-9)/((-9-0)*(-9-9))</f>
        <v>219.5767122477663</v>
      </c>
    </row>
    <row r="38" spans="4:24">
      <c r="L38" s="10">
        <v>90</v>
      </c>
      <c r="M38" s="11">
        <f>R29*(B24-9)*(B24--9)/((0-9)*(0--9))+T29*(B24-0)*(B24--9)/((9-0)*(9--9))+U29*(B24-0)*(B24-9)/((-9-0)*(-9-9))</f>
        <v>202.2346260169243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S102"/>
  <sheetViews>
    <sheetView topLeftCell="A10" workbookViewId="0">
      <selection activeCell="B41" sqref="B41"/>
    </sheetView>
  </sheetViews>
  <sheetFormatPr defaultRowHeight="15"/>
  <cols>
    <col min="1" max="2" width="9.85546875" customWidth="1"/>
    <col min="4" max="4" width="10" style="1" customWidth="1"/>
  </cols>
  <sheetData>
    <row r="1" spans="1:45">
      <c r="A1" s="7" t="s">
        <v>0</v>
      </c>
      <c r="B1" s="26">
        <f>Plan1!B1</f>
        <v>246.59</v>
      </c>
      <c r="E1" s="237" t="s">
        <v>139</v>
      </c>
      <c r="F1" s="237"/>
      <c r="G1" s="103"/>
      <c r="H1" s="103"/>
      <c r="Q1" s="1" t="s">
        <v>12</v>
      </c>
      <c r="R1" s="1"/>
      <c r="S1" s="1"/>
      <c r="T1" s="1" t="s">
        <v>13</v>
      </c>
      <c r="U1" s="1"/>
      <c r="V1" s="1"/>
      <c r="W1" s="1" t="s">
        <v>8</v>
      </c>
      <c r="X1" s="1"/>
      <c r="Y1" s="1"/>
      <c r="Z1" s="1" t="s">
        <v>9</v>
      </c>
      <c r="AJ1" s="1" t="s">
        <v>12</v>
      </c>
      <c r="AK1" s="1"/>
      <c r="AL1" s="1"/>
      <c r="AM1" s="1" t="s">
        <v>13</v>
      </c>
      <c r="AN1" s="1"/>
      <c r="AO1" s="1"/>
      <c r="AP1" s="1" t="s">
        <v>8</v>
      </c>
      <c r="AQ1" s="1"/>
      <c r="AR1" s="1"/>
      <c r="AS1" s="1" t="s">
        <v>9</v>
      </c>
    </row>
    <row r="2" spans="1:45">
      <c r="A2" s="7" t="s">
        <v>1</v>
      </c>
      <c r="B2" s="27">
        <f>Plan1!B2</f>
        <v>6.0220000000000002</v>
      </c>
      <c r="E2" s="102" t="s">
        <v>45</v>
      </c>
      <c r="F2" s="24">
        <f>A30</f>
        <v>111.8999338750653</v>
      </c>
      <c r="I2" s="15">
        <v>0</v>
      </c>
      <c r="J2" s="7" t="s">
        <v>6</v>
      </c>
      <c r="K2" s="7" t="s">
        <v>7</v>
      </c>
      <c r="L2" s="7" t="s">
        <v>8</v>
      </c>
      <c r="M2" s="7" t="s">
        <v>9</v>
      </c>
      <c r="O2" s="102" t="s">
        <v>10</v>
      </c>
      <c r="P2" s="102">
        <v>0</v>
      </c>
      <c r="Q2" s="102">
        <f>J3</f>
        <v>222.66</v>
      </c>
      <c r="R2" s="102" t="s">
        <v>10</v>
      </c>
      <c r="S2" s="102">
        <v>0</v>
      </c>
      <c r="T2" s="102">
        <f>K3</f>
        <v>267</v>
      </c>
      <c r="U2" s="102" t="s">
        <v>10</v>
      </c>
      <c r="V2" s="102">
        <v>0</v>
      </c>
      <c r="W2" s="102">
        <f>L3</f>
        <v>235.56</v>
      </c>
      <c r="X2" s="102" t="s">
        <v>10</v>
      </c>
      <c r="Y2" s="102">
        <v>0</v>
      </c>
      <c r="Z2" s="102">
        <f>M3</f>
        <v>209.26</v>
      </c>
      <c r="AA2" s="104">
        <v>195</v>
      </c>
      <c r="AB2" s="15">
        <v>0</v>
      </c>
      <c r="AC2" s="7" t="s">
        <v>6</v>
      </c>
      <c r="AD2" s="7" t="s">
        <v>7</v>
      </c>
      <c r="AE2" s="7" t="s">
        <v>8</v>
      </c>
      <c r="AF2" s="7" t="s">
        <v>9</v>
      </c>
      <c r="AH2" s="102" t="s">
        <v>27</v>
      </c>
      <c r="AI2" s="102">
        <v>0</v>
      </c>
      <c r="AJ2" s="102">
        <f>AC3</f>
        <v>222.66</v>
      </c>
      <c r="AK2" s="102" t="s">
        <v>27</v>
      </c>
      <c r="AL2" s="102">
        <v>0</v>
      </c>
      <c r="AM2" s="102">
        <f>AD3</f>
        <v>267</v>
      </c>
      <c r="AN2" s="102" t="s">
        <v>27</v>
      </c>
      <c r="AO2" s="102">
        <v>0</v>
      </c>
      <c r="AP2" s="102">
        <f>AE3</f>
        <v>235.56</v>
      </c>
      <c r="AQ2" s="102" t="s">
        <v>27</v>
      </c>
      <c r="AR2" s="102">
        <v>0</v>
      </c>
      <c r="AS2" s="102">
        <f>AF3</f>
        <v>209.26</v>
      </c>
    </row>
    <row r="3" spans="1:45">
      <c r="A3" s="7" t="s">
        <v>2</v>
      </c>
      <c r="B3" s="27">
        <f>Plan1!B3</f>
        <v>1</v>
      </c>
      <c r="E3" s="102" t="s">
        <v>140</v>
      </c>
      <c r="F3" s="11">
        <f>B30</f>
        <v>-259.74626536820915</v>
      </c>
      <c r="I3" s="102">
        <v>100</v>
      </c>
      <c r="J3" s="102">
        <v>222.66</v>
      </c>
      <c r="K3" s="102">
        <v>267</v>
      </c>
      <c r="L3" s="102">
        <v>235.56</v>
      </c>
      <c r="M3" s="102">
        <v>209.26</v>
      </c>
      <c r="O3" s="102" t="s">
        <v>10</v>
      </c>
      <c r="P3" s="102">
        <v>-5</v>
      </c>
      <c r="Q3" s="102">
        <f>J8</f>
        <v>225.59</v>
      </c>
      <c r="R3" s="102" t="s">
        <v>10</v>
      </c>
      <c r="S3" s="102">
        <v>-5</v>
      </c>
      <c r="T3" s="102">
        <f>K8</f>
        <v>279</v>
      </c>
      <c r="U3" s="102" t="s">
        <v>10</v>
      </c>
      <c r="V3" s="102">
        <v>-5</v>
      </c>
      <c r="W3" s="102">
        <f>L8</f>
        <v>239.1</v>
      </c>
      <c r="X3" s="102" t="s">
        <v>10</v>
      </c>
      <c r="Y3" s="102">
        <v>-5</v>
      </c>
      <c r="Z3" s="102">
        <f>M8</f>
        <v>211.55</v>
      </c>
      <c r="AA3" s="104">
        <v>252</v>
      </c>
      <c r="AB3" s="102">
        <v>100</v>
      </c>
      <c r="AC3" s="102">
        <f>J3</f>
        <v>222.66</v>
      </c>
      <c r="AD3" s="102">
        <f t="shared" ref="AD3:AF3" si="0">K3</f>
        <v>267</v>
      </c>
      <c r="AE3" s="102">
        <f t="shared" si="0"/>
        <v>235.56</v>
      </c>
      <c r="AF3" s="102">
        <f t="shared" si="0"/>
        <v>209.26</v>
      </c>
      <c r="AH3" s="102" t="s">
        <v>27</v>
      </c>
      <c r="AI3" s="102">
        <v>5</v>
      </c>
      <c r="AJ3" s="102">
        <f>AC8</f>
        <v>219.42</v>
      </c>
      <c r="AK3" s="102" t="s">
        <v>27</v>
      </c>
      <c r="AL3" s="102">
        <v>5</v>
      </c>
      <c r="AM3" s="102">
        <f>AD8</f>
        <v>254</v>
      </c>
      <c r="AN3" s="102" t="s">
        <v>27</v>
      </c>
      <c r="AO3" s="102">
        <v>5</v>
      </c>
      <c r="AP3" s="102">
        <f>AE8</f>
        <v>231.66</v>
      </c>
      <c r="AQ3" s="102" t="s">
        <v>27</v>
      </c>
      <c r="AR3" s="102">
        <v>5</v>
      </c>
      <c r="AS3" s="102">
        <f>AF8</f>
        <v>206.7</v>
      </c>
    </row>
    <row r="4" spans="1:45" ht="15" customHeight="1">
      <c r="A4" s="7" t="s">
        <v>3</v>
      </c>
      <c r="B4" s="28">
        <f>Plan1!B4</f>
        <v>106.667</v>
      </c>
      <c r="E4" s="102" t="s">
        <v>127</v>
      </c>
      <c r="F4" s="25">
        <f>A32</f>
        <v>263.53333333333336</v>
      </c>
      <c r="G4" s="103"/>
      <c r="H4" s="103"/>
      <c r="I4" s="191">
        <v>90</v>
      </c>
      <c r="J4" s="191">
        <v>192.82</v>
      </c>
      <c r="K4" s="191">
        <v>186</v>
      </c>
      <c r="L4" s="191">
        <v>202.01</v>
      </c>
      <c r="M4" s="191">
        <v>183.37</v>
      </c>
      <c r="N4" s="16"/>
      <c r="O4" s="102" t="s">
        <v>10</v>
      </c>
      <c r="P4" s="102">
        <v>-10</v>
      </c>
      <c r="Q4" s="102">
        <f>J13</f>
        <v>228.25</v>
      </c>
      <c r="R4" s="102" t="s">
        <v>10</v>
      </c>
      <c r="S4" s="102">
        <v>-10</v>
      </c>
      <c r="T4" s="102">
        <f>K13</f>
        <v>290</v>
      </c>
      <c r="U4" s="102" t="s">
        <v>10</v>
      </c>
      <c r="V4" s="102">
        <v>-10</v>
      </c>
      <c r="W4" s="102">
        <f>L13</f>
        <v>242.36</v>
      </c>
      <c r="X4" s="102" t="s">
        <v>10</v>
      </c>
      <c r="Y4" s="102">
        <v>-10</v>
      </c>
      <c r="Z4" s="102">
        <f>M13</f>
        <v>213.6</v>
      </c>
      <c r="AA4" s="104">
        <v>303</v>
      </c>
      <c r="AB4" s="191">
        <v>90</v>
      </c>
      <c r="AC4" s="191">
        <f t="shared" ref="AC4:AC5" si="1">J4</f>
        <v>192.82</v>
      </c>
      <c r="AD4" s="191">
        <f t="shared" ref="AD4:AD5" si="2">K4</f>
        <v>186</v>
      </c>
      <c r="AE4" s="191">
        <f t="shared" ref="AE4:AE5" si="3">L4</f>
        <v>202.01</v>
      </c>
      <c r="AF4" s="191">
        <f t="shared" ref="AF4:AF5" si="4">M4</f>
        <v>183.37</v>
      </c>
      <c r="AH4" s="102" t="s">
        <v>27</v>
      </c>
      <c r="AI4" s="102">
        <v>10</v>
      </c>
      <c r="AJ4" s="102">
        <f>AC13</f>
        <v>215.8</v>
      </c>
      <c r="AK4" s="102" t="s">
        <v>27</v>
      </c>
      <c r="AL4" s="102">
        <v>10</v>
      </c>
      <c r="AM4" s="102">
        <f>AD13</f>
        <v>241</v>
      </c>
      <c r="AN4" s="102" t="s">
        <v>27</v>
      </c>
      <c r="AO4" s="102">
        <v>10</v>
      </c>
      <c r="AP4" s="102">
        <f>AE13</f>
        <v>227.32</v>
      </c>
      <c r="AQ4" s="102" t="s">
        <v>27</v>
      </c>
      <c r="AR4" s="102">
        <v>10</v>
      </c>
      <c r="AS4" s="102">
        <f>AF13</f>
        <v>203.81</v>
      </c>
    </row>
    <row r="5" spans="1:45" ht="15" customHeight="1">
      <c r="A5" s="7" t="s">
        <v>4</v>
      </c>
      <c r="B5" s="7">
        <f>Plan1!B5</f>
        <v>-1.8784359062401523</v>
      </c>
      <c r="C5" s="2"/>
      <c r="E5" s="102" t="s">
        <v>128</v>
      </c>
      <c r="F5" s="11">
        <f>B32</f>
        <v>29.798357268883333</v>
      </c>
      <c r="G5" s="103"/>
      <c r="H5" s="103"/>
      <c r="I5" s="191">
        <v>80</v>
      </c>
      <c r="J5" s="191">
        <v>164.79</v>
      </c>
      <c r="K5" s="191">
        <v>131</v>
      </c>
      <c r="L5" s="191">
        <v>171.45</v>
      </c>
      <c r="M5" s="191">
        <v>158</v>
      </c>
      <c r="N5" s="16"/>
      <c r="O5" s="102" t="s">
        <v>10</v>
      </c>
      <c r="P5" s="102">
        <v>-15</v>
      </c>
      <c r="Q5" s="102">
        <f>J18</f>
        <v>230.7</v>
      </c>
      <c r="R5" s="102" t="s">
        <v>10</v>
      </c>
      <c r="S5" s="102">
        <v>-15</v>
      </c>
      <c r="T5" s="102">
        <f>K18</f>
        <v>301</v>
      </c>
      <c r="U5" s="102" t="s">
        <v>10</v>
      </c>
      <c r="V5" s="102">
        <v>-15</v>
      </c>
      <c r="W5" s="102">
        <f>L18</f>
        <v>245.37</v>
      </c>
      <c r="X5" s="102" t="s">
        <v>10</v>
      </c>
      <c r="Y5" s="102">
        <v>-15</v>
      </c>
      <c r="Z5" s="102">
        <f>M18</f>
        <v>215.47</v>
      </c>
      <c r="AA5" s="104">
        <v>227.51</v>
      </c>
      <c r="AB5" s="191">
        <v>80</v>
      </c>
      <c r="AC5" s="191">
        <f t="shared" si="1"/>
        <v>164.79</v>
      </c>
      <c r="AD5" s="191">
        <f t="shared" si="2"/>
        <v>131</v>
      </c>
      <c r="AE5" s="191">
        <f t="shared" si="3"/>
        <v>171.45</v>
      </c>
      <c r="AF5" s="191">
        <f t="shared" si="4"/>
        <v>158</v>
      </c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</row>
    <row r="6" spans="1:45" ht="15" customHeight="1">
      <c r="A6" s="7" t="s">
        <v>5</v>
      </c>
      <c r="B6" s="29">
        <f>Plan1!B6</f>
        <v>0.85</v>
      </c>
      <c r="C6" s="6"/>
      <c r="F6" s="103"/>
      <c r="G6" s="103"/>
      <c r="H6" s="103"/>
      <c r="N6" s="16"/>
      <c r="O6" s="102" t="s">
        <v>10</v>
      </c>
      <c r="P6" s="102">
        <v>-20</v>
      </c>
      <c r="Q6" s="102">
        <f>J23</f>
        <v>232.96</v>
      </c>
      <c r="R6" s="102" t="s">
        <v>10</v>
      </c>
      <c r="S6" s="102">
        <v>-20</v>
      </c>
      <c r="T6" s="102">
        <f>K23</f>
        <v>311</v>
      </c>
      <c r="U6" s="102" t="s">
        <v>10</v>
      </c>
      <c r="V6" s="102">
        <v>-20</v>
      </c>
      <c r="W6" s="102">
        <f>L23</f>
        <v>248.17</v>
      </c>
      <c r="X6" s="102" t="s">
        <v>10</v>
      </c>
      <c r="Y6" s="102">
        <v>-20</v>
      </c>
      <c r="Z6" s="102">
        <f>M23</f>
        <v>217.17</v>
      </c>
      <c r="AA6" s="104">
        <v>202.97</v>
      </c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</row>
    <row r="7" spans="1:45">
      <c r="D7" s="238" t="s">
        <v>46</v>
      </c>
      <c r="E7" s="238"/>
      <c r="F7" s="238"/>
      <c r="I7" s="15">
        <v>-5</v>
      </c>
      <c r="J7" s="7" t="s">
        <v>6</v>
      </c>
      <c r="K7" s="7" t="s">
        <v>7</v>
      </c>
      <c r="L7" s="7" t="s">
        <v>8</v>
      </c>
      <c r="M7" s="7" t="s">
        <v>9</v>
      </c>
      <c r="N7" s="13"/>
      <c r="O7" s="102" t="s">
        <v>10</v>
      </c>
      <c r="P7" s="102">
        <v>-25</v>
      </c>
      <c r="Q7" s="102">
        <f>J28</f>
        <v>235.06</v>
      </c>
      <c r="R7" s="102" t="s">
        <v>10</v>
      </c>
      <c r="S7" s="102">
        <v>-25</v>
      </c>
      <c r="T7" s="102">
        <f>K28</f>
        <v>321</v>
      </c>
      <c r="U7" s="102" t="s">
        <v>10</v>
      </c>
      <c r="V7" s="102">
        <v>-25</v>
      </c>
      <c r="W7" s="102">
        <f>L28</f>
        <v>250.79</v>
      </c>
      <c r="X7" s="102" t="s">
        <v>10</v>
      </c>
      <c r="Y7" s="102">
        <v>-25</v>
      </c>
      <c r="Z7" s="102">
        <f>M28</f>
        <v>218.73</v>
      </c>
      <c r="AA7" s="104">
        <v>172.76</v>
      </c>
      <c r="AB7" s="15">
        <v>5</v>
      </c>
      <c r="AC7" s="7" t="s">
        <v>6</v>
      </c>
      <c r="AD7" s="7" t="s">
        <v>7</v>
      </c>
      <c r="AE7" s="7" t="s">
        <v>8</v>
      </c>
      <c r="AF7" s="7" t="s">
        <v>9</v>
      </c>
      <c r="AH7" s="102" t="s">
        <v>28</v>
      </c>
      <c r="AI7" s="9">
        <f>$B$2</f>
        <v>6.0220000000000002</v>
      </c>
      <c r="AJ7" s="11">
        <f>AJ2*(AI7-AI3)*(AI7-AI4)/((AI2-AI3)*(AI2-AI4))+AJ3*(AI7-AI2)*(AI7-AI4)/((AI3-AI2)*(AI3-AI4))+AJ4*(AI7-AI2)*(AI7-AI3)/((AI4-AI2)*(AI4-AI3))</f>
        <v>218.7109699216</v>
      </c>
      <c r="AK7" s="102" t="s">
        <v>28</v>
      </c>
      <c r="AL7" s="9">
        <f>$B$2</f>
        <v>6.0220000000000002</v>
      </c>
      <c r="AM7" s="11">
        <f>AM2*(AL7-AL3)*(AL7-AL4)/((AL2-AL3)*(AL2-AL4))+AM3*(AL7-AL2)*(AL7-AL4)/((AL3-AL2)*(AL3-AL4))+AM4*(AL7-AL2)*(AL7-AL3)/((AL4-AL2)*(AL4-AL3))</f>
        <v>251.34280000000001</v>
      </c>
      <c r="AN7" s="102" t="s">
        <v>28</v>
      </c>
      <c r="AO7" s="9">
        <f>$B$2</f>
        <v>6.0220000000000002</v>
      </c>
      <c r="AP7" s="11">
        <f>AP2*(AO7-AO3)*(AO7-AO4)/((AO2-AO3)*(AO2-AO4))+AP3*(AO7-AO2)*(AO7-AO4)/((AO3-AO2)*(AO3-AO4))+AP4*(AO7-AO2)*(AO7-AO3)/((AO4-AO2)*(AO4-AO3))</f>
        <v>230.80868054080003</v>
      </c>
      <c r="AQ7" s="102" t="s">
        <v>28</v>
      </c>
      <c r="AR7" s="9">
        <f>$B$2</f>
        <v>6.0220000000000002</v>
      </c>
      <c r="AS7" s="11">
        <f>AS2*(AR7-AR3)*(AR7-AR4)/((AR2-AR3)*(AR2-AR4))+AS3*(AR7-AR2)*(AR7-AR4)/((AR3-AR2)*(AR3-AR4))+AS4*(AR7-AR2)*(AR7-AR3)/((AR4-AR2)*(AR4-AR3))</f>
        <v>206.13611640559998</v>
      </c>
    </row>
    <row r="8" spans="1:45">
      <c r="D8" s="5"/>
      <c r="E8" s="26">
        <f>B1</f>
        <v>246.59</v>
      </c>
      <c r="I8" s="102">
        <v>100</v>
      </c>
      <c r="J8" s="102">
        <v>225.59</v>
      </c>
      <c r="K8" s="102">
        <v>279</v>
      </c>
      <c r="L8" s="102">
        <v>239.1</v>
      </c>
      <c r="M8" s="102">
        <v>211.55</v>
      </c>
      <c r="N8" s="13"/>
      <c r="O8" s="102" t="s">
        <v>11</v>
      </c>
      <c r="P8" s="9">
        <f>$B$2</f>
        <v>6.0220000000000002</v>
      </c>
      <c r="Q8" s="11">
        <f>Q2*(P8-P3)*(P8-P4)*(P8-P5)*(P8-P6)*(P8-P7)/((P2-P3)*(P2-P4)*(P2-P5)*(P2-P6)*(P2-P7))+Q3*(P8-P2)*(P8-P4)*(P8-P5)*(P8-P6)*(P8-P7)/((P3-P2)*(P3-P4)*(P3-P5)*(P3-P6)*(P3-P7))+Q4*(P8-P2)*(P8-P3)*(P8-P5)*(P8-P6)*(P8-P7)/((P4-P2)*(P4-P3)*(P4-P5)*(P4-P6)*(P4-P7))+Q5*(P8-P2)*(P8-P3)*(P8-P4)*(P8-P6)*(P8-P7)/((P5-P2)*(P5-P3)*(P5-P4)*(P5-P6)*(P5-P7))+Q6*(P8-P2)*(P8-P3)*(P8-P4)*(P8-P5)*(P8-P7)/((P6-P2)*(P6-P3)*(P6-P4)*(P6-P5)*(P6-P7))+Q7*(P8-P2)*(P8-P3)*(P8-P4)*(P8-P5)*(P8-P6)/((P7-P2)*(P7-P3)*(P7-P4)*(P7-P5)*(P7-P6))</f>
        <v>218.55042794003265</v>
      </c>
      <c r="R8" s="102" t="s">
        <v>11</v>
      </c>
      <c r="S8" s="9">
        <f>$B$2</f>
        <v>6.0220000000000002</v>
      </c>
      <c r="T8" s="11">
        <f>T2*(S8-S3)*(S8-S4)*(S8-S5)*(S8-S6)*(S8-S7)/((S2-S3)*(S2-S4)*(S2-S5)*(S2-S6)*(S2-S7))+T3*(S8-S2)*(S8-S4)*(S8-S5)*(S8-S6)*(S8-S7)/((S3-S2)*(S3-S4)*(S3-S5)*(S3-S6)*(S3-S7))+T4*(S8-S2)*(S8-S3)*(S8-S5)*(S8-S6)*(S8-S7)/((S4-S2)*(S4-S3)*(S4-S5)*(S4-S6)*(S4-S7))+T5*(S8-S2)*(S8-S3)*(S8-S4)*(S8-S6)*(S8-S7)/((S5-S2)*(S5-S3)*(S5-S4)*(S5-S6)*(S5-S7))+T6*(S8-S2)*(S8-S3)*(S8-S4)*(S8-S5)*(S8-S7)/((S6-S2)*(S6-S3)*(S6-S4)*(S6-S5)*(S6-S7))+T7*(S8-S2)*(S8-S3)*(S8-S4)*(S8-S5)*(S8-S6)/((S7-S2)*(S7-S3)*(S7-S4)*(S7-S5)*(S7-S6))</f>
        <v>240.61571032898166</v>
      </c>
      <c r="U8" s="102" t="s">
        <v>11</v>
      </c>
      <c r="V8" s="9">
        <f>$B$2</f>
        <v>6.0220000000000002</v>
      </c>
      <c r="W8" s="102">
        <f>W2*(V8-V3)*(V8-V4)*(V8-V5)*(V8-V6)*(V8-V7)/((V2-V3)*(V2-V4)*(V2-V5)*(V2-V6)*(V2-V7))+W3*(V8-V2)*(V8-V4)*(V8-V5)*(V8-V6)*(V8-V7)/((V3-V2)*(V3-V4)*(V3-V5)*(V3-V6)*(V3-V7))+W4*(V8-V2)*(V8-V3)*(V8-V5)*(V8-V6)*(V8-V7)/((V4-V2)*(V4-V3)*(V4-V5)*(V4-V6)*(V4-V7))+W5*(V8-V2)*(V8-V3)*(V8-V4)*(V8-V6)*(V8-V7)/((V5-V2)*(V5-V3)*(V5-V4)*(V5-V6)*(V5-V7))+W6*(V8-V2)*(V8-V3)*(V8-V4)*(V8-V5)*(V8-V7)/((V6-V2)*(V6-V3)*(V6-V4)*(V6-V5)*(V6-V7))+W7*(V8-V2)*(V8-V3)*(V8-V4)*(V8-V5)*(V8-V6)/((V7-V2)*(V7-V3)*(V7-V4)*(V7-V5)*(V7-V6))</f>
        <v>230.92811913036542</v>
      </c>
      <c r="X8" s="102" t="s">
        <v>11</v>
      </c>
      <c r="Y8" s="9">
        <f>$B$2</f>
        <v>6.0220000000000002</v>
      </c>
      <c r="Z8" s="11">
        <f>Z2*(Y8-Y3)*(Y8-Y4)*(Y8-Y5)*(Y8-Y6)*(Y8-Y7)/((Y2-Y3)*(Y2-Y4)*(Y2-Y5)*(Y2-Y6)*(Y2-Y7))+Z3*(Y8-Y2)*(Y8-Y4)*(Y8-Y5)*(Y8-Y6)*(Y8-Y7)/((Y3-Y2)*(Y3-Y4)*(Y3-Y5)*(Y3-Y6)*(Y3-Y7))+Z4*(Y8-Y2)*(Y8-Y3)*(Y8-Y5)*(Y8-Y6)*(Y8-Y7)/((Y4-Y2)*(Y4-Y3)*(Y4-Y5)*(Y4-Y6)*(Y4-Y7))+Z5*(Y8-Y2)*(Y8-Y3)*(Y8-Y4)*(Y8-Y6)*(Y8-Y7)/((Y5-Y2)*(Y5-Y3)*(Y5-Y4)*(Y5-Y6)*(Y5-Y7))+Z6*(Y8-Y2)*(Y8-Y3)*(Y8-Y4)*(Y8-Y5)*(Y8-Y7)/((Y6-Y2)*(Y6-Y3)*(Y6-Y4)*(Y6-Y5)*(Y6-Y7))+Z7*(Y8-Y2)*(Y8-Y3)*(Y8-Y4)*(Y8-Y5)*(Y8-Y6)/((Y7-Y2)*(Y7-Y3)*(Y7-Y4)*(Y7-Y5)*(Y7-Y6))</f>
        <v>205.91513831035991</v>
      </c>
      <c r="AA8" s="104">
        <v>234.82</v>
      </c>
      <c r="AB8" s="102">
        <v>100</v>
      </c>
      <c r="AC8" s="102">
        <v>219.42</v>
      </c>
      <c r="AD8" s="102">
        <v>254</v>
      </c>
      <c r="AE8" s="102">
        <v>231.66</v>
      </c>
      <c r="AF8" s="102">
        <v>206.7</v>
      </c>
    </row>
    <row r="9" spans="1:45">
      <c r="A9" s="4">
        <f>0*($B$6-0.9)*($B$6-0.8)/((1-0.9)*(1-0.8))+7.7*($B$6-1)*($B$6-0.8)/((0.9-1)*(0.9-0.8))+16.19*($B$6-1)*($B$6-0.9)/((0.8-1)*(0.8-0.9))+$B$1</f>
        <v>258.43625000000003</v>
      </c>
      <c r="D9" s="5"/>
      <c r="E9" s="26">
        <f>A9</f>
        <v>258.43625000000003</v>
      </c>
      <c r="I9" s="191">
        <v>90</v>
      </c>
      <c r="J9" s="191">
        <v>196.95</v>
      </c>
      <c r="K9" s="191">
        <v>198</v>
      </c>
      <c r="L9" s="191">
        <v>206.8</v>
      </c>
      <c r="M9" s="191">
        <v>186.83</v>
      </c>
      <c r="N9" s="13"/>
      <c r="Q9" s="1" t="s">
        <v>12</v>
      </c>
      <c r="R9" s="1"/>
      <c r="S9" s="1"/>
      <c r="T9" s="1" t="s">
        <v>13</v>
      </c>
      <c r="U9" s="1"/>
      <c r="V9" s="1"/>
      <c r="W9" s="1" t="s">
        <v>8</v>
      </c>
      <c r="X9" s="1"/>
      <c r="Y9" s="1"/>
      <c r="Z9" s="1" t="s">
        <v>9</v>
      </c>
      <c r="AA9" s="104">
        <v>208.22</v>
      </c>
      <c r="AB9" s="191">
        <v>90</v>
      </c>
      <c r="AC9" s="191">
        <v>188.07</v>
      </c>
      <c r="AD9" s="191">
        <v>172</v>
      </c>
      <c r="AE9" s="191">
        <v>196.55</v>
      </c>
      <c r="AF9" s="191">
        <v>179.35</v>
      </c>
      <c r="AH9" s="1"/>
      <c r="AI9" s="1"/>
      <c r="AJ9" s="1" t="s">
        <v>12</v>
      </c>
      <c r="AK9" s="1"/>
      <c r="AL9" s="1"/>
      <c r="AM9" s="1" t="s">
        <v>13</v>
      </c>
      <c r="AN9" s="1"/>
      <c r="AO9" s="1"/>
      <c r="AP9" s="1" t="s">
        <v>8</v>
      </c>
      <c r="AQ9" s="1"/>
      <c r="AR9" s="1"/>
      <c r="AS9" s="1" t="s">
        <v>9</v>
      </c>
    </row>
    <row r="10" spans="1:45">
      <c r="D10" s="3"/>
      <c r="E10" s="26">
        <f>E9-ABS((((F13-E13)/(77/(252/8.1))/(D13/100))*(E8-E14)*(E8-E15)/((E13-E14)*(E13-E15))+((F14-E14)/(77/(252/8.1))/(D14/100))*(E8-E13)*(E8-E15)/((E14-E13)*(E14-E15))+((F15-E15)/(77/(252/8.1))/(D15/100))*(E8-E13)*(E8-E14)/((E15-E13)*(E15-E14)))*(B14))</f>
        <v>258.08584548926444</v>
      </c>
      <c r="I10" s="191">
        <v>80</v>
      </c>
      <c r="J10" s="191">
        <v>170.22</v>
      </c>
      <c r="K10" s="191">
        <v>144</v>
      </c>
      <c r="L10" s="191">
        <v>177.55</v>
      </c>
      <c r="M10" s="191">
        <v>162.74</v>
      </c>
      <c r="N10" s="13"/>
      <c r="O10" s="102" t="s">
        <v>10</v>
      </c>
      <c r="P10" s="102">
        <v>0</v>
      </c>
      <c r="Q10" s="102">
        <f>J4</f>
        <v>192.82</v>
      </c>
      <c r="R10" s="102" t="s">
        <v>10</v>
      </c>
      <c r="S10" s="102">
        <v>0</v>
      </c>
      <c r="T10" s="102">
        <f>K4</f>
        <v>186</v>
      </c>
      <c r="U10" s="102" t="s">
        <v>10</v>
      </c>
      <c r="V10" s="102">
        <v>0</v>
      </c>
      <c r="W10" s="102">
        <f>L4</f>
        <v>202.01</v>
      </c>
      <c r="X10" s="102" t="s">
        <v>10</v>
      </c>
      <c r="Y10" s="102">
        <v>0</v>
      </c>
      <c r="Z10" s="102">
        <f>M4</f>
        <v>183.37</v>
      </c>
      <c r="AA10" s="104">
        <v>175.89</v>
      </c>
      <c r="AB10" s="191">
        <v>80</v>
      </c>
      <c r="AC10" s="191">
        <v>158.29</v>
      </c>
      <c r="AD10" s="191">
        <v>117</v>
      </c>
      <c r="AE10" s="191">
        <v>164.19</v>
      </c>
      <c r="AF10" s="191">
        <v>152.26</v>
      </c>
      <c r="AH10" s="102" t="s">
        <v>27</v>
      </c>
      <c r="AI10" s="102">
        <v>0</v>
      </c>
      <c r="AJ10" s="102">
        <f>AC4</f>
        <v>192.82</v>
      </c>
      <c r="AK10" s="102" t="s">
        <v>27</v>
      </c>
      <c r="AL10" s="102">
        <v>0</v>
      </c>
      <c r="AM10" s="102">
        <f>AD4</f>
        <v>186</v>
      </c>
      <c r="AN10" s="102" t="s">
        <v>27</v>
      </c>
      <c r="AO10" s="102">
        <v>0</v>
      </c>
      <c r="AP10" s="102">
        <f>AE4</f>
        <v>202.01</v>
      </c>
      <c r="AQ10" s="102" t="s">
        <v>27</v>
      </c>
      <c r="AR10" s="102">
        <v>0</v>
      </c>
      <c r="AS10" s="102">
        <f>AF4</f>
        <v>183.37</v>
      </c>
    </row>
    <row r="11" spans="1:45">
      <c r="A11" s="102" t="s">
        <v>23</v>
      </c>
      <c r="B11" s="102">
        <f>Plan1!$B$17</f>
        <v>86</v>
      </c>
      <c r="N11" s="13"/>
      <c r="O11" s="102" t="s">
        <v>10</v>
      </c>
      <c r="P11" s="102">
        <v>-5</v>
      </c>
      <c r="Q11" s="102">
        <f>J9</f>
        <v>196.95</v>
      </c>
      <c r="R11" s="102" t="s">
        <v>10</v>
      </c>
      <c r="S11" s="102">
        <v>-5</v>
      </c>
      <c r="T11" s="102">
        <f>K9</f>
        <v>198</v>
      </c>
      <c r="U11" s="102" t="s">
        <v>10</v>
      </c>
      <c r="V11" s="102">
        <v>-5</v>
      </c>
      <c r="W11" s="102">
        <f>L9</f>
        <v>206.8</v>
      </c>
      <c r="X11" s="102" t="s">
        <v>10</v>
      </c>
      <c r="Y11" s="102">
        <v>-5</v>
      </c>
      <c r="Z11" s="102">
        <f>M9</f>
        <v>186.83</v>
      </c>
      <c r="AA11" s="104">
        <v>219.63</v>
      </c>
      <c r="AH11" s="102" t="s">
        <v>27</v>
      </c>
      <c r="AI11" s="102">
        <v>5</v>
      </c>
      <c r="AJ11" s="102">
        <f>AC9</f>
        <v>188.07</v>
      </c>
      <c r="AK11" s="102" t="s">
        <v>27</v>
      </c>
      <c r="AL11" s="102">
        <v>5</v>
      </c>
      <c r="AM11" s="102">
        <f>AD9</f>
        <v>172</v>
      </c>
      <c r="AN11" s="102" t="s">
        <v>27</v>
      </c>
      <c r="AO11" s="102">
        <v>5</v>
      </c>
      <c r="AP11" s="102">
        <f>AE9</f>
        <v>196.55</v>
      </c>
      <c r="AQ11" s="102" t="s">
        <v>27</v>
      </c>
      <c r="AR11" s="102">
        <v>5</v>
      </c>
      <c r="AS11" s="102">
        <f>AF9</f>
        <v>179.35</v>
      </c>
    </row>
    <row r="12" spans="1:45">
      <c r="A12" s="102" t="s">
        <v>24</v>
      </c>
      <c r="B12" s="102">
        <f>Plan1!$B$18</f>
        <v>49.06</v>
      </c>
      <c r="D12"/>
      <c r="E12" s="1" t="s">
        <v>6</v>
      </c>
      <c r="F12" s="1" t="s">
        <v>14</v>
      </c>
      <c r="G12" s="14" t="s">
        <v>15</v>
      </c>
      <c r="I12" s="15">
        <v>-10</v>
      </c>
      <c r="J12" s="7" t="s">
        <v>6</v>
      </c>
      <c r="K12" s="7" t="s">
        <v>7</v>
      </c>
      <c r="L12" s="7" t="s">
        <v>8</v>
      </c>
      <c r="M12" s="7" t="s">
        <v>9</v>
      </c>
      <c r="N12" s="17"/>
      <c r="O12" s="102" t="s">
        <v>10</v>
      </c>
      <c r="P12" s="102">
        <v>-10</v>
      </c>
      <c r="Q12" s="102">
        <f>J14</f>
        <v>200.62</v>
      </c>
      <c r="R12" s="102" t="s">
        <v>10</v>
      </c>
      <c r="S12" s="102">
        <v>-10</v>
      </c>
      <c r="T12" s="102">
        <f>K14</f>
        <v>210</v>
      </c>
      <c r="U12" s="102" t="s">
        <v>10</v>
      </c>
      <c r="V12" s="102">
        <v>-10</v>
      </c>
      <c r="W12" s="102">
        <f>L14</f>
        <v>211.08</v>
      </c>
      <c r="X12" s="102" t="s">
        <v>10</v>
      </c>
      <c r="Y12" s="102">
        <v>-10</v>
      </c>
      <c r="Z12" s="102">
        <f>M14</f>
        <v>189.87</v>
      </c>
      <c r="AA12" s="104">
        <v>197.35</v>
      </c>
      <c r="AB12" s="15">
        <v>10</v>
      </c>
      <c r="AC12" s="7" t="s">
        <v>6</v>
      </c>
      <c r="AD12" s="7" t="s">
        <v>7</v>
      </c>
      <c r="AE12" s="7" t="s">
        <v>8</v>
      </c>
      <c r="AF12" s="7" t="s">
        <v>9</v>
      </c>
      <c r="AH12" s="102" t="s">
        <v>27</v>
      </c>
      <c r="AI12" s="102">
        <v>10</v>
      </c>
      <c r="AJ12" s="102">
        <f>AC14</f>
        <v>182.49</v>
      </c>
      <c r="AK12" s="102" t="s">
        <v>27</v>
      </c>
      <c r="AL12" s="102">
        <v>10</v>
      </c>
      <c r="AM12" s="102">
        <f>AD14</f>
        <v>157</v>
      </c>
      <c r="AN12" s="102" t="s">
        <v>27</v>
      </c>
      <c r="AO12" s="102">
        <v>10</v>
      </c>
      <c r="AP12" s="102">
        <f>AE14</f>
        <v>190.18</v>
      </c>
      <c r="AQ12" s="102" t="s">
        <v>27</v>
      </c>
      <c r="AR12" s="102">
        <v>10</v>
      </c>
      <c r="AS12" s="102">
        <f>AF14</f>
        <v>174.57</v>
      </c>
    </row>
    <row r="13" spans="1:45">
      <c r="A13" s="102" t="s">
        <v>25</v>
      </c>
      <c r="B13" s="102">
        <f>COS(RADIANS(B12))</f>
        <v>0.65526833938609963</v>
      </c>
      <c r="D13" s="10">
        <v>100</v>
      </c>
      <c r="E13" s="102">
        <v>222.66</v>
      </c>
      <c r="F13" s="102">
        <v>223.11</v>
      </c>
      <c r="G13" s="102">
        <v>222.07</v>
      </c>
      <c r="I13" s="102">
        <v>100</v>
      </c>
      <c r="J13" s="102">
        <v>228.25</v>
      </c>
      <c r="K13" s="102">
        <v>290</v>
      </c>
      <c r="L13" s="102">
        <v>242.36</v>
      </c>
      <c r="M13" s="102">
        <v>213.6</v>
      </c>
      <c r="N13" s="17"/>
      <c r="O13" s="102" t="s">
        <v>10</v>
      </c>
      <c r="P13" s="102">
        <v>-15</v>
      </c>
      <c r="Q13" s="102">
        <f>J19</f>
        <v>203.92</v>
      </c>
      <c r="R13" s="102" t="s">
        <v>10</v>
      </c>
      <c r="S13" s="102">
        <v>-15</v>
      </c>
      <c r="T13" s="102">
        <f>K19</f>
        <v>221</v>
      </c>
      <c r="U13" s="102" t="s">
        <v>10</v>
      </c>
      <c r="V13" s="102">
        <v>-15</v>
      </c>
      <c r="W13" s="102">
        <f>L19</f>
        <v>214.96</v>
      </c>
      <c r="X13" s="102" t="s">
        <v>10</v>
      </c>
      <c r="Y13" s="102">
        <v>-15</v>
      </c>
      <c r="Z13" s="102">
        <f>M19</f>
        <v>192.57</v>
      </c>
      <c r="AA13" s="104">
        <v>169.39</v>
      </c>
      <c r="AB13" s="102">
        <v>100</v>
      </c>
      <c r="AC13" s="102">
        <v>215.8</v>
      </c>
      <c r="AD13" s="102">
        <v>241</v>
      </c>
      <c r="AE13" s="102">
        <v>227.32</v>
      </c>
      <c r="AF13" s="102">
        <v>203.81</v>
      </c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</row>
    <row r="14" spans="1:45">
      <c r="A14" s="102" t="s">
        <v>26</v>
      </c>
      <c r="B14" s="109">
        <f>B5</f>
        <v>-1.8784359062401523</v>
      </c>
      <c r="D14" s="10">
        <v>90</v>
      </c>
      <c r="E14" s="191">
        <v>192.82</v>
      </c>
      <c r="F14" s="191">
        <v>193.19</v>
      </c>
      <c r="G14" s="191">
        <v>192.35</v>
      </c>
      <c r="I14" s="191">
        <v>90</v>
      </c>
      <c r="J14" s="191">
        <v>200.62</v>
      </c>
      <c r="K14" s="191">
        <v>210</v>
      </c>
      <c r="L14" s="191">
        <v>211.08</v>
      </c>
      <c r="M14" s="191">
        <v>189.87</v>
      </c>
      <c r="N14" s="17"/>
      <c r="O14" s="102" t="s">
        <v>10</v>
      </c>
      <c r="P14" s="102">
        <v>-20</v>
      </c>
      <c r="Q14" s="102">
        <f>J24</f>
        <v>206.91</v>
      </c>
      <c r="R14" s="102" t="s">
        <v>10</v>
      </c>
      <c r="S14" s="102">
        <v>-20</v>
      </c>
      <c r="T14" s="102">
        <f>K24</f>
        <v>232</v>
      </c>
      <c r="U14" s="102" t="s">
        <v>10</v>
      </c>
      <c r="V14" s="102">
        <v>-20</v>
      </c>
      <c r="W14" s="102">
        <f>L24</f>
        <v>218.5</v>
      </c>
      <c r="X14" s="102" t="s">
        <v>10</v>
      </c>
      <c r="Y14" s="102">
        <v>-20</v>
      </c>
      <c r="Z14" s="102">
        <f>M24</f>
        <v>195</v>
      </c>
      <c r="AB14" s="191">
        <v>90</v>
      </c>
      <c r="AC14" s="191">
        <v>182.49</v>
      </c>
      <c r="AD14" s="191">
        <v>157</v>
      </c>
      <c r="AE14" s="191">
        <v>190.18</v>
      </c>
      <c r="AF14" s="191">
        <v>174.57</v>
      </c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</row>
    <row r="15" spans="1:45">
      <c r="D15" s="10">
        <v>80</v>
      </c>
      <c r="E15" s="191">
        <v>164.79</v>
      </c>
      <c r="F15" s="191">
        <v>165.07</v>
      </c>
      <c r="G15" s="191">
        <v>164.44</v>
      </c>
      <c r="I15" s="191">
        <v>80</v>
      </c>
      <c r="J15" s="191">
        <v>174.89</v>
      </c>
      <c r="K15" s="191">
        <v>155</v>
      </c>
      <c r="L15" s="191">
        <v>182.84</v>
      </c>
      <c r="M15" s="191">
        <v>166.77</v>
      </c>
      <c r="N15" s="13"/>
      <c r="O15" s="102" t="s">
        <v>10</v>
      </c>
      <c r="P15" s="102">
        <v>-25</v>
      </c>
      <c r="Q15" s="102">
        <f>J29</f>
        <v>209.65</v>
      </c>
      <c r="R15" s="102" t="s">
        <v>10</v>
      </c>
      <c r="S15" s="102">
        <v>-25</v>
      </c>
      <c r="T15" s="102">
        <f>K29</f>
        <v>242</v>
      </c>
      <c r="U15" s="102" t="s">
        <v>10</v>
      </c>
      <c r="V15" s="102">
        <v>-25</v>
      </c>
      <c r="W15" s="102">
        <f>L29</f>
        <v>221.77</v>
      </c>
      <c r="X15" s="102" t="s">
        <v>10</v>
      </c>
      <c r="Y15" s="102">
        <v>-25</v>
      </c>
      <c r="Z15" s="102">
        <f>M29</f>
        <v>197.2</v>
      </c>
      <c r="AA15" s="1">
        <f>AA2-390</f>
        <v>-195</v>
      </c>
      <c r="AB15" s="191">
        <v>80</v>
      </c>
      <c r="AC15" s="191">
        <v>150.04</v>
      </c>
      <c r="AD15" s="191">
        <v>101</v>
      </c>
      <c r="AE15" s="191">
        <v>155.07</v>
      </c>
      <c r="AF15" s="191">
        <v>144.9</v>
      </c>
      <c r="AH15" s="102" t="s">
        <v>28</v>
      </c>
      <c r="AI15" s="9">
        <f>$B$2</f>
        <v>6.0220000000000002</v>
      </c>
      <c r="AJ15" s="11">
        <f>AJ10*(AI15-AI11)*(AI15-AI12)/((AI10-AI11)*(AI10-AI12))+AJ11*(AI15-AI10)*(AI15-AI12)/((AI11-AI10)*(AI11-AI12))+AJ12*(AI15-AI10)*(AI15-AI11)/((AI12-AI10)*(AI12-AI11))</f>
        <v>186.99693556559998</v>
      </c>
      <c r="AK15" s="102" t="s">
        <v>28</v>
      </c>
      <c r="AL15" s="9">
        <f>$B$2</f>
        <v>6.0220000000000002</v>
      </c>
      <c r="AM15" s="11">
        <f>AM10*(AL15-AL11)*(AL15-AL12)/((AL10-AL11)*(AL10-AL12))+AM11*(AL15-AL10)*(AL15-AL12)/((AL11-AL10)*(AL11-AL12))+AM12*(AL15-AL10)*(AL15-AL11)/((AL12-AL10)*(AL12-AL11))</f>
        <v>169.01531031999997</v>
      </c>
      <c r="AN15" s="102" t="s">
        <v>28</v>
      </c>
      <c r="AO15" s="9">
        <f>$B$2</f>
        <v>6.0220000000000002</v>
      </c>
      <c r="AP15" s="11">
        <f>AP10*(AO15-AO11)*(AO15-AO12)/((AO10-AO11)*(AO10-AO12))+AP11*(AO15-AO10)*(AO15-AO12)/((AO11-AO10)*(AO11-AO12))+AP12*(AO15-AO10)*(AO15-AO11)/((AO12-AO10)*(AO12-AO11))</f>
        <v>195.32196439120005</v>
      </c>
      <c r="AQ15" s="102" t="s">
        <v>28</v>
      </c>
      <c r="AR15" s="9">
        <f>$B$2</f>
        <v>6.0220000000000002</v>
      </c>
      <c r="AS15" s="11">
        <f>AS10*(AR15-AR11)*(AR15-AR12)/((AR10-AR11)*(AR10-AR12))+AS11*(AR15-AR10)*(AR15-AR12)/((AR11-AR10)*(AR11-AR12))+AS12*(AR15-AR10)*(AR15-AR11)/((AR12-AR10)*(AR12-AR11))</f>
        <v>178.43476384319996</v>
      </c>
    </row>
    <row r="16" spans="1:45">
      <c r="A16" s="102" t="s">
        <v>32</v>
      </c>
      <c r="B16" s="23">
        <f>$B$3*SIN(RADIANS($B$4))</f>
        <v>0.95798784374570456</v>
      </c>
      <c r="N16" s="13"/>
      <c r="O16" s="102" t="s">
        <v>11</v>
      </c>
      <c r="P16" s="9">
        <f>$B$2</f>
        <v>6.0220000000000002</v>
      </c>
      <c r="Q16" s="11">
        <f>Q10*(P16-P11)*(P16-P12)*(P16-P13)*(P16-P14)*(P16-P15)/((P10-P11)*(P10-P12)*(P10-P13)*(P10-P14)*(P10-P15))+Q11*(P16-P10)*(P16-P12)*(P16-P13)*(P16-P14)*(P16-P15)/((P11-P10)*(P11-P12)*(P11-P13)*(P11-P14)*(P11-P15))+Q12*(P16-P10)*(P16-P11)*(P16-P13)*(P16-P14)*(P16-P15)/((P12-P10)*(P12-P11)*(P12-P13)*(P12-P14)*(P12-P15))+Q13*(P16-P10)*(P16-P11)*(P16-P12)*(P16-P14)*(P16-P15)/((P13-P10)*(P13-P11)*(P13-P12)*(P13-P14)*(P13-P15))+Q14*(P16-P10)*(P16-P11)*(P16-P12)*(P16-P13)*(P16-P15)/((P14-P10)*(P14-P11)*(P14-P12)*(P14-P13)*(P14-P15))+Q15*(P16-P10)*(P16-P11)*(P16-P12)*(P16-P13)*(P16-P14)/((P15-P10)*(P15-P11)*(P15-P12)*(P15-P13)*(P15-P14))</f>
        <v>187.01631714159942</v>
      </c>
      <c r="R16" s="102" t="s">
        <v>11</v>
      </c>
      <c r="S16" s="9">
        <f>$B$2</f>
        <v>6.0220000000000002</v>
      </c>
      <c r="T16" s="11">
        <f>T10*(S16-S11)*(S16-S12)*(S16-S13)*(S16-S14)*(S16-S15)/((S10-S11)*(S10-S12)*(S10-S13)*(S10-S14)*(S10-S15))+T11*(S16-S10)*(S16-S12)*(S16-S13)*(S16-S14)*(S16-S15)/((S11-S10)*(S11-S12)*(S11-S13)*(S11-S14)*(S11-S15))+T12*(S16-S10)*(S16-S11)*(S16-S13)*(S16-S14)*(S16-S15)/((S12-S10)*(S12-S11)*(S12-S13)*(S12-S14)*(S12-S15))+T13*(S16-S10)*(S16-S11)*(S16-S12)*(S16-S14)*(S16-S15)/((S13-S10)*(S13-S11)*(S13-S12)*(S13-S14)*(S13-S15))+T14*(S16-S10)*(S16-S11)*(S16-S12)*(S16-S13)*(S16-S15)/((S14-S10)*(S14-S11)*(S14-S12)*(S14-S13)*(S14-S15))+T15*(S16-S10)*(S16-S11)*(S16-S12)*(S16-S13)*(S16-S14)/((S15-S10)*(S15-S11)*(S15-S12)*(S15-S13)*(S15-S14))</f>
        <v>182.15119999101893</v>
      </c>
      <c r="U16" s="102" t="s">
        <v>11</v>
      </c>
      <c r="V16" s="9">
        <f>$B$2</f>
        <v>6.0220000000000002</v>
      </c>
      <c r="W16" s="102">
        <f>W10*(V16-V11)*(V16-V12)*(V16-V13)*(V16-V14)*(V16-V15)/((V10-V11)*(V10-V12)*(V10-V13)*(V10-V14)*(V10-V15))+W11*(V16-V10)*(V16-V12)*(V16-V13)*(V16-V14)*(V16-V15)/((V11-V10)*(V11-V12)*(V11-V13)*(V11-V14)*(V11-V15))+W12*(V16-V10)*(V16-V11)*(V16-V13)*(V16-V14)*(V16-V15)/((V12-V10)*(V12-V11)*(V12-V13)*(V12-V14)*(V12-V15))+W13*(V16-V10)*(V16-V11)*(V16-V12)*(V16-V14)*(V16-V15)/((V13-V10)*(V13-V11)*(V13-V12)*(V13-V14)*(V13-V15))+W14*(V16-V10)*(V16-V11)*(V16-V12)*(V16-V13)*(V16-V15)/((V14-V10)*(V14-V11)*(V14-V12)*(V14-V13)*(V14-V15))+W15*(V16-V10)*(V16-V11)*(V16-V12)*(V16-V13)*(V16-V14)/((V15-V10)*(V15-V11)*(V15-V12)*(V15-V13)*(V15-V14))</f>
        <v>195.24033249542885</v>
      </c>
      <c r="X16" s="102" t="s">
        <v>11</v>
      </c>
      <c r="Y16" s="9">
        <f>$B$2</f>
        <v>6.0220000000000002</v>
      </c>
      <c r="Z16" s="11">
        <f>Z10*(Y16-Y11)*(Y16-Y12)*(Y16-Y13)*(Y16-Y14)*(Y16-Y15)/((Y10-Y11)*(Y10-Y12)*(Y10-Y13)*(Y10-Y14)*(Y10-Y15))+Z11*(Y16-Y10)*(Y16-Y12)*(Y16-Y13)*(Y16-Y14)*(Y16-Y15)/((Y11-Y10)*(Y11-Y12)*(Y11-Y13)*(Y11-Y14)*(Y11-Y15))+Z12*(Y16-Y10)*(Y16-Y11)*(Y16-Y13)*(Y16-Y14)*(Y16-Y15)/((Y12-Y10)*(Y12-Y11)*(Y12-Y13)*(Y12-Y14)*(Y12-Y15))+Z13*(Y16-Y10)*(Y16-Y11)*(Y16-Y12)*(Y16-Y14)*(Y16-Y15)/((Y13-Y10)*(Y13-Y11)*(Y13-Y12)*(Y13-Y14)*(Y13-Y15))+Z14*(Y16-Y10)*(Y16-Y11)*(Y16-Y12)*(Y16-Y13)*(Y16-Y15)/((Y14-Y10)*(Y14-Y11)*(Y14-Y12)*(Y14-Y13)*(Y14-Y15))+Z15*(Y16-Y10)*(Y16-Y11)*(Y16-Y12)*(Y16-Y13)*(Y16-Y14)/((Y15-Y10)*(Y15-Y11)*(Y15-Y12)*(Y15-Y13)*(Y15-Y14))</f>
        <v>178.54791792621779</v>
      </c>
      <c r="AA16" s="1">
        <f>AA3-390</f>
        <v>-138</v>
      </c>
    </row>
    <row r="17" spans="1:45">
      <c r="A17" s="102" t="s">
        <v>33</v>
      </c>
      <c r="B17" s="23">
        <f>$B$3*COS(RADIANS($B$4))</f>
        <v>-0.28680880606329973</v>
      </c>
      <c r="D17"/>
      <c r="F17" s="1" t="s">
        <v>38</v>
      </c>
      <c r="I17" s="15">
        <v>-15</v>
      </c>
      <c r="J17" s="7" t="s">
        <v>6</v>
      </c>
      <c r="K17" s="7" t="s">
        <v>7</v>
      </c>
      <c r="L17" s="7" t="s">
        <v>8</v>
      </c>
      <c r="M17" s="7" t="s">
        <v>9</v>
      </c>
      <c r="N17" s="13"/>
      <c r="Q17" s="1" t="s">
        <v>12</v>
      </c>
      <c r="R17" s="1"/>
      <c r="S17" s="1"/>
      <c r="T17" s="1" t="s">
        <v>13</v>
      </c>
      <c r="U17" s="1"/>
      <c r="V17" s="1"/>
      <c r="W17" s="1" t="s">
        <v>8</v>
      </c>
      <c r="X17" s="1"/>
      <c r="Y17" s="1"/>
      <c r="Z17" s="1" t="s">
        <v>9</v>
      </c>
      <c r="AA17" s="1">
        <f>AA4-390</f>
        <v>-87</v>
      </c>
      <c r="AB17" s="15"/>
      <c r="AC17" s="7"/>
      <c r="AD17" s="7"/>
      <c r="AE17" s="7"/>
      <c r="AF17" s="7"/>
      <c r="AH17" s="1"/>
      <c r="AI17" s="1"/>
      <c r="AJ17" s="1" t="s">
        <v>12</v>
      </c>
      <c r="AK17" s="1"/>
      <c r="AL17" s="1"/>
      <c r="AM17" s="1" t="s">
        <v>13</v>
      </c>
      <c r="AN17" s="1"/>
      <c r="AO17" s="1"/>
      <c r="AP17" s="1" t="s">
        <v>8</v>
      </c>
      <c r="AQ17" s="1"/>
      <c r="AR17" s="1"/>
      <c r="AS17" s="1" t="s">
        <v>9</v>
      </c>
    </row>
    <row r="18" spans="1:45">
      <c r="D18" s="10">
        <v>100</v>
      </c>
      <c r="E18" s="102">
        <f>E13</f>
        <v>222.66</v>
      </c>
      <c r="F18" s="11">
        <f>E13*((D13-(100/360))-D14)*((D13-(100/360))-D15)/((D13-D14)*(D13-D15))+E14*((D13-(100/360))-D13)*((D13-(100/360))-D15)/((D14-D13)*(D14-D15))+E15*((D13-(100/360))-D13)*((D13-(100/360))-D14)/((D15-D13)*(D15-D14))</f>
        <v>221.80667052469136</v>
      </c>
      <c r="G18" s="146">
        <v>222.07</v>
      </c>
      <c r="I18" s="102">
        <v>100</v>
      </c>
      <c r="J18" s="102">
        <v>230.7</v>
      </c>
      <c r="K18" s="102">
        <v>301</v>
      </c>
      <c r="L18" s="102">
        <v>245.37</v>
      </c>
      <c r="M18" s="102">
        <v>215.47</v>
      </c>
      <c r="N18" s="13"/>
      <c r="O18" s="102" t="s">
        <v>10</v>
      </c>
      <c r="P18" s="102">
        <v>0</v>
      </c>
      <c r="Q18" s="102">
        <f>J5</f>
        <v>164.79</v>
      </c>
      <c r="R18" s="102" t="s">
        <v>10</v>
      </c>
      <c r="S18" s="102">
        <v>0</v>
      </c>
      <c r="T18" s="102">
        <f>K5</f>
        <v>131</v>
      </c>
      <c r="U18" s="102" t="s">
        <v>10</v>
      </c>
      <c r="V18" s="102">
        <v>0</v>
      </c>
      <c r="W18" s="102">
        <f>L5</f>
        <v>171.45</v>
      </c>
      <c r="X18" s="102" t="s">
        <v>10</v>
      </c>
      <c r="Y18" s="102">
        <v>0</v>
      </c>
      <c r="Z18" s="102">
        <f>M5</f>
        <v>158</v>
      </c>
      <c r="AB18" s="102"/>
      <c r="AC18" s="102"/>
      <c r="AD18" s="102"/>
      <c r="AE18" s="102"/>
      <c r="AF18" s="102"/>
      <c r="AH18" s="102" t="s">
        <v>27</v>
      </c>
      <c r="AI18" s="102">
        <v>0</v>
      </c>
      <c r="AJ18" s="102">
        <f>AC5</f>
        <v>164.79</v>
      </c>
      <c r="AK18" s="102" t="s">
        <v>27</v>
      </c>
      <c r="AL18" s="102">
        <v>0</v>
      </c>
      <c r="AM18" s="102">
        <f>AD5</f>
        <v>131</v>
      </c>
      <c r="AN18" s="102" t="s">
        <v>27</v>
      </c>
      <c r="AO18" s="102">
        <v>0</v>
      </c>
      <c r="AP18" s="102">
        <f>AE5</f>
        <v>171.45</v>
      </c>
      <c r="AQ18" s="102" t="s">
        <v>27</v>
      </c>
      <c r="AR18" s="102">
        <v>0</v>
      </c>
      <c r="AS18" s="102">
        <f>AF5</f>
        <v>158</v>
      </c>
    </row>
    <row r="19" spans="1:45">
      <c r="A19" s="102" t="s">
        <v>31</v>
      </c>
      <c r="B19" s="102" t="s">
        <v>35</v>
      </c>
      <c r="D19" s="10">
        <v>90</v>
      </c>
      <c r="E19" s="102">
        <f>E14</f>
        <v>192.82</v>
      </c>
      <c r="F19" s="11">
        <f>E13*((D14-(100/360))-D14)*((D14-(100/360))-D15)/((D13-D14)*(D13-D15))+E14*((D14-(100/360))-D13)*((D14-(100/360))-D15)/((D14-D13)*(D14-D15))+E15*((D14-(100/360))-D13)*((D14-(100/360))-D14)/((D15-D13)*(D15-D14))</f>
        <v>192.01694830246913</v>
      </c>
      <c r="G19" s="191">
        <v>192.35</v>
      </c>
      <c r="I19" s="191">
        <v>90</v>
      </c>
      <c r="J19" s="191">
        <v>203.92</v>
      </c>
      <c r="K19" s="191">
        <v>221</v>
      </c>
      <c r="L19" s="191">
        <v>214.96</v>
      </c>
      <c r="M19" s="191">
        <v>192.57</v>
      </c>
      <c r="N19" s="13"/>
      <c r="O19" s="102" t="s">
        <v>10</v>
      </c>
      <c r="P19" s="102">
        <v>-5</v>
      </c>
      <c r="Q19" s="102">
        <f>J10</f>
        <v>170.22</v>
      </c>
      <c r="R19" s="102" t="s">
        <v>10</v>
      </c>
      <c r="S19" s="102">
        <v>-5</v>
      </c>
      <c r="T19" s="102">
        <f>K10</f>
        <v>144</v>
      </c>
      <c r="U19" s="102" t="s">
        <v>10</v>
      </c>
      <c r="V19" s="102">
        <v>-5</v>
      </c>
      <c r="W19" s="102">
        <f>L10</f>
        <v>177.55</v>
      </c>
      <c r="X19" s="102" t="s">
        <v>10</v>
      </c>
      <c r="Y19" s="102">
        <v>-5</v>
      </c>
      <c r="Z19" s="102">
        <f>M10</f>
        <v>162.74</v>
      </c>
      <c r="AB19" s="102"/>
      <c r="AC19" s="102"/>
      <c r="AD19" s="102"/>
      <c r="AE19" s="102"/>
      <c r="AF19" s="102"/>
      <c r="AH19" s="102" t="s">
        <v>27</v>
      </c>
      <c r="AI19" s="102">
        <v>5</v>
      </c>
      <c r="AJ19" s="102">
        <f>AC10</f>
        <v>158.29</v>
      </c>
      <c r="AK19" s="102" t="s">
        <v>27</v>
      </c>
      <c r="AL19" s="102">
        <v>5</v>
      </c>
      <c r="AM19" s="102">
        <f>AD10</f>
        <v>117</v>
      </c>
      <c r="AN19" s="102" t="s">
        <v>27</v>
      </c>
      <c r="AO19" s="102">
        <v>5</v>
      </c>
      <c r="AP19" s="102">
        <f>AE10</f>
        <v>164.19</v>
      </c>
      <c r="AQ19" s="102" t="s">
        <v>27</v>
      </c>
      <c r="AR19" s="102">
        <v>5</v>
      </c>
      <c r="AS19" s="102">
        <f>AF10</f>
        <v>152.26</v>
      </c>
    </row>
    <row r="20" spans="1:45">
      <c r="A20" s="22">
        <f>(F23*($E$8-E24)*($E$8-E25)/((E23-E24)*(E23-E25))+F24*($E$8-E23)*($E$8-E25)/((E24-E23)*(E24-E25))+F25*($E$8-E23)*($E$8-E24)/((E25-E23)*(E25-E24)))</f>
        <v>344.46024729896737</v>
      </c>
      <c r="B20" s="23">
        <f>(B16*A20+(A21*B14))/($E$8*(44/17.5))</f>
        <v>-0.51138538082832785</v>
      </c>
      <c r="D20" s="10">
        <v>80</v>
      </c>
      <c r="E20" s="102">
        <f>E15</f>
        <v>164.79</v>
      </c>
      <c r="F20" s="11">
        <f>E13*((D15-(100/360))-D14)*((D15-(100/360))-D15)/((D13-D14)*(D13-D15))+E14*((D15-(100/360))-D13)*((D15-(100/360))-D15)/((D14-D13)*(D14-D15))+E15*((D15-(100/360))-D13)*((D15-(100/360))-D14)/((D15-D13)*(D15-D14))</f>
        <v>164.03722608024691</v>
      </c>
      <c r="G20" s="191">
        <v>164.44</v>
      </c>
      <c r="I20" s="191">
        <v>80</v>
      </c>
      <c r="J20" s="191">
        <v>179</v>
      </c>
      <c r="K20" s="191">
        <v>166</v>
      </c>
      <c r="L20" s="191">
        <v>187.53</v>
      </c>
      <c r="M20" s="191">
        <v>170.29</v>
      </c>
      <c r="N20" s="16"/>
      <c r="O20" s="102" t="s">
        <v>10</v>
      </c>
      <c r="P20" s="102">
        <v>-10</v>
      </c>
      <c r="Q20" s="102">
        <f>J15</f>
        <v>174.89</v>
      </c>
      <c r="R20" s="102" t="s">
        <v>10</v>
      </c>
      <c r="S20" s="102">
        <v>-10</v>
      </c>
      <c r="T20" s="102">
        <f>K15</f>
        <v>155</v>
      </c>
      <c r="U20" s="102" t="s">
        <v>10</v>
      </c>
      <c r="V20" s="102">
        <v>-10</v>
      </c>
      <c r="W20" s="102">
        <f>L15</f>
        <v>182.84</v>
      </c>
      <c r="X20" s="102" t="s">
        <v>10</v>
      </c>
      <c r="Y20" s="102">
        <v>-10</v>
      </c>
      <c r="Z20" s="102">
        <f>M15</f>
        <v>166.77</v>
      </c>
      <c r="AB20" s="102"/>
      <c r="AC20" s="102"/>
      <c r="AD20" s="102"/>
      <c r="AE20" s="102"/>
      <c r="AF20" s="102"/>
      <c r="AH20" s="102" t="s">
        <v>27</v>
      </c>
      <c r="AI20" s="102">
        <v>10</v>
      </c>
      <c r="AJ20" s="102">
        <f>AC15</f>
        <v>150.04</v>
      </c>
      <c r="AK20" s="102" t="s">
        <v>27</v>
      </c>
      <c r="AL20" s="102">
        <v>10</v>
      </c>
      <c r="AM20" s="102">
        <f>AD15</f>
        <v>101</v>
      </c>
      <c r="AN20" s="102" t="s">
        <v>27</v>
      </c>
      <c r="AO20" s="102">
        <v>10</v>
      </c>
      <c r="AP20" s="102">
        <f>AE15</f>
        <v>155.07</v>
      </c>
      <c r="AQ20" s="102" t="s">
        <v>27</v>
      </c>
      <c r="AR20" s="102">
        <v>10</v>
      </c>
      <c r="AS20" s="102">
        <f>AF15</f>
        <v>144.9</v>
      </c>
    </row>
    <row r="21" spans="1:45">
      <c r="A21" s="22">
        <f>A20*1</f>
        <v>344.46024729896737</v>
      </c>
      <c r="N21" s="16"/>
      <c r="O21" s="102" t="s">
        <v>10</v>
      </c>
      <c r="P21" s="102">
        <v>-15</v>
      </c>
      <c r="Q21" s="102">
        <f>J20</f>
        <v>179</v>
      </c>
      <c r="R21" s="102" t="s">
        <v>10</v>
      </c>
      <c r="S21" s="102">
        <v>-15</v>
      </c>
      <c r="T21" s="102">
        <f>K20</f>
        <v>166</v>
      </c>
      <c r="U21" s="102" t="s">
        <v>10</v>
      </c>
      <c r="V21" s="102">
        <v>-15</v>
      </c>
      <c r="W21" s="102">
        <f>L20</f>
        <v>187.53</v>
      </c>
      <c r="X21" s="102" t="s">
        <v>10</v>
      </c>
      <c r="Y21" s="102">
        <v>-15</v>
      </c>
      <c r="Z21" s="102">
        <f>M20</f>
        <v>170.29</v>
      </c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</row>
    <row r="22" spans="1:45">
      <c r="D22"/>
      <c r="E22" s="1" t="s">
        <v>6</v>
      </c>
      <c r="F22" s="1" t="s">
        <v>7</v>
      </c>
      <c r="G22" s="1" t="s">
        <v>29</v>
      </c>
      <c r="H22" s="1" t="s">
        <v>30</v>
      </c>
      <c r="I22" s="15">
        <v>-20</v>
      </c>
      <c r="J22" s="7" t="s">
        <v>6</v>
      </c>
      <c r="K22" s="7" t="s">
        <v>7</v>
      </c>
      <c r="L22" s="7" t="s">
        <v>8</v>
      </c>
      <c r="M22" s="7" t="s">
        <v>9</v>
      </c>
      <c r="N22" s="16"/>
      <c r="O22" s="102" t="s">
        <v>10</v>
      </c>
      <c r="P22" s="102">
        <v>-20</v>
      </c>
      <c r="Q22" s="102">
        <f>J25</f>
        <v>182.67</v>
      </c>
      <c r="R22" s="102" t="s">
        <v>10</v>
      </c>
      <c r="S22" s="102">
        <v>-20</v>
      </c>
      <c r="T22" s="102">
        <f>K25</f>
        <v>177</v>
      </c>
      <c r="U22" s="102" t="s">
        <v>10</v>
      </c>
      <c r="V22" s="102">
        <v>-20</v>
      </c>
      <c r="W22" s="102">
        <f>L25</f>
        <v>191.74</v>
      </c>
      <c r="X22" s="102" t="s">
        <v>10</v>
      </c>
      <c r="Y22" s="102">
        <v>-20</v>
      </c>
      <c r="Z22" s="102">
        <f>M25</f>
        <v>173.4</v>
      </c>
      <c r="AB22" s="15"/>
      <c r="AC22" s="7"/>
      <c r="AD22" s="7"/>
      <c r="AE22" s="7"/>
      <c r="AF22" s="7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</row>
    <row r="23" spans="1:45">
      <c r="A23" s="102" t="s">
        <v>36</v>
      </c>
      <c r="B23" s="23">
        <f>$B$3*SIN(RADIANS($B$4+B20*0.707))</f>
        <v>0.95977858786580472</v>
      </c>
      <c r="D23" s="10">
        <v>100</v>
      </c>
      <c r="E23" s="102">
        <f>IF($B$2&gt;0,AJ7,Q8)</f>
        <v>218.7109699216</v>
      </c>
      <c r="F23" s="102">
        <f>IF($B$2&gt;0,AM7,T8)</f>
        <v>251.34280000000001</v>
      </c>
      <c r="G23" s="102">
        <f>IF($B$2&gt;0,AP7,W8)</f>
        <v>230.80868054080003</v>
      </c>
      <c r="H23" s="22">
        <f>IF($B$2&gt;0,AS7,Z8)</f>
        <v>206.13611640559998</v>
      </c>
      <c r="I23" s="102">
        <v>100</v>
      </c>
      <c r="J23" s="102">
        <v>232.96</v>
      </c>
      <c r="K23" s="102">
        <v>311</v>
      </c>
      <c r="L23" s="102">
        <v>248.17</v>
      </c>
      <c r="M23" s="102">
        <v>217.17</v>
      </c>
      <c r="O23" s="102" t="s">
        <v>10</v>
      </c>
      <c r="P23" s="102">
        <v>-25</v>
      </c>
      <c r="Q23" s="102">
        <f>J30</f>
        <v>185.98</v>
      </c>
      <c r="R23" s="102" t="s">
        <v>10</v>
      </c>
      <c r="S23" s="102">
        <v>-25</v>
      </c>
      <c r="T23" s="102">
        <f>K30</f>
        <v>187</v>
      </c>
      <c r="U23" s="102" t="s">
        <v>10</v>
      </c>
      <c r="V23" s="102">
        <v>-25</v>
      </c>
      <c r="W23" s="102">
        <f>L30</f>
        <v>195.58</v>
      </c>
      <c r="X23" s="102" t="s">
        <v>10</v>
      </c>
      <c r="Y23" s="102">
        <v>-25</v>
      </c>
      <c r="Z23" s="102">
        <f>M30</f>
        <v>176.18</v>
      </c>
      <c r="AB23" s="102"/>
      <c r="AC23" s="102"/>
      <c r="AD23" s="102"/>
      <c r="AE23" s="102"/>
      <c r="AF23" s="102"/>
      <c r="AH23" s="102" t="s">
        <v>28</v>
      </c>
      <c r="AI23" s="9">
        <f>$B$2</f>
        <v>6.0220000000000002</v>
      </c>
      <c r="AJ23" s="11">
        <f>AJ18*(AI23-AI19)*(AI23-AI20)/((AI18-AI19)*(AI18-AI20))+AJ19*(AI23-AI18)*(AI23-AI20)/((AI19-AI18)*(AI19-AI20))+AJ20*(AI23-AI18)*(AI23-AI19)/((AI20-AI18)*(AI20-AI19))</f>
        <v>156.74599305999999</v>
      </c>
      <c r="AK23" s="102" t="s">
        <v>28</v>
      </c>
      <c r="AL23" s="9">
        <f>$B$2</f>
        <v>6.0220000000000002</v>
      </c>
      <c r="AM23" s="11">
        <f>AM18*(AL23-AL19)*(AL23-AL20)/((AL18-AL19)*(AL18-AL20))+AM19*(AL23-AL18)*(AL23-AL20)/((AL19-AL18)*(AL19-AL20))+AM20*(AL23-AL18)*(AL23-AL19)/((AL20-AL18)*(AL20-AL19))</f>
        <v>113.89222063999999</v>
      </c>
      <c r="AN23" s="102" t="s">
        <v>28</v>
      </c>
      <c r="AO23" s="9">
        <f>$B$2</f>
        <v>6.0220000000000002</v>
      </c>
      <c r="AP23" s="11">
        <f>AP18*(AO23-AO19)*(AO23-AO20)/((AO18-AO19)*(AO18-AO20))+AP19*(AO23-AO18)*(AO23-AO20)/((AO19-AO18)*(AO19-AO20))+AP20*(AO23-AO18)*(AO23-AO19)/((AO20-AO18)*(AO20-AO19))</f>
        <v>162.4771091952</v>
      </c>
      <c r="AQ23" s="102" t="s">
        <v>28</v>
      </c>
      <c r="AR23" s="9">
        <f>$B$2</f>
        <v>6.0220000000000002</v>
      </c>
      <c r="AS23" s="11">
        <f>AS18*(AR23-AR19)*(AR23-AR20)/((AR18-AR19)*(AR18-AR20))+AS19*(AR23-AR18)*(AR23-AR20)/((AR19-AR18)*(AR19-AR20))+AS20*(AR23-AR18)*(AR23-AR19)/((AR20-AR18)*(AR20-AR19))</f>
        <v>150.8873387184</v>
      </c>
    </row>
    <row r="24" spans="1:45">
      <c r="A24" s="102" t="s">
        <v>37</v>
      </c>
      <c r="B24" s="23">
        <f>$B$3*COS(RADIANS($B$4+B20*0.5))</f>
        <v>-0.28253077174704794</v>
      </c>
      <c r="D24" s="10">
        <v>90</v>
      </c>
      <c r="E24" s="102">
        <f>IF($B$2&gt;0,AJ15,Q16)</f>
        <v>186.99693556559998</v>
      </c>
      <c r="F24" s="102">
        <f>IF($B$2&gt;0,AM15,T16)</f>
        <v>169.01531031999997</v>
      </c>
      <c r="G24" s="102">
        <f>IF($B$2&gt;0,AP15,W16)</f>
        <v>195.32196439120005</v>
      </c>
      <c r="H24" s="22">
        <f>IF($B$2&gt;0,AS15,Z16)</f>
        <v>178.43476384319996</v>
      </c>
      <c r="I24" s="191">
        <v>90</v>
      </c>
      <c r="J24" s="191">
        <v>206.91</v>
      </c>
      <c r="K24" s="191">
        <v>232</v>
      </c>
      <c r="L24" s="191">
        <v>218.5</v>
      </c>
      <c r="M24" s="191">
        <v>195</v>
      </c>
      <c r="O24" s="102" t="s">
        <v>11</v>
      </c>
      <c r="P24" s="9">
        <f>$B$2</f>
        <v>6.0220000000000002</v>
      </c>
      <c r="Q24" s="11">
        <f>Q18*(P24-P19)*(P24-P20)*(P24-P21)*(P24-P22)*(P24-P23)/((P18-P19)*(P18-P20)*(P18-P21)*(P18-P22)*(P18-P23))+Q19*(P24-P18)*(P24-P20)*(P24-P21)*(P24-P22)*(P24-P23)/((P19-P18)*(P19-P20)*(P19-P21)*(P19-P22)*(P19-P23))+Q20*(P24-P18)*(P24-P19)*(P24-P21)*(P24-P22)*(P24-P23)/((P20-P18)*(P20-P19)*(P20-P21)*(P20-P22)*(P20-P23))+Q21*(P24-P18)*(P24-P19)*(P24-P20)*(P24-P22)*(P24-P23)/((P21-P18)*(P21-P19)*(P21-P20)*(P21-P22)*(P21-P23))+Q22*(P24-P18)*(P24-P19)*(P24-P20)*(P24-P21)*(P24-P23)/((P22-P18)*(P22-P19)*(P22-P20)*(P22-P21)*(P22-P23))+Q23*(P24-P18)*(P24-P19)*(P24-P20)*(P24-P21)*(P24-P22)/((P23-P18)*(P23-P19)*(P23-P20)*(P23-P21)*(P23-P22))</f>
        <v>156.77634445736879</v>
      </c>
      <c r="R24" s="102" t="s">
        <v>11</v>
      </c>
      <c r="S24" s="9">
        <f>$B$2</f>
        <v>6.0220000000000002</v>
      </c>
      <c r="T24" s="11">
        <f>T18*(S24-S19)*(S24-S20)*(S24-S21)*(S24-S22)*(S24-S23)/((S18-S19)*(S18-S20)*(S18-S21)*(S18-S22)*(S18-S23))+T19*(S24-S18)*(S24-S20)*(S24-S21)*(S24-S22)*(S24-S23)/((S19-S18)*(S19-S20)*(S19-S21)*(S19-S22)*(S19-S23))+T20*(S24-S18)*(S24-S19)*(S24-S21)*(S24-S22)*(S24-S23)/((S20-S18)*(S20-S19)*(S20-S21)*(S20-S22)*(S20-S23))+T21*(S24-S18)*(S24-S19)*(S24-S20)*(S24-S22)*(S24-S23)/((S21-S18)*(S21-S19)*(S21-S20)*(S21-S22)*(S21-S23))+T22*(S24-S18)*(S24-S19)*(S24-S20)*(S24-S21)*(S24-S23)/((S22-S18)*(S22-S19)*(S22-S20)*(S22-S21)*(S22-S23))+T23*(S24-S18)*(S24-S19)*(S24-S20)*(S24-S21)*(S24-S22)/((S23-S18)*(S23-S19)*(S23-S20)*(S23-S21)*(S23-S22))</f>
        <v>105.31984392481212</v>
      </c>
      <c r="U24" s="102" t="s">
        <v>11</v>
      </c>
      <c r="V24" s="9">
        <f>$B$2</f>
        <v>6.0220000000000002</v>
      </c>
      <c r="W24" s="102">
        <f>W18*(V24-V19)*(V24-V20)*(V24-V21)*(V24-V22)*(V24-V23)/((V18-V19)*(V18-V20)*(V18-V21)*(V18-V22)*(V18-V23))+W19*(V24-V18)*(V24-V20)*(V24-V21)*(V24-V22)*(V24-V23)/((V19-V18)*(V19-V20)*(V19-V21)*(V19-V22)*(V19-V23))+W20*(V24-V18)*(V24-V19)*(V24-V21)*(V24-V22)*(V24-V23)/((V20-V18)*(V20-V19)*(V20-V21)*(V20-V22)*(V20-V23))+W21*(V24-V18)*(V24-V19)*(V24-V20)*(V24-V22)*(V24-V23)/((V21-V18)*(V21-V19)*(V21-V20)*(V21-V22)*(V21-V23))+W22*(V24-V18)*(V24-V19)*(V24-V20)*(V24-V21)*(V24-V23)/((V22-V18)*(V22-V19)*(V22-V20)*(V22-V21)*(V22-V23))+W23*(V24-V18)*(V24-V19)*(V24-V20)*(V24-V21)*(V24-V22)/((V23-V18)*(V23-V19)*(V23-V20)*(V23-V21)*(V23-V22))</f>
        <v>162.47188589851146</v>
      </c>
      <c r="X24" s="102" t="s">
        <v>11</v>
      </c>
      <c r="Y24" s="9">
        <f>$B$2</f>
        <v>6.0220000000000002</v>
      </c>
      <c r="Z24" s="11">
        <f>Z18*(Y24-Y19)*(Y24-Y20)*(Y24-Y21)*(Y24-Y22)*(Y24-Y23)/((Y18-Y19)*(Y18-Y20)*(Y18-Y21)*(Y18-Y22)*(Y18-Y23))+Z19*(Y24-Y18)*(Y24-Y20)*(Y24-Y21)*(Y24-Y22)*(Y24-Y23)/((Y19-Y18)*(Y19-Y20)*(Y19-Y21)*(Y19-Y22)*(Y19-Y23))+Z20*(Y24-Y18)*(Y24-Y19)*(Y24-Y21)*(Y24-Y22)*(Y24-Y23)/((Y20-Y18)*(Y20-Y19)*(Y20-Y21)*(Y20-Y22)*(Y20-Y23))+Z21*(Y24-Y18)*(Y24-Y19)*(Y24-Y20)*(Y24-Y22)*(Y24-Y23)/((Y21-Y18)*(Y21-Y19)*(Y21-Y20)*(Y21-Y22)*(Y21-Y23))+Z22*(Y24-Y18)*(Y24-Y19)*(Y24-Y20)*(Y24-Y21)*(Y24-Y23)/((Y22-Y18)*(Y22-Y19)*(Y22-Y20)*(Y22-Y21)*(Y22-Y23))+Z23*(Y24-Y18)*(Y24-Y19)*(Y24-Y20)*(Y24-Y21)*(Y24-Y22)/((Y23-Y18)*(Y23-Y19)*(Y23-Y20)*(Y23-Y21)*(Y23-Y22))</f>
        <v>150.79189430122835</v>
      </c>
      <c r="AB24" s="102"/>
      <c r="AC24" s="102"/>
      <c r="AD24" s="102"/>
      <c r="AE24" s="102"/>
      <c r="AF24" s="102"/>
    </row>
    <row r="25" spans="1:45">
      <c r="D25" s="10">
        <v>80</v>
      </c>
      <c r="E25" s="102">
        <f>IF($B$2&gt;0,AJ23,Q24)</f>
        <v>156.74599305999999</v>
      </c>
      <c r="F25" s="102">
        <f>IF($B$2&gt;0,AM23,T24)</f>
        <v>113.89222063999999</v>
      </c>
      <c r="G25" s="102">
        <f>IF($B$2&gt;0,AP23,W24)</f>
        <v>162.4771091952</v>
      </c>
      <c r="H25" s="22">
        <f>IF($B$2&gt;0,AS23,Z24)</f>
        <v>150.8873387184</v>
      </c>
      <c r="I25" s="191">
        <v>80</v>
      </c>
      <c r="J25" s="191">
        <v>182.67</v>
      </c>
      <c r="K25" s="191">
        <v>177</v>
      </c>
      <c r="L25" s="191">
        <v>191.74</v>
      </c>
      <c r="M25" s="191">
        <v>173.4</v>
      </c>
      <c r="AB25" s="102"/>
      <c r="AC25" s="102"/>
      <c r="AD25" s="102"/>
      <c r="AE25" s="102"/>
      <c r="AF25" s="102"/>
    </row>
    <row r="26" spans="1:45">
      <c r="A26" s="235" t="s">
        <v>39</v>
      </c>
      <c r="B26" s="236"/>
    </row>
    <row r="27" spans="1:45">
      <c r="A27" s="102">
        <f>F18*(E10-E19)*(E10-E20)/((E18-E19)*(E18-E20))+F19*(E10-E18)*(E10-E20)/((E19-E18)*(E19-E20))+F20*(E10-E18)*(E10-E19)/((E20-E18)*(E20-E19))</f>
        <v>257.17717353537614</v>
      </c>
      <c r="B27" s="102">
        <f>G18*(E10-E19)*(E10-E20)/((E18-E19)*(E18-E20))+G19*(E10-E18)*(E10-E20)/((E19-E18)*(E19-E20))+G20*(E10-E18)*(E10-E19)/((E20-E18)*(E20-E19))</f>
        <v>257.36375736359378</v>
      </c>
      <c r="D27"/>
      <c r="E27" s="235" t="s">
        <v>143</v>
      </c>
      <c r="F27" s="236"/>
      <c r="G27" s="12"/>
      <c r="H27" s="12"/>
      <c r="I27" s="15">
        <v>-25</v>
      </c>
      <c r="J27" s="7" t="s">
        <v>6</v>
      </c>
      <c r="K27" s="7" t="s">
        <v>7</v>
      </c>
      <c r="L27" s="7" t="s">
        <v>8</v>
      </c>
      <c r="M27" s="7" t="s">
        <v>9</v>
      </c>
      <c r="Y27" s="1"/>
      <c r="Z27" s="1"/>
      <c r="AA27" s="1"/>
      <c r="AB27" s="15"/>
      <c r="AC27" s="7"/>
      <c r="AD27" s="7"/>
      <c r="AE27" s="7"/>
      <c r="AF27" s="7"/>
    </row>
    <row r="28" spans="1:45">
      <c r="D28"/>
      <c r="E28" s="10">
        <v>100</v>
      </c>
      <c r="F28" s="11">
        <f>E23*(B24-9)*(B24--9)/((0-9)*(0--9))+G23*(B24-0)*(B24--9)/((9-0)*(9--9))+H23*(B24-0)*(B24-9)/((-9-0)*(-9-9))</f>
        <v>218.32347044903059</v>
      </c>
      <c r="G28" s="12"/>
      <c r="H28" s="12"/>
      <c r="I28" s="102">
        <v>100</v>
      </c>
      <c r="J28" s="102">
        <v>235.06</v>
      </c>
      <c r="K28" s="102">
        <v>321</v>
      </c>
      <c r="L28" s="102">
        <v>250.79</v>
      </c>
      <c r="M28" s="102">
        <v>218.73</v>
      </c>
      <c r="AB28" s="102"/>
      <c r="AC28" s="102"/>
      <c r="AD28" s="102"/>
      <c r="AE28" s="102"/>
      <c r="AF28" s="102"/>
    </row>
    <row r="29" spans="1:45">
      <c r="A29" s="102" t="s">
        <v>41</v>
      </c>
      <c r="B29" s="102" t="s">
        <v>42</v>
      </c>
      <c r="D29"/>
      <c r="E29" s="10">
        <v>90</v>
      </c>
      <c r="F29" s="11">
        <f>E24*(B24-9)*(B24--9)/((0-9)*(0--9))+G24*(B24-0)*(B24--9)/((9-0)*(9--9))+H24*(B24-0)*(B24-9)/((-9-0)*(-9-9))</f>
        <v>186.73175461597177</v>
      </c>
      <c r="G29" s="12"/>
      <c r="H29" s="12"/>
      <c r="I29" s="191">
        <v>90</v>
      </c>
      <c r="J29" s="191">
        <v>209.65</v>
      </c>
      <c r="K29" s="191">
        <v>242</v>
      </c>
      <c r="L29" s="191">
        <v>221.77</v>
      </c>
      <c r="M29" s="191">
        <v>197.2</v>
      </c>
      <c r="AB29" s="102"/>
      <c r="AC29" s="102"/>
      <c r="AD29" s="102"/>
      <c r="AE29" s="102"/>
      <c r="AF29" s="102"/>
    </row>
    <row r="30" spans="1:45">
      <c r="A30" s="23">
        <f>E28*(E10-F29)*(E10-F30)/((F28-F29)*(F28-F30))+E29*(E10-F28)*(E10-F30)/((F29-F28)*(F29-F30))+E30*(E10-F28)*(E10-F29)/((F30-F28)*(F30-F29))</f>
        <v>111.8999338750653</v>
      </c>
      <c r="B30" s="24">
        <f>(F23*(A30-D24)*(A30-D25)/((D23-D24)*(D23-D25))+F24*(A30-D23)*(A30-D25)/((D24-D23)*(D24-D25))+F25*(A30-D23)*(A30-D24)/((D25-D23)*(D25-D24)))*(B23+(B14*7/9*(A21/A20))*(A30/100))</f>
        <v>-259.74626536820915</v>
      </c>
      <c r="D30"/>
      <c r="E30" s="10">
        <v>80</v>
      </c>
      <c r="F30" s="11">
        <f>E25*(B24-9)*(B24--9)/((0-9)*(0--9))+G25*(B24-0)*(B24--9)/((9-0)*(9--9))+H25*(B24-0)*(B24-9)/((-9-0)*(-9-9))</f>
        <v>156.56401539494985</v>
      </c>
      <c r="G30" s="12"/>
      <c r="H30" s="12"/>
      <c r="I30" s="191">
        <v>80</v>
      </c>
      <c r="J30" s="191">
        <v>185.98</v>
      </c>
      <c r="K30" s="191">
        <v>187</v>
      </c>
      <c r="L30" s="191">
        <v>195.58</v>
      </c>
      <c r="M30" s="191">
        <v>176.18</v>
      </c>
      <c r="AB30" s="102"/>
      <c r="AC30" s="102"/>
      <c r="AD30" s="102"/>
      <c r="AE30" s="102"/>
      <c r="AF30" s="102"/>
    </row>
    <row r="31" spans="1:45">
      <c r="A31" s="102" t="s">
        <v>44</v>
      </c>
      <c r="B31" s="102" t="s">
        <v>43</v>
      </c>
      <c r="D31"/>
      <c r="E31" s="105" t="s">
        <v>141</v>
      </c>
      <c r="F31" s="106">
        <f>F18*($E$10-E19)*($E$10-E20)/((E18-E19)*(E18-E20))+F19*($E$10-E18)*($E$10-E20)/((E19-E18)*(E19-E20))+F20*($E$10-E18)*($E$10-E19)/((E20-E18)*(E20-E19))</f>
        <v>257.17717353537614</v>
      </c>
    </row>
    <row r="32" spans="1:45">
      <c r="A32" s="25">
        <f>(360-ROUNDDOWN((1-(A30/100))*360,0))*236/360</f>
        <v>263.53333333333336</v>
      </c>
      <c r="B32" s="11">
        <f>MOD((A30/100)*-360,1)*-(($E$10-A27)/($E$10-B27))+30</f>
        <v>29.798357268883333</v>
      </c>
      <c r="D32"/>
    </row>
    <row r="33" spans="1:45">
      <c r="D33"/>
      <c r="T33" s="14"/>
    </row>
    <row r="34" spans="1:45">
      <c r="D34"/>
      <c r="T34" s="14"/>
    </row>
    <row r="35" spans="1:45">
      <c r="D35"/>
      <c r="T35" s="14"/>
    </row>
    <row r="36" spans="1:45">
      <c r="D36"/>
      <c r="Q36" s="1" t="s">
        <v>12</v>
      </c>
      <c r="R36" s="1"/>
      <c r="S36" s="1"/>
      <c r="T36" s="1" t="s">
        <v>13</v>
      </c>
      <c r="U36" s="1"/>
      <c r="V36" s="1"/>
      <c r="W36" s="1" t="s">
        <v>8</v>
      </c>
      <c r="X36" s="1"/>
      <c r="Y36" s="1"/>
      <c r="Z36" s="1" t="s">
        <v>9</v>
      </c>
      <c r="AJ36" s="1" t="s">
        <v>12</v>
      </c>
      <c r="AK36" s="1"/>
      <c r="AL36" s="1"/>
      <c r="AM36" s="1" t="s">
        <v>13</v>
      </c>
      <c r="AN36" s="1"/>
      <c r="AO36" s="1"/>
      <c r="AP36" s="1" t="s">
        <v>8</v>
      </c>
      <c r="AQ36" s="1"/>
      <c r="AR36" s="1"/>
      <c r="AS36" s="1" t="s">
        <v>9</v>
      </c>
    </row>
    <row r="37" spans="1:45">
      <c r="D37"/>
      <c r="I37" s="15">
        <v>0</v>
      </c>
      <c r="J37" s="7" t="s">
        <v>6</v>
      </c>
      <c r="K37" s="7" t="s">
        <v>7</v>
      </c>
      <c r="L37" s="7" t="s">
        <v>8</v>
      </c>
      <c r="M37" s="7" t="s">
        <v>9</v>
      </c>
      <c r="O37" s="102" t="s">
        <v>10</v>
      </c>
      <c r="P37" s="102">
        <v>0</v>
      </c>
      <c r="Q37" s="102">
        <f>J38</f>
        <v>192.82</v>
      </c>
      <c r="R37" s="102" t="s">
        <v>10</v>
      </c>
      <c r="S37" s="102">
        <v>0</v>
      </c>
      <c r="T37" s="102">
        <f>K38</f>
        <v>186</v>
      </c>
      <c r="U37" s="102" t="s">
        <v>10</v>
      </c>
      <c r="V37" s="102">
        <v>0</v>
      </c>
      <c r="W37" s="102">
        <f>L38</f>
        <v>202.01</v>
      </c>
      <c r="X37" s="102" t="s">
        <v>10</v>
      </c>
      <c r="Y37" s="102">
        <v>0</v>
      </c>
      <c r="Z37" s="102">
        <f>M38</f>
        <v>183.37</v>
      </c>
      <c r="AB37" s="15">
        <v>0</v>
      </c>
      <c r="AC37" s="7" t="s">
        <v>6</v>
      </c>
      <c r="AD37" s="7" t="s">
        <v>7</v>
      </c>
      <c r="AE37" s="7" t="s">
        <v>8</v>
      </c>
      <c r="AF37" s="7" t="s">
        <v>9</v>
      </c>
      <c r="AH37" s="102" t="s">
        <v>27</v>
      </c>
      <c r="AI37" s="102">
        <v>0</v>
      </c>
      <c r="AJ37" s="102">
        <f>AC38</f>
        <v>192.82</v>
      </c>
      <c r="AK37" s="102" t="s">
        <v>27</v>
      </c>
      <c r="AL37" s="102">
        <v>0</v>
      </c>
      <c r="AM37" s="102">
        <f>AD38</f>
        <v>186</v>
      </c>
      <c r="AN37" s="102" t="s">
        <v>27</v>
      </c>
      <c r="AO37" s="102">
        <v>0</v>
      </c>
      <c r="AP37" s="102">
        <f>AE38</f>
        <v>202.01</v>
      </c>
      <c r="AQ37" s="102" t="s">
        <v>27</v>
      </c>
      <c r="AR37" s="102">
        <v>0</v>
      </c>
      <c r="AS37" s="102">
        <f>AF38</f>
        <v>183.37</v>
      </c>
    </row>
    <row r="38" spans="1:45">
      <c r="D38"/>
      <c r="F38" s="239" t="s">
        <v>142</v>
      </c>
      <c r="G38" s="239"/>
      <c r="H38" s="239"/>
      <c r="I38" s="102">
        <v>90</v>
      </c>
      <c r="J38" s="102">
        <v>192.82</v>
      </c>
      <c r="K38" s="102">
        <v>186</v>
      </c>
      <c r="L38" s="102">
        <v>202.01</v>
      </c>
      <c r="M38" s="102">
        <v>183.37</v>
      </c>
      <c r="O38" s="102" t="s">
        <v>10</v>
      </c>
      <c r="P38" s="102">
        <v>-5</v>
      </c>
      <c r="Q38" s="102">
        <f>J43</f>
        <v>196.95</v>
      </c>
      <c r="R38" s="102" t="s">
        <v>10</v>
      </c>
      <c r="S38" s="102">
        <v>-5</v>
      </c>
      <c r="T38" s="102">
        <f>K43</f>
        <v>198</v>
      </c>
      <c r="U38" s="102" t="s">
        <v>10</v>
      </c>
      <c r="V38" s="102">
        <v>-5</v>
      </c>
      <c r="W38" s="102">
        <f>L43</f>
        <v>206.8</v>
      </c>
      <c r="X38" s="102" t="s">
        <v>10</v>
      </c>
      <c r="Y38" s="102">
        <v>-5</v>
      </c>
      <c r="Z38" s="102">
        <f>M43</f>
        <v>186.83</v>
      </c>
      <c r="AB38" s="102">
        <v>90</v>
      </c>
      <c r="AC38" s="102">
        <f>J38</f>
        <v>192.82</v>
      </c>
      <c r="AD38" s="102">
        <f t="shared" ref="AD38:AD40" si="5">K38</f>
        <v>186</v>
      </c>
      <c r="AE38" s="102">
        <f t="shared" ref="AE38:AE40" si="6">L38</f>
        <v>202.01</v>
      </c>
      <c r="AF38" s="102">
        <f t="shared" ref="AF38:AF40" si="7">M38</f>
        <v>183.37</v>
      </c>
      <c r="AH38" s="102" t="s">
        <v>27</v>
      </c>
      <c r="AI38" s="102">
        <v>5</v>
      </c>
      <c r="AJ38" s="102">
        <f>AC43</f>
        <v>188.07</v>
      </c>
      <c r="AK38" s="102" t="s">
        <v>27</v>
      </c>
      <c r="AL38" s="102">
        <v>5</v>
      </c>
      <c r="AM38" s="102">
        <f>AD43</f>
        <v>172</v>
      </c>
      <c r="AN38" s="102" t="s">
        <v>27</v>
      </c>
      <c r="AO38" s="102">
        <v>5</v>
      </c>
      <c r="AP38" s="102">
        <f>AE43</f>
        <v>196.55</v>
      </c>
      <c r="AQ38" s="102" t="s">
        <v>27</v>
      </c>
      <c r="AR38" s="102">
        <v>5</v>
      </c>
      <c r="AS38" s="102">
        <f>AF43</f>
        <v>179.35</v>
      </c>
    </row>
    <row r="39" spans="1:45">
      <c r="F39" s="239"/>
      <c r="G39" s="239"/>
      <c r="H39" s="239"/>
      <c r="I39" s="191">
        <v>80</v>
      </c>
      <c r="J39" s="191">
        <v>164.79</v>
      </c>
      <c r="K39" s="191">
        <v>131</v>
      </c>
      <c r="L39" s="191">
        <v>171.45</v>
      </c>
      <c r="M39" s="191">
        <v>158</v>
      </c>
      <c r="N39" s="16"/>
      <c r="O39" s="102" t="s">
        <v>10</v>
      </c>
      <c r="P39" s="102">
        <v>-10</v>
      </c>
      <c r="Q39" s="102">
        <f>J48</f>
        <v>200.62</v>
      </c>
      <c r="R39" s="102" t="s">
        <v>10</v>
      </c>
      <c r="S39" s="102">
        <v>-10</v>
      </c>
      <c r="T39" s="102">
        <f>K48</f>
        <v>210</v>
      </c>
      <c r="U39" s="102" t="s">
        <v>10</v>
      </c>
      <c r="V39" s="102">
        <v>-10</v>
      </c>
      <c r="W39" s="102">
        <f>L48</f>
        <v>211.08</v>
      </c>
      <c r="X39" s="102" t="s">
        <v>10</v>
      </c>
      <c r="Y39" s="102">
        <v>-10</v>
      </c>
      <c r="Z39" s="102">
        <f>M48</f>
        <v>189.87</v>
      </c>
      <c r="AB39" s="102">
        <v>85</v>
      </c>
      <c r="AC39" s="102">
        <f t="shared" ref="AC39:AC40" si="8">J39</f>
        <v>164.79</v>
      </c>
      <c r="AD39" s="102">
        <f t="shared" si="5"/>
        <v>131</v>
      </c>
      <c r="AE39" s="102">
        <f t="shared" si="6"/>
        <v>171.45</v>
      </c>
      <c r="AF39" s="102">
        <f t="shared" si="7"/>
        <v>158</v>
      </c>
      <c r="AH39" s="102" t="s">
        <v>27</v>
      </c>
      <c r="AI39" s="102">
        <v>10</v>
      </c>
      <c r="AJ39" s="102">
        <f>AC48</f>
        <v>182.49</v>
      </c>
      <c r="AK39" s="102" t="s">
        <v>27</v>
      </c>
      <c r="AL39" s="102">
        <v>10</v>
      </c>
      <c r="AM39" s="102">
        <f>AD48</f>
        <v>157</v>
      </c>
      <c r="AN39" s="102" t="s">
        <v>27</v>
      </c>
      <c r="AO39" s="102">
        <v>10</v>
      </c>
      <c r="AP39" s="102">
        <f>AE48</f>
        <v>190.18</v>
      </c>
      <c r="AQ39" s="102" t="s">
        <v>27</v>
      </c>
      <c r="AR39" s="102">
        <v>10</v>
      </c>
      <c r="AS39" s="102">
        <f>AF48</f>
        <v>174.57</v>
      </c>
    </row>
    <row r="40" spans="1:45">
      <c r="F40" s="239"/>
      <c r="G40" s="239"/>
      <c r="H40" s="239"/>
      <c r="I40" s="102">
        <v>80</v>
      </c>
      <c r="J40" s="102">
        <v>164.79</v>
      </c>
      <c r="K40" s="102">
        <v>131</v>
      </c>
      <c r="L40" s="102">
        <v>171.45</v>
      </c>
      <c r="M40" s="102">
        <v>158</v>
      </c>
      <c r="N40" s="16"/>
      <c r="O40" s="102" t="s">
        <v>10</v>
      </c>
      <c r="P40" s="102">
        <v>-15</v>
      </c>
      <c r="Q40" s="102">
        <f>J53</f>
        <v>203.92</v>
      </c>
      <c r="R40" s="102" t="s">
        <v>10</v>
      </c>
      <c r="S40" s="102">
        <v>-15</v>
      </c>
      <c r="T40" s="102">
        <f>K53</f>
        <v>221</v>
      </c>
      <c r="U40" s="102" t="s">
        <v>10</v>
      </c>
      <c r="V40" s="102">
        <v>-15</v>
      </c>
      <c r="W40" s="102">
        <f>L53</f>
        <v>214.96</v>
      </c>
      <c r="X40" s="102" t="s">
        <v>10</v>
      </c>
      <c r="Y40" s="102">
        <v>-15</v>
      </c>
      <c r="Z40" s="102">
        <f>M53</f>
        <v>192.57</v>
      </c>
      <c r="AB40" s="102">
        <v>80</v>
      </c>
      <c r="AC40" s="102">
        <f t="shared" si="8"/>
        <v>164.79</v>
      </c>
      <c r="AD40" s="102">
        <f t="shared" si="5"/>
        <v>131</v>
      </c>
      <c r="AE40" s="102">
        <f t="shared" si="6"/>
        <v>171.45</v>
      </c>
      <c r="AF40" s="102">
        <f t="shared" si="7"/>
        <v>158</v>
      </c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</row>
    <row r="41" spans="1:45">
      <c r="N41" s="16"/>
      <c r="O41" s="102" t="s">
        <v>10</v>
      </c>
      <c r="P41" s="102">
        <v>-20</v>
      </c>
      <c r="Q41" s="102">
        <f>J58</f>
        <v>206.91</v>
      </c>
      <c r="R41" s="102" t="s">
        <v>10</v>
      </c>
      <c r="S41" s="102">
        <v>-20</v>
      </c>
      <c r="T41" s="102">
        <f>K58</f>
        <v>232</v>
      </c>
      <c r="U41" s="102" t="s">
        <v>10</v>
      </c>
      <c r="V41" s="102">
        <v>-20</v>
      </c>
      <c r="W41" s="102">
        <f>L58</f>
        <v>218.5</v>
      </c>
      <c r="X41" s="102" t="s">
        <v>10</v>
      </c>
      <c r="Y41" s="102">
        <v>-20</v>
      </c>
      <c r="Z41" s="102">
        <f>M58</f>
        <v>195</v>
      </c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</row>
    <row r="42" spans="1:45">
      <c r="I42" s="15">
        <v>-5</v>
      </c>
      <c r="J42" s="7" t="s">
        <v>6</v>
      </c>
      <c r="K42" s="7" t="s">
        <v>7</v>
      </c>
      <c r="L42" s="7" t="s">
        <v>8</v>
      </c>
      <c r="M42" s="7" t="s">
        <v>9</v>
      </c>
      <c r="N42" s="13"/>
      <c r="O42" s="102" t="s">
        <v>10</v>
      </c>
      <c r="P42" s="102">
        <v>-25</v>
      </c>
      <c r="Q42" s="102">
        <f>J63</f>
        <v>209.65</v>
      </c>
      <c r="R42" s="102" t="s">
        <v>10</v>
      </c>
      <c r="S42" s="102">
        <v>-25</v>
      </c>
      <c r="T42" s="102">
        <f>K63</f>
        <v>242</v>
      </c>
      <c r="U42" s="102" t="s">
        <v>10</v>
      </c>
      <c r="V42" s="102">
        <v>-25</v>
      </c>
      <c r="W42" s="102">
        <f>L63</f>
        <v>221.77</v>
      </c>
      <c r="X42" s="102" t="s">
        <v>10</v>
      </c>
      <c r="Y42" s="102">
        <v>-25</v>
      </c>
      <c r="Z42" s="102">
        <f>M63</f>
        <v>197.2</v>
      </c>
      <c r="AB42" s="15">
        <v>5</v>
      </c>
      <c r="AC42" s="7" t="s">
        <v>6</v>
      </c>
      <c r="AD42" s="7" t="s">
        <v>7</v>
      </c>
      <c r="AE42" s="7" t="s">
        <v>8</v>
      </c>
      <c r="AF42" s="7" t="s">
        <v>9</v>
      </c>
      <c r="AH42" s="102" t="s">
        <v>28</v>
      </c>
      <c r="AI42" s="9">
        <f>$B$2</f>
        <v>6.0220000000000002</v>
      </c>
      <c r="AJ42" s="11">
        <f>AJ37*(AI42-AI38)*(AI42-AI39)/((AI37-AI38)*(AI37-AI39))+AJ38*(AI42-AI37)*(AI42-AI39)/((AI38-AI37)*(AI38-AI39))+AJ39*(AI42-AI37)*(AI42-AI38)/((AI39-AI37)*(AI39-AI38))</f>
        <v>186.99693556559998</v>
      </c>
      <c r="AK42" s="102" t="s">
        <v>28</v>
      </c>
      <c r="AL42" s="9">
        <f>$B$2</f>
        <v>6.0220000000000002</v>
      </c>
      <c r="AM42" s="11">
        <f>AM37*(AL42-AL38)*(AL42-AL39)/((AL37-AL38)*(AL37-AL39))+AM38*(AL42-AL37)*(AL42-AL39)/((AL38-AL37)*(AL38-AL39))+AM39*(AL42-AL37)*(AL42-AL38)/((AL39-AL37)*(AL39-AL38))</f>
        <v>169.01531031999997</v>
      </c>
      <c r="AN42" s="102" t="s">
        <v>28</v>
      </c>
      <c r="AO42" s="9">
        <f>$B$2</f>
        <v>6.0220000000000002</v>
      </c>
      <c r="AP42" s="11">
        <f>AP37*(AO42-AO38)*(AO42-AO39)/((AO37-AO38)*(AO37-AO39))+AP38*(AO42-AO37)*(AO42-AO39)/((AO38-AO37)*(AO38-AO39))+AP39*(AO42-AO37)*(AO42-AO38)/((AO39-AO37)*(AO39-AO38))</f>
        <v>195.32196439120005</v>
      </c>
      <c r="AQ42" s="102" t="s">
        <v>28</v>
      </c>
      <c r="AR42" s="9">
        <f>$B$2</f>
        <v>6.0220000000000002</v>
      </c>
      <c r="AS42" s="11">
        <f>AS37*(AR42-AR38)*(AR42-AR39)/((AR37-AR38)*(AR37-AR39))+AS38*(AR42-AR37)*(AR42-AR39)/((AR38-AR37)*(AR38-AR39))+AS39*(AR42-AR37)*(AR42-AR38)/((AR39-AR37)*(AR39-AR38))</f>
        <v>178.43476384319996</v>
      </c>
    </row>
    <row r="43" spans="1:45">
      <c r="D43" s="238" t="s">
        <v>46</v>
      </c>
      <c r="E43" s="238"/>
      <c r="F43" s="238"/>
      <c r="I43" s="102">
        <v>90</v>
      </c>
      <c r="J43" s="102">
        <v>196.95</v>
      </c>
      <c r="K43" s="102">
        <v>198</v>
      </c>
      <c r="L43" s="102">
        <v>206.8</v>
      </c>
      <c r="M43" s="102">
        <v>186.83</v>
      </c>
      <c r="N43" s="13"/>
      <c r="O43" s="102" t="s">
        <v>11</v>
      </c>
      <c r="P43" s="9">
        <f>$B$2</f>
        <v>6.0220000000000002</v>
      </c>
      <c r="Q43" s="11">
        <f>Q37*(P43-P38)*(P43-P39)*(P43-P40)*(P43-P41)*(P43-P42)/((P37-P38)*(P37-P39)*(P37-P40)*(P37-P41)*(P37-P42))+Q38*(P43-P37)*(P43-P39)*(P43-P40)*(P43-P41)*(P43-P42)/((P38-P37)*(P38-P39)*(P38-P40)*(P38-P41)*(P38-P42))+Q39*(P43-P37)*(P43-P38)*(P43-P40)*(P43-P41)*(P43-P42)/((P39-P37)*(P39-P38)*(P39-P40)*(P39-P41)*(P39-P42))+Q40*(P43-P37)*(P43-P38)*(P43-P39)*(P43-P41)*(P43-P42)/((P40-P37)*(P40-P38)*(P40-P39)*(P40-P41)*(P40-P42))+Q41*(P43-P37)*(P43-P38)*(P43-P39)*(P43-P40)*(P43-P42)/((P41-P37)*(P41-P38)*(P41-P39)*(P41-P40)*(P41-P42))+Q42*(P43-P37)*(P43-P38)*(P43-P39)*(P43-P40)*(P43-P41)/((P42-P37)*(P42-P38)*(P42-P39)*(P42-P40)*(P42-P41))</f>
        <v>187.01631714159942</v>
      </c>
      <c r="R43" s="102" t="s">
        <v>11</v>
      </c>
      <c r="S43" s="9">
        <f>$B$2</f>
        <v>6.0220000000000002</v>
      </c>
      <c r="T43" s="11">
        <f>T37*(S43-S38)*(S43-S39)*(S43-S40)*(S43-S41)*(S43-S42)/((S37-S38)*(S37-S39)*(S37-S40)*(S37-S41)*(S37-S42))+T38*(S43-S37)*(S43-S39)*(S43-S40)*(S43-S41)*(S43-S42)/((S38-S37)*(S38-S39)*(S38-S40)*(S38-S41)*(S38-S42))+T39*(S43-S37)*(S43-S38)*(S43-S40)*(S43-S41)*(S43-S42)/((S39-S37)*(S39-S38)*(S39-S40)*(S39-S41)*(S39-S42))+T40*(S43-S37)*(S43-S38)*(S43-S39)*(S43-S41)*(S43-S42)/((S40-S37)*(S40-S38)*(S40-S39)*(S40-S41)*(S40-S42))+T41*(S43-S37)*(S43-S38)*(S43-S39)*(S43-S40)*(S43-S42)/((S41-S37)*(S41-S38)*(S41-S39)*(S41-S40)*(S41-S42))+T42*(S43-S37)*(S43-S38)*(S43-S39)*(S43-S40)*(S43-S41)/((S42-S37)*(S42-S38)*(S42-S39)*(S42-S40)*(S42-S41))</f>
        <v>182.15119999101893</v>
      </c>
      <c r="U43" s="102" t="s">
        <v>11</v>
      </c>
      <c r="V43" s="9">
        <f>$B$2</f>
        <v>6.0220000000000002</v>
      </c>
      <c r="W43" s="102">
        <f>W37*(V43-V38)*(V43-V39)*(V43-V40)*(V43-V41)*(V43-V42)/((V37-V38)*(V37-V39)*(V37-V40)*(V37-V41)*(V37-V42))+W38*(V43-V37)*(V43-V39)*(V43-V40)*(V43-V41)*(V43-V42)/((V38-V37)*(V38-V39)*(V38-V40)*(V38-V41)*(V38-V42))+W39*(V43-V37)*(V43-V38)*(V43-V40)*(V43-V41)*(V43-V42)/((V39-V37)*(V39-V38)*(V39-V40)*(V39-V41)*(V39-V42))+W40*(V43-V37)*(V43-V38)*(V43-V39)*(V43-V41)*(V43-V42)/((V40-V37)*(V40-V38)*(V40-V39)*(V40-V41)*(V40-V42))+W41*(V43-V37)*(V43-V38)*(V43-V39)*(V43-V40)*(V43-V42)/((V41-V37)*(V41-V38)*(V41-V39)*(V41-V40)*(V41-V42))+W42*(V43-V37)*(V43-V38)*(V43-V39)*(V43-V40)*(V43-V41)/((V42-V37)*(V42-V38)*(V42-V39)*(V42-V40)*(V42-V41))</f>
        <v>195.24033249542885</v>
      </c>
      <c r="X43" s="102" t="s">
        <v>11</v>
      </c>
      <c r="Y43" s="9">
        <f>$B$2</f>
        <v>6.0220000000000002</v>
      </c>
      <c r="Z43" s="11">
        <f>Z37*(Y43-Y38)*(Y43-Y39)*(Y43-Y40)*(Y43-Y41)*(Y43-Y42)/((Y37-Y38)*(Y37-Y39)*(Y37-Y40)*(Y37-Y41)*(Y37-Y42))+Z38*(Y43-Y37)*(Y43-Y39)*(Y43-Y40)*(Y43-Y41)*(Y43-Y42)/((Y38-Y37)*(Y38-Y39)*(Y38-Y40)*(Y38-Y41)*(Y38-Y42))+Z39*(Y43-Y37)*(Y43-Y38)*(Y43-Y40)*(Y43-Y41)*(Y43-Y42)/((Y39-Y37)*(Y39-Y38)*(Y39-Y40)*(Y39-Y41)*(Y39-Y42))+Z40*(Y43-Y37)*(Y43-Y38)*(Y43-Y39)*(Y43-Y41)*(Y43-Y42)/((Y40-Y37)*(Y40-Y38)*(Y40-Y39)*(Y40-Y41)*(Y40-Y42))+Z41*(Y43-Y37)*(Y43-Y38)*(Y43-Y39)*(Y43-Y40)*(Y43-Y42)/((Y41-Y37)*(Y41-Y38)*(Y41-Y39)*(Y41-Y40)*(Y41-Y42))+Z42*(Y43-Y37)*(Y43-Y38)*(Y43-Y39)*(Y43-Y40)*(Y43-Y41)/((Y42-Y37)*(Y42-Y38)*(Y42-Y39)*(Y42-Y40)*(Y42-Y41))</f>
        <v>178.54791792621779</v>
      </c>
      <c r="AB43" s="102">
        <v>90</v>
      </c>
      <c r="AC43" s="102">
        <v>188.07</v>
      </c>
      <c r="AD43" s="102">
        <v>172</v>
      </c>
      <c r="AE43" s="102">
        <v>196.55</v>
      </c>
      <c r="AF43" s="102">
        <v>179.35</v>
      </c>
    </row>
    <row r="44" spans="1:45">
      <c r="A44" s="4">
        <f>0*($B$6-0.9)*($B$6-0.8)/((1-0.9)*(1-0.8))+7.7*($B$6-1)*($B$6-0.8)/((0.9-1)*(0.9-0.8))+16.19*($B$6-1)*($B$6-0.9)/((0.8-1)*(0.8-0.9))+$B$1</f>
        <v>258.43625000000003</v>
      </c>
      <c r="D44" s="5"/>
      <c r="E44" s="26">
        <f>B1</f>
        <v>246.59</v>
      </c>
      <c r="I44" s="191">
        <v>80</v>
      </c>
      <c r="J44" s="191">
        <v>170.22</v>
      </c>
      <c r="K44" s="191">
        <v>144</v>
      </c>
      <c r="L44" s="191">
        <v>177.55</v>
      </c>
      <c r="M44" s="191">
        <v>162.74</v>
      </c>
      <c r="N44" s="13"/>
      <c r="Q44" s="1" t="s">
        <v>12</v>
      </c>
      <c r="R44" s="1"/>
      <c r="S44" s="1"/>
      <c r="T44" s="1" t="s">
        <v>13</v>
      </c>
      <c r="U44" s="1"/>
      <c r="V44" s="1"/>
      <c r="W44" s="1" t="s">
        <v>8</v>
      </c>
      <c r="X44" s="1"/>
      <c r="Y44" s="1"/>
      <c r="Z44" s="1" t="s">
        <v>9</v>
      </c>
      <c r="AB44" s="102">
        <v>85</v>
      </c>
      <c r="AC44" s="102">
        <v>172.91</v>
      </c>
      <c r="AD44" s="102">
        <v>142</v>
      </c>
      <c r="AE44" s="102">
        <v>179.97</v>
      </c>
      <c r="AF44" s="102">
        <v>165.66</v>
      </c>
      <c r="AH44" s="1"/>
      <c r="AI44" s="1"/>
      <c r="AJ44" s="1" t="s">
        <v>12</v>
      </c>
      <c r="AK44" s="1"/>
      <c r="AL44" s="1"/>
      <c r="AM44" s="1" t="s">
        <v>13</v>
      </c>
      <c r="AN44" s="1"/>
      <c r="AO44" s="1"/>
      <c r="AP44" s="1" t="s">
        <v>8</v>
      </c>
      <c r="AQ44" s="1"/>
      <c r="AR44" s="1"/>
      <c r="AS44" s="1" t="s">
        <v>9</v>
      </c>
    </row>
    <row r="45" spans="1:45">
      <c r="D45" s="5"/>
      <c r="E45" s="26">
        <f>A44</f>
        <v>258.43625000000003</v>
      </c>
      <c r="I45" s="102">
        <v>80</v>
      </c>
      <c r="J45" s="102">
        <v>170.22</v>
      </c>
      <c r="K45" s="102">
        <v>144</v>
      </c>
      <c r="L45" s="102">
        <v>177.55</v>
      </c>
      <c r="M45" s="102">
        <v>162.74</v>
      </c>
      <c r="N45" s="13"/>
      <c r="O45" s="102" t="s">
        <v>10</v>
      </c>
      <c r="P45" s="102">
        <v>0</v>
      </c>
      <c r="Q45" s="102">
        <f>J39</f>
        <v>164.79</v>
      </c>
      <c r="R45" s="102" t="s">
        <v>10</v>
      </c>
      <c r="S45" s="102">
        <v>0</v>
      </c>
      <c r="T45" s="102">
        <f>K39</f>
        <v>131</v>
      </c>
      <c r="U45" s="102" t="s">
        <v>10</v>
      </c>
      <c r="V45" s="102">
        <v>0</v>
      </c>
      <c r="W45" s="102">
        <f>L39</f>
        <v>171.45</v>
      </c>
      <c r="X45" s="102" t="s">
        <v>10</v>
      </c>
      <c r="Y45" s="102">
        <v>0</v>
      </c>
      <c r="Z45" s="102">
        <f>M39</f>
        <v>158</v>
      </c>
      <c r="AB45" s="102">
        <v>80</v>
      </c>
      <c r="AC45" s="102">
        <v>158.29</v>
      </c>
      <c r="AD45" s="102">
        <v>117</v>
      </c>
      <c r="AE45" s="102">
        <v>164.19</v>
      </c>
      <c r="AF45" s="102">
        <v>152.26</v>
      </c>
      <c r="AH45" s="102" t="s">
        <v>27</v>
      </c>
      <c r="AI45" s="102">
        <v>0</v>
      </c>
      <c r="AJ45" s="102">
        <f>AC39</f>
        <v>164.79</v>
      </c>
      <c r="AK45" s="102" t="s">
        <v>27</v>
      </c>
      <c r="AL45" s="102">
        <v>0</v>
      </c>
      <c r="AM45" s="102">
        <f>AD39</f>
        <v>131</v>
      </c>
      <c r="AN45" s="102" t="s">
        <v>27</v>
      </c>
      <c r="AO45" s="102">
        <v>0</v>
      </c>
      <c r="AP45" s="102">
        <f>AE39</f>
        <v>171.45</v>
      </c>
      <c r="AQ45" s="102" t="s">
        <v>27</v>
      </c>
      <c r="AR45" s="102">
        <v>0</v>
      </c>
      <c r="AS45" s="102">
        <f>AF39</f>
        <v>158</v>
      </c>
    </row>
    <row r="46" spans="1:45">
      <c r="A46" s="102" t="s">
        <v>23</v>
      </c>
      <c r="B46" s="102">
        <f>Plan1!$B$17</f>
        <v>86</v>
      </c>
      <c r="D46" s="3"/>
      <c r="E46" s="26">
        <f>E45-ABS((((F49-E49)/(77/(252/8.1))/(D49/100))*(E44-E50)*(E44-E51)/((E49-E50)*(E49-E51))+((F50-E50)/(77/(252/8.1))/(D50/100))*(E44-E49)*(E44-E51)/((E50-E49)*(E50-E51))+((F51-E51)/(77/(252/8.1))/(D51/100))*(E44-E49)*(E44-E50)/((E51-E49)*(E51-E50)))*(B49))</f>
        <v>257.97710696800357</v>
      </c>
      <c r="N46" s="13"/>
      <c r="O46" s="102" t="s">
        <v>10</v>
      </c>
      <c r="P46" s="102">
        <v>-5</v>
      </c>
      <c r="Q46" s="102">
        <f>J44</f>
        <v>170.22</v>
      </c>
      <c r="R46" s="102" t="s">
        <v>10</v>
      </c>
      <c r="S46" s="102">
        <v>-5</v>
      </c>
      <c r="T46" s="102">
        <f>K44</f>
        <v>144</v>
      </c>
      <c r="U46" s="102" t="s">
        <v>10</v>
      </c>
      <c r="V46" s="102">
        <v>-5</v>
      </c>
      <c r="W46" s="102">
        <f>L44</f>
        <v>177.55</v>
      </c>
      <c r="X46" s="102" t="s">
        <v>10</v>
      </c>
      <c r="Y46" s="102">
        <v>-5</v>
      </c>
      <c r="Z46" s="102">
        <f>M44</f>
        <v>162.74</v>
      </c>
      <c r="AH46" s="102" t="s">
        <v>27</v>
      </c>
      <c r="AI46" s="102">
        <v>5</v>
      </c>
      <c r="AJ46" s="102">
        <f>AC44</f>
        <v>172.91</v>
      </c>
      <c r="AK46" s="102" t="s">
        <v>27</v>
      </c>
      <c r="AL46" s="102">
        <v>5</v>
      </c>
      <c r="AM46" s="102">
        <f>AD44</f>
        <v>142</v>
      </c>
      <c r="AN46" s="102" t="s">
        <v>27</v>
      </c>
      <c r="AO46" s="102">
        <v>5</v>
      </c>
      <c r="AP46" s="102">
        <f>AE44</f>
        <v>179.97</v>
      </c>
      <c r="AQ46" s="102" t="s">
        <v>27</v>
      </c>
      <c r="AR46" s="102">
        <v>5</v>
      </c>
      <c r="AS46" s="102">
        <f>AF44</f>
        <v>165.66</v>
      </c>
    </row>
    <row r="47" spans="1:45">
      <c r="A47" s="102" t="s">
        <v>24</v>
      </c>
      <c r="B47" s="102">
        <f>Plan1!$B$18</f>
        <v>49.06</v>
      </c>
      <c r="I47" s="15">
        <v>-10</v>
      </c>
      <c r="J47" s="7" t="s">
        <v>6</v>
      </c>
      <c r="K47" s="7" t="s">
        <v>7</v>
      </c>
      <c r="L47" s="7" t="s">
        <v>8</v>
      </c>
      <c r="M47" s="7" t="s">
        <v>9</v>
      </c>
      <c r="N47" s="17"/>
      <c r="O47" s="102" t="s">
        <v>10</v>
      </c>
      <c r="P47" s="102">
        <v>-10</v>
      </c>
      <c r="Q47" s="102">
        <f>J49</f>
        <v>187.46</v>
      </c>
      <c r="R47" s="102" t="s">
        <v>10</v>
      </c>
      <c r="S47" s="102">
        <v>-10</v>
      </c>
      <c r="T47" s="102">
        <f>K49</f>
        <v>180</v>
      </c>
      <c r="U47" s="102" t="s">
        <v>10</v>
      </c>
      <c r="V47" s="102">
        <v>-10</v>
      </c>
      <c r="W47" s="102">
        <f>L49</f>
        <v>196.54</v>
      </c>
      <c r="X47" s="102" t="s">
        <v>10</v>
      </c>
      <c r="Y47" s="102">
        <v>-10</v>
      </c>
      <c r="Z47" s="102">
        <f>M49</f>
        <v>178.15</v>
      </c>
      <c r="AB47" s="15">
        <v>10</v>
      </c>
      <c r="AC47" s="7" t="s">
        <v>6</v>
      </c>
      <c r="AD47" s="7" t="s">
        <v>7</v>
      </c>
      <c r="AE47" s="7" t="s">
        <v>8</v>
      </c>
      <c r="AF47" s="7" t="s">
        <v>9</v>
      </c>
      <c r="AH47" s="102" t="s">
        <v>27</v>
      </c>
      <c r="AI47" s="102">
        <v>10</v>
      </c>
      <c r="AJ47" s="102">
        <f>AC49</f>
        <v>166.09</v>
      </c>
      <c r="AK47" s="102" t="s">
        <v>27</v>
      </c>
      <c r="AL47" s="102">
        <v>10</v>
      </c>
      <c r="AM47" s="102">
        <f>AD49</f>
        <v>126</v>
      </c>
      <c r="AN47" s="102" t="s">
        <v>27</v>
      </c>
      <c r="AO47" s="102">
        <v>10</v>
      </c>
      <c r="AP47" s="102">
        <f>AE49</f>
        <v>172.33</v>
      </c>
      <c r="AQ47" s="102" t="s">
        <v>27</v>
      </c>
      <c r="AR47" s="102">
        <v>10</v>
      </c>
      <c r="AS47" s="102">
        <f>AF49</f>
        <v>159.69</v>
      </c>
    </row>
    <row r="48" spans="1:45">
      <c r="A48" s="102" t="s">
        <v>25</v>
      </c>
      <c r="B48" s="102">
        <f>COS(RADIANS(B47))</f>
        <v>0.65526833938609963</v>
      </c>
      <c r="D48"/>
      <c r="E48" s="1" t="s">
        <v>6</v>
      </c>
      <c r="F48" s="1" t="s">
        <v>14</v>
      </c>
      <c r="G48" s="14" t="s">
        <v>15</v>
      </c>
      <c r="I48" s="102">
        <v>90</v>
      </c>
      <c r="J48" s="102">
        <v>200.62</v>
      </c>
      <c r="K48" s="102">
        <v>210</v>
      </c>
      <c r="L48" s="102">
        <v>211.08</v>
      </c>
      <c r="M48" s="102">
        <v>189.87</v>
      </c>
      <c r="N48" s="17"/>
      <c r="O48" s="102" t="s">
        <v>10</v>
      </c>
      <c r="P48" s="102">
        <v>-15</v>
      </c>
      <c r="Q48" s="102">
        <f>J54</f>
        <v>191.17</v>
      </c>
      <c r="R48" s="102" t="s">
        <v>10</v>
      </c>
      <c r="S48" s="102">
        <v>-15</v>
      </c>
      <c r="T48" s="102">
        <f>K54</f>
        <v>191</v>
      </c>
      <c r="U48" s="102" t="s">
        <v>10</v>
      </c>
      <c r="V48" s="102">
        <v>-15</v>
      </c>
      <c r="W48" s="102">
        <f>L54</f>
        <v>200.84</v>
      </c>
      <c r="X48" s="102" t="s">
        <v>10</v>
      </c>
      <c r="Y48" s="102">
        <v>-15</v>
      </c>
      <c r="Z48" s="102">
        <f>M54</f>
        <v>181.27</v>
      </c>
      <c r="AB48" s="102">
        <v>90</v>
      </c>
      <c r="AC48" s="102">
        <v>182.49</v>
      </c>
      <c r="AD48" s="102">
        <v>157</v>
      </c>
      <c r="AE48" s="102">
        <v>190.18</v>
      </c>
      <c r="AF48" s="102">
        <v>174.57</v>
      </c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</row>
    <row r="49" spans="1:45">
      <c r="A49" s="102" t="s">
        <v>26</v>
      </c>
      <c r="B49" s="102">
        <f>B5</f>
        <v>-1.8784359062401523</v>
      </c>
      <c r="D49" s="102">
        <v>90</v>
      </c>
      <c r="E49" s="102">
        <v>192.82</v>
      </c>
      <c r="F49" s="102">
        <v>193.19</v>
      </c>
      <c r="G49" s="102">
        <v>192.35</v>
      </c>
      <c r="I49" s="102">
        <v>85</v>
      </c>
      <c r="J49" s="102">
        <v>187.46</v>
      </c>
      <c r="K49" s="102">
        <v>180</v>
      </c>
      <c r="L49" s="102">
        <v>196.54</v>
      </c>
      <c r="M49" s="102">
        <v>178.15</v>
      </c>
      <c r="N49" s="17"/>
      <c r="O49" s="102" t="s">
        <v>10</v>
      </c>
      <c r="P49" s="102">
        <v>-20</v>
      </c>
      <c r="Q49" s="102">
        <f>J59</f>
        <v>194.51</v>
      </c>
      <c r="R49" s="102" t="s">
        <v>10</v>
      </c>
      <c r="S49" s="102">
        <v>-20</v>
      </c>
      <c r="T49" s="102">
        <f>K59</f>
        <v>202</v>
      </c>
      <c r="U49" s="102" t="s">
        <v>10</v>
      </c>
      <c r="V49" s="102">
        <v>-20</v>
      </c>
      <c r="W49" s="102">
        <f>L59</f>
        <v>204.73</v>
      </c>
      <c r="X49" s="102" t="s">
        <v>10</v>
      </c>
      <c r="Y49" s="102">
        <v>-20</v>
      </c>
      <c r="Z49" s="102">
        <f>M59</f>
        <v>184.05</v>
      </c>
      <c r="AB49" s="102">
        <v>85</v>
      </c>
      <c r="AC49" s="102">
        <v>166.09</v>
      </c>
      <c r="AD49" s="102">
        <v>126</v>
      </c>
      <c r="AE49" s="102">
        <v>172.33</v>
      </c>
      <c r="AF49" s="102">
        <v>159.69</v>
      </c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</row>
    <row r="50" spans="1:45">
      <c r="D50" s="102">
        <v>85</v>
      </c>
      <c r="E50" s="102">
        <v>178.5</v>
      </c>
      <c r="F50" s="102">
        <v>178.82000000000002</v>
      </c>
      <c r="G50" s="102">
        <v>178.09</v>
      </c>
      <c r="I50" s="102">
        <v>80</v>
      </c>
      <c r="J50" s="102">
        <v>174.89</v>
      </c>
      <c r="K50" s="102">
        <v>155</v>
      </c>
      <c r="L50" s="102">
        <v>182.84</v>
      </c>
      <c r="M50" s="102">
        <v>166.77</v>
      </c>
      <c r="N50" s="13"/>
      <c r="O50" s="102" t="s">
        <v>10</v>
      </c>
      <c r="P50" s="102">
        <v>-25</v>
      </c>
      <c r="Q50" s="102">
        <f>J64</f>
        <v>197.56</v>
      </c>
      <c r="R50" s="102" t="s">
        <v>10</v>
      </c>
      <c r="S50" s="102">
        <v>-25</v>
      </c>
      <c r="T50" s="102">
        <f>K64</f>
        <v>212</v>
      </c>
      <c r="U50" s="102" t="s">
        <v>10</v>
      </c>
      <c r="V50" s="102">
        <v>-25</v>
      </c>
      <c r="W50" s="102">
        <f>L64</f>
        <v>208.3</v>
      </c>
      <c r="X50" s="102" t="s">
        <v>10</v>
      </c>
      <c r="Y50" s="102">
        <v>-25</v>
      </c>
      <c r="Z50" s="102">
        <f>M64</f>
        <v>186.55</v>
      </c>
      <c r="AB50" s="102">
        <v>80</v>
      </c>
      <c r="AC50" s="102">
        <v>150.04</v>
      </c>
      <c r="AD50" s="102">
        <v>101</v>
      </c>
      <c r="AE50" s="102">
        <v>155.07</v>
      </c>
      <c r="AF50" s="102">
        <v>144.9</v>
      </c>
      <c r="AH50" s="102" t="s">
        <v>28</v>
      </c>
      <c r="AI50" s="9">
        <f>$B$2</f>
        <v>6.0220000000000002</v>
      </c>
      <c r="AJ50" s="11">
        <f>AJ45*(AI50-AI46)*(AI50-AI47)/((AI45-AI46)*(AI45-AI47))+AJ46*(AI50-AI45)*(AI50-AI47)/((AI46-AI45)*(AI46-AI47))+AJ47*(AI50-AI45)*(AI50-AI46)/((AI47-AI45)*(AI47-AI46))</f>
        <v>172.73076818080003</v>
      </c>
      <c r="AK50" s="102" t="s">
        <v>28</v>
      </c>
      <c r="AL50" s="9">
        <f>$B$2</f>
        <v>6.0220000000000002</v>
      </c>
      <c r="AM50" s="11">
        <f>AM45*(AL50-AL46)*(AL50-AL47)/((AL45-AL46)*(AL45-AL47))+AM46*(AL50-AL45)*(AL50-AL47)/((AL46-AL45)*(AL46-AL47))+AM47*(AL50-AL45)*(AL50-AL46)/((AL47-AL45)*(AL47-AL46))</f>
        <v>140.92497863999998</v>
      </c>
      <c r="AN50" s="102" t="s">
        <v>28</v>
      </c>
      <c r="AO50" s="9">
        <f>$B$2</f>
        <v>6.0220000000000002</v>
      </c>
      <c r="AP50" s="11">
        <f>AP45*(AO50-AO46)*(AO50-AO47)/((AO45-AO46)*(AO45-AO47))+AP46*(AO50-AO45)*(AO50-AO47)/((AO46-AO45)*(AO46-AO47))+AP47*(AO50-AO45)*(AO50-AO46)/((AO47-AO45)*(AO47-AO46))</f>
        <v>179.72235877119999</v>
      </c>
      <c r="AQ50" s="102" t="s">
        <v>28</v>
      </c>
      <c r="AR50" s="9">
        <f>$B$2</f>
        <v>6.0220000000000002</v>
      </c>
      <c r="AS50" s="11">
        <f>AS45*(AR50-AR46)*(AR50-AR47)/((AR45-AR46)*(AR45-AR47))+AS46*(AR50-AR45)*(AR50-AR47)/((AR46-AR45)*(AR46-AR47))+AS47*(AR50-AR45)*(AR50-AR46)/((AR47-AR45)*(AR47-AR46))</f>
        <v>165.54799166160001</v>
      </c>
    </row>
    <row r="51" spans="1:45">
      <c r="A51" s="102" t="s">
        <v>32</v>
      </c>
      <c r="B51" s="23">
        <f>$B$3*SIN(RADIANS($B$4))</f>
        <v>0.95798784374570456</v>
      </c>
      <c r="D51" s="102">
        <v>80</v>
      </c>
      <c r="E51" s="102">
        <v>164.79</v>
      </c>
      <c r="F51" s="102">
        <v>165.07</v>
      </c>
      <c r="G51" s="102">
        <v>164.44</v>
      </c>
      <c r="N51" s="13"/>
      <c r="O51" s="102" t="s">
        <v>11</v>
      </c>
      <c r="P51" s="9">
        <f>$B$2</f>
        <v>6.0220000000000002</v>
      </c>
      <c r="Q51" s="11">
        <f>Q45*(P51-P46)*(P51-P47)*(P51-P48)*(P51-P49)*(P51-P50)/((P45-P46)*(P45-P47)*(P45-P48)*(P45-P49)*(P45-P50))+Q46*(P51-P45)*(P51-P47)*(P51-P48)*(P51-P49)*(P51-P50)/((P46-P45)*(P46-P47)*(P46-P48)*(P46-P49)*(P46-P50))+Q47*(P51-P45)*(P51-P46)*(P51-P48)*(P51-P49)*(P51-P50)/((P47-P45)*(P47-P46)*(P47-P48)*(P47-P49)*(P47-P50))+Q48*(P51-P45)*(P51-P46)*(P51-P47)*(P51-P49)*(P51-P50)/((P48-P45)*(P48-P46)*(P48-P47)*(P48-P49)*(P48-P50))+Q49*(P51-P45)*(P51-P46)*(P51-P47)*(P51-P48)*(P51-P50)/((P49-P45)*(P49-P46)*(P49-P47)*(P49-P48)*(P49-P50))+Q50*(P51-P45)*(P51-P46)*(P51-P47)*(P51-P48)*(P51-P49)/((P50-P45)*(P50-P46)*(P50-P47)*(P50-P48)*(P50-P49))</f>
        <v>347.25544297918464</v>
      </c>
      <c r="R51" s="102" t="s">
        <v>11</v>
      </c>
      <c r="S51" s="9">
        <f>$B$2</f>
        <v>6.0220000000000002</v>
      </c>
      <c r="T51" s="11">
        <f>T45*(S51-S46)*(S51-S47)*(S51-S48)*(S51-S49)*(S51-S50)/((S45-S46)*(S45-S47)*(S45-S48)*(S45-S49)*(S45-S50))+T46*(S51-S45)*(S51-S47)*(S51-S48)*(S51-S49)*(S51-S50)/((S46-S45)*(S46-S47)*(S46-S48)*(S46-S49)*(S46-S50))+T47*(S51-S45)*(S51-S46)*(S51-S48)*(S51-S49)*(S51-S50)/((S47-S45)*(S47-S46)*(S47-S48)*(S47-S49)*(S47-S50))+T48*(S51-S45)*(S51-S46)*(S51-S47)*(S51-S49)*(S51-S50)/((S48-S45)*(S48-S46)*(S48-S47)*(S48-S49)*(S48-S50))+T49*(S51-S45)*(S51-S46)*(S51-S47)*(S51-S48)*(S51-S50)/((S49-S45)*(S49-S46)*(S49-S47)*(S49-S48)*(S49-S50))+T50*(S51-S45)*(S51-S46)*(S51-S47)*(S51-S48)*(S51-S49)/((S50-S45)*(S50-S46)*(S50-S47)*(S50-S48)*(S50-S49))</f>
        <v>476.31529775390857</v>
      </c>
      <c r="U51" s="102" t="s">
        <v>11</v>
      </c>
      <c r="V51" s="9">
        <f>$B$2</f>
        <v>6.0220000000000002</v>
      </c>
      <c r="W51" s="102">
        <f>W45*(V51-V46)*(V51-V47)*(V51-V48)*(V51-V49)*(V51-V50)/((V45-V46)*(V45-V47)*(V45-V48)*(V45-V49)*(V45-V50))+W46*(V51-V45)*(V51-V47)*(V51-V48)*(V51-V49)*(V51-V50)/((V46-V45)*(V46-V47)*(V46-V48)*(V46-V49)*(V46-V50))+W47*(V51-V45)*(V51-V46)*(V51-V48)*(V51-V49)*(V51-V50)/((V47-V45)*(V47-V46)*(V47-V48)*(V47-V49)*(V47-V50))+W48*(V51-V45)*(V51-V46)*(V51-V47)*(V51-V49)*(V51-V50)/((V48-V45)*(V48-V46)*(V48-V47)*(V48-V49)*(V48-V50))+W49*(V51-V45)*(V51-V46)*(V51-V47)*(V51-V48)*(V51-V50)/((V49-V45)*(V49-V46)*(V49-V47)*(V49-V48)*(V49-V50))+W50*(V51-V45)*(V51-V46)*(V51-V47)*(V51-V48)*(V51-V49)/((V50-V45)*(V50-V46)*(V50-V47)*(V50-V48)*(V50-V49))</f>
        <v>369.66047852601616</v>
      </c>
      <c r="X51" s="102" t="s">
        <v>11</v>
      </c>
      <c r="Y51" s="9">
        <f>$B$2</f>
        <v>6.0220000000000002</v>
      </c>
      <c r="Z51" s="11">
        <f>Z45*(Y51-Y46)*(Y51-Y47)*(Y51-Y48)*(Y51-Y49)*(Y51-Y50)/((Y45-Y46)*(Y45-Y47)*(Y45-Y48)*(Y45-Y49)*(Y45-Y50))+Z46*(Y51-Y45)*(Y51-Y47)*(Y51-Y48)*(Y51-Y49)*(Y51-Y50)/((Y46-Y45)*(Y46-Y47)*(Y46-Y48)*(Y46-Y49)*(Y46-Y50))+Z47*(Y51-Y45)*(Y51-Y46)*(Y51-Y48)*(Y51-Y49)*(Y51-Y50)/((Y47-Y45)*(Y47-Y46)*(Y47-Y48)*(Y47-Y49)*(Y47-Y50))+Z48*(Y51-Y45)*(Y51-Y46)*(Y51-Y47)*(Y51-Y49)*(Y51-Y50)/((Y48-Y45)*(Y48-Y46)*(Y48-Y47)*(Y48-Y49)*(Y48-Y50))+Z49*(Y51-Y45)*(Y51-Y46)*(Y51-Y47)*(Y51-Y48)*(Y51-Y50)/((Y49-Y45)*(Y49-Y46)*(Y49-Y47)*(Y49-Y48)*(Y49-Y50))+Z50*(Y51-Y45)*(Y51-Y46)*(Y51-Y47)*(Y51-Y48)*(Y51-Y49)/((Y50-Y45)*(Y50-Y46)*(Y50-Y47)*(Y50-Y48)*(Y50-Y49))</f>
        <v>323.64263561579509</v>
      </c>
    </row>
    <row r="52" spans="1:45">
      <c r="A52" s="102" t="s">
        <v>33</v>
      </c>
      <c r="B52" s="23">
        <f>$B$3*COS(RADIANS($B$4))</f>
        <v>-0.28680880606329973</v>
      </c>
      <c r="I52" s="15">
        <v>-15</v>
      </c>
      <c r="J52" s="7" t="s">
        <v>6</v>
      </c>
      <c r="K52" s="7" t="s">
        <v>7</v>
      </c>
      <c r="L52" s="7" t="s">
        <v>8</v>
      </c>
      <c r="M52" s="7" t="s">
        <v>9</v>
      </c>
      <c r="N52" s="13"/>
      <c r="Q52" s="1" t="s">
        <v>12</v>
      </c>
      <c r="R52" s="1"/>
      <c r="S52" s="1"/>
      <c r="T52" s="1" t="s">
        <v>13</v>
      </c>
      <c r="U52" s="1"/>
      <c r="V52" s="1"/>
      <c r="W52" s="1" t="s">
        <v>8</v>
      </c>
      <c r="X52" s="1"/>
      <c r="Y52" s="1"/>
      <c r="Z52" s="1" t="s">
        <v>9</v>
      </c>
      <c r="AB52" s="15"/>
      <c r="AC52" s="7"/>
      <c r="AD52" s="7"/>
      <c r="AE52" s="7"/>
      <c r="AF52" s="7"/>
      <c r="AH52" s="1"/>
      <c r="AI52" s="1"/>
      <c r="AJ52" s="1" t="s">
        <v>12</v>
      </c>
      <c r="AK52" s="1"/>
      <c r="AL52" s="1"/>
      <c r="AM52" s="1" t="s">
        <v>13</v>
      </c>
      <c r="AN52" s="1"/>
      <c r="AO52" s="1"/>
      <c r="AP52" s="1" t="s">
        <v>8</v>
      </c>
      <c r="AQ52" s="1"/>
      <c r="AR52" s="1"/>
      <c r="AS52" s="1" t="s">
        <v>9</v>
      </c>
    </row>
    <row r="53" spans="1:45">
      <c r="D53"/>
      <c r="F53" s="1" t="s">
        <v>38</v>
      </c>
      <c r="I53" s="102">
        <v>90</v>
      </c>
      <c r="J53" s="102">
        <v>203.92</v>
      </c>
      <c r="K53" s="102">
        <v>221</v>
      </c>
      <c r="L53" s="102">
        <v>214.96</v>
      </c>
      <c r="M53" s="102">
        <v>192.57</v>
      </c>
      <c r="N53" s="13"/>
      <c r="O53" s="102" t="s">
        <v>10</v>
      </c>
      <c r="P53" s="102">
        <v>0</v>
      </c>
      <c r="Q53" s="102">
        <f>J40</f>
        <v>164.79</v>
      </c>
      <c r="R53" s="102" t="s">
        <v>10</v>
      </c>
      <c r="S53" s="102">
        <v>0</v>
      </c>
      <c r="T53" s="102">
        <f>K40</f>
        <v>131</v>
      </c>
      <c r="U53" s="102" t="s">
        <v>10</v>
      </c>
      <c r="V53" s="102">
        <v>0</v>
      </c>
      <c r="W53" s="102">
        <f>L40</f>
        <v>171.45</v>
      </c>
      <c r="X53" s="102" t="s">
        <v>10</v>
      </c>
      <c r="Y53" s="102">
        <v>0</v>
      </c>
      <c r="Z53" s="102">
        <f>M40</f>
        <v>158</v>
      </c>
      <c r="AB53" s="102"/>
      <c r="AC53" s="102"/>
      <c r="AD53" s="102"/>
      <c r="AE53" s="102"/>
      <c r="AF53" s="102"/>
      <c r="AH53" s="102" t="s">
        <v>27</v>
      </c>
      <c r="AI53" s="102">
        <v>0</v>
      </c>
      <c r="AJ53" s="102">
        <f>AC40</f>
        <v>164.79</v>
      </c>
      <c r="AK53" s="102" t="s">
        <v>27</v>
      </c>
      <c r="AL53" s="102">
        <v>0</v>
      </c>
      <c r="AM53" s="102">
        <f>AD40</f>
        <v>131</v>
      </c>
      <c r="AN53" s="102" t="s">
        <v>27</v>
      </c>
      <c r="AO53" s="102">
        <v>0</v>
      </c>
      <c r="AP53" s="102">
        <f>AE40</f>
        <v>171.45</v>
      </c>
      <c r="AQ53" s="102" t="s">
        <v>27</v>
      </c>
      <c r="AR53" s="102">
        <v>0</v>
      </c>
      <c r="AS53" s="102">
        <f>AF40</f>
        <v>158</v>
      </c>
    </row>
    <row r="54" spans="1:45">
      <c r="A54" s="102" t="s">
        <v>31</v>
      </c>
      <c r="B54" s="102" t="s">
        <v>35</v>
      </c>
      <c r="D54" s="102">
        <v>90</v>
      </c>
      <c r="E54" s="102">
        <f>E49</f>
        <v>192.82</v>
      </c>
      <c r="F54" s="11">
        <f>E49*((D49-(100/360))-D50)*((D49-(100/360))-D51)/((D49-D50)*(D49-D51))+E50*((D49-(100/360))-D49)*((D49-(100/360))-D51)/((D50-D49)*(D50-D51))+E51*((D49-(100/360))-D49)*((D49-(100/360))-D50)/((D51-D49)*(D51-D50))</f>
        <v>192.0084413580247</v>
      </c>
      <c r="G54" s="146">
        <v>192.35</v>
      </c>
      <c r="I54" s="102">
        <v>85</v>
      </c>
      <c r="J54" s="102">
        <v>191.17</v>
      </c>
      <c r="K54" s="102">
        <v>191</v>
      </c>
      <c r="L54" s="102">
        <v>200.84</v>
      </c>
      <c r="M54" s="102">
        <v>181.27</v>
      </c>
      <c r="N54" s="13"/>
      <c r="O54" s="102" t="s">
        <v>10</v>
      </c>
      <c r="P54" s="102">
        <v>-5</v>
      </c>
      <c r="Q54" s="102">
        <f>J45</f>
        <v>170.22</v>
      </c>
      <c r="R54" s="102" t="s">
        <v>10</v>
      </c>
      <c r="S54" s="102">
        <v>-5</v>
      </c>
      <c r="T54" s="102">
        <f>K45</f>
        <v>144</v>
      </c>
      <c r="U54" s="102" t="s">
        <v>10</v>
      </c>
      <c r="V54" s="102">
        <v>-5</v>
      </c>
      <c r="W54" s="102">
        <f>L45</f>
        <v>177.55</v>
      </c>
      <c r="X54" s="102" t="s">
        <v>10</v>
      </c>
      <c r="Y54" s="102">
        <v>-5</v>
      </c>
      <c r="Z54" s="102">
        <f>M45</f>
        <v>162.74</v>
      </c>
      <c r="AB54" s="102"/>
      <c r="AC54" s="102"/>
      <c r="AD54" s="102"/>
      <c r="AE54" s="102"/>
      <c r="AF54" s="102"/>
      <c r="AH54" s="102" t="s">
        <v>27</v>
      </c>
      <c r="AI54" s="102">
        <v>5</v>
      </c>
      <c r="AJ54" s="102">
        <f>AC45</f>
        <v>158.29</v>
      </c>
      <c r="AK54" s="102" t="s">
        <v>27</v>
      </c>
      <c r="AL54" s="102">
        <v>5</v>
      </c>
      <c r="AM54" s="102">
        <f>AD45</f>
        <v>117</v>
      </c>
      <c r="AN54" s="102" t="s">
        <v>27</v>
      </c>
      <c r="AO54" s="102">
        <v>5</v>
      </c>
      <c r="AP54" s="102">
        <f>AE45</f>
        <v>164.19</v>
      </c>
      <c r="AQ54" s="102" t="s">
        <v>27</v>
      </c>
      <c r="AR54" s="102">
        <v>5</v>
      </c>
      <c r="AS54" s="102">
        <f>AF45</f>
        <v>152.26</v>
      </c>
    </row>
    <row r="55" spans="1:45">
      <c r="A55" s="22">
        <f>(F59*($E$8-E60)*($E$8-E61)/((E59-E60)*(E59-E61))+F60*($E$8-E59)*($E$8-E61)/((E60-E59)*(E60-E61))+F61*($E$8-E59)*($E$8-E60)/((E61-E59)*(E61-E60)))</f>
        <v>326.78370492503927</v>
      </c>
      <c r="B55" s="23">
        <f>(B51*A55+(A56*B49))/($E$8*(44/17.5))</f>
        <v>-0.48514280153361578</v>
      </c>
      <c r="D55" s="102">
        <v>85</v>
      </c>
      <c r="E55" s="102">
        <f>E50</f>
        <v>178.5</v>
      </c>
      <c r="F55" s="11">
        <f>E49*((D50-(100/360))-D50)*((D50-(100/360))-D51)/((D49-D50)*(D49-D51))+E50*((D50-(100/360))-D49)*((D50-(100/360))-D51)/((D50-D49)*(D50-D51))+E51*((D50-(100/360))-D49)*((D50-(100/360))-D50)/((D51-D49)*(D51-D50))</f>
        <v>177.72233024691357</v>
      </c>
      <c r="G55" s="146">
        <v>178.09</v>
      </c>
      <c r="I55" s="102">
        <v>80</v>
      </c>
      <c r="J55" s="102">
        <v>179</v>
      </c>
      <c r="K55" s="102">
        <v>166</v>
      </c>
      <c r="L55" s="102">
        <v>187.53</v>
      </c>
      <c r="M55" s="102">
        <v>170.29</v>
      </c>
      <c r="N55" s="16"/>
      <c r="O55" s="102" t="s">
        <v>10</v>
      </c>
      <c r="P55" s="102">
        <v>-10</v>
      </c>
      <c r="Q55" s="102">
        <f>J50</f>
        <v>174.89</v>
      </c>
      <c r="R55" s="102" t="s">
        <v>10</v>
      </c>
      <c r="S55" s="102">
        <v>-10</v>
      </c>
      <c r="T55" s="102">
        <f>K50</f>
        <v>155</v>
      </c>
      <c r="U55" s="102" t="s">
        <v>10</v>
      </c>
      <c r="V55" s="102">
        <v>-10</v>
      </c>
      <c r="W55" s="102">
        <f>L50</f>
        <v>182.84</v>
      </c>
      <c r="X55" s="102" t="s">
        <v>10</v>
      </c>
      <c r="Y55" s="102">
        <v>-10</v>
      </c>
      <c r="Z55" s="102">
        <f>M50</f>
        <v>166.77</v>
      </c>
      <c r="AB55" s="102"/>
      <c r="AC55" s="102"/>
      <c r="AD55" s="102"/>
      <c r="AE55" s="102"/>
      <c r="AF55" s="102"/>
      <c r="AH55" s="102" t="s">
        <v>27</v>
      </c>
      <c r="AI55" s="102">
        <v>10</v>
      </c>
      <c r="AJ55" s="102">
        <f>AC50</f>
        <v>150.04</v>
      </c>
      <c r="AK55" s="102" t="s">
        <v>27</v>
      </c>
      <c r="AL55" s="102">
        <v>10</v>
      </c>
      <c r="AM55" s="102">
        <f>AD50</f>
        <v>101</v>
      </c>
      <c r="AN55" s="102" t="s">
        <v>27</v>
      </c>
      <c r="AO55" s="102">
        <v>10</v>
      </c>
      <c r="AP55" s="102">
        <f>AE50</f>
        <v>155.07</v>
      </c>
      <c r="AQ55" s="102" t="s">
        <v>27</v>
      </c>
      <c r="AR55" s="102">
        <v>10</v>
      </c>
      <c r="AS55" s="102">
        <f>AF50</f>
        <v>144.9</v>
      </c>
    </row>
    <row r="56" spans="1:45">
      <c r="A56" s="22">
        <f>A55*1</f>
        <v>326.78370492503927</v>
      </c>
      <c r="D56" s="102">
        <v>80</v>
      </c>
      <c r="E56" s="102">
        <f>E51</f>
        <v>164.79</v>
      </c>
      <c r="F56" s="11">
        <f>E49*((D51-(100/360))-D50)*((D51-(100/360))-D51)/((D49-D50)*(D49-D51))+E50*((D51-(100/360))-D49)*((D51-(100/360))-D51)/((D50-D49)*(D50-D51))+E51*((D51-(100/360))-D49)*((D51-(100/360))-D50)/((D51-D49)*(D51-D50))</f>
        <v>164.04621913580249</v>
      </c>
      <c r="G56" s="146">
        <v>164.44</v>
      </c>
      <c r="N56" s="16"/>
      <c r="O56" s="102" t="s">
        <v>10</v>
      </c>
      <c r="P56" s="102">
        <v>-15</v>
      </c>
      <c r="Q56" s="102">
        <f>J55</f>
        <v>179</v>
      </c>
      <c r="R56" s="102" t="s">
        <v>10</v>
      </c>
      <c r="S56" s="102">
        <v>-15</v>
      </c>
      <c r="T56" s="102">
        <f>K55</f>
        <v>166</v>
      </c>
      <c r="U56" s="102" t="s">
        <v>10</v>
      </c>
      <c r="V56" s="102">
        <v>-15</v>
      </c>
      <c r="W56" s="102">
        <f>L55</f>
        <v>187.53</v>
      </c>
      <c r="X56" s="102" t="s">
        <v>10</v>
      </c>
      <c r="Y56" s="102">
        <v>-15</v>
      </c>
      <c r="Z56" s="102">
        <f>M55</f>
        <v>170.29</v>
      </c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</row>
    <row r="57" spans="1:45">
      <c r="D57"/>
      <c r="I57" s="15">
        <v>-20</v>
      </c>
      <c r="J57" s="7" t="s">
        <v>6</v>
      </c>
      <c r="K57" s="7" t="s">
        <v>7</v>
      </c>
      <c r="L57" s="7" t="s">
        <v>8</v>
      </c>
      <c r="M57" s="7" t="s">
        <v>9</v>
      </c>
      <c r="N57" s="16"/>
      <c r="O57" s="102" t="s">
        <v>10</v>
      </c>
      <c r="P57" s="102">
        <v>-20</v>
      </c>
      <c r="Q57" s="102">
        <f>J60</f>
        <v>182.67</v>
      </c>
      <c r="R57" s="102" t="s">
        <v>10</v>
      </c>
      <c r="S57" s="102">
        <v>-20</v>
      </c>
      <c r="T57" s="102">
        <f>K60</f>
        <v>177</v>
      </c>
      <c r="U57" s="102" t="s">
        <v>10</v>
      </c>
      <c r="V57" s="102">
        <v>-20</v>
      </c>
      <c r="W57" s="102">
        <f>L60</f>
        <v>191.74</v>
      </c>
      <c r="X57" s="102" t="s">
        <v>10</v>
      </c>
      <c r="Y57" s="102">
        <v>-20</v>
      </c>
      <c r="Z57" s="102">
        <f>M60</f>
        <v>173.4</v>
      </c>
      <c r="AB57" s="15"/>
      <c r="AC57" s="7"/>
      <c r="AD57" s="7"/>
      <c r="AE57" s="7"/>
      <c r="AF57" s="7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</row>
    <row r="58" spans="1:45">
      <c r="A58" s="102" t="s">
        <v>36</v>
      </c>
      <c r="B58" s="23">
        <f>$B$3*SIN(RADIANS($B$4+B55*0.707))</f>
        <v>0.95968762256380247</v>
      </c>
      <c r="D58"/>
      <c r="E58" s="1" t="s">
        <v>6</v>
      </c>
      <c r="F58" s="1" t="s">
        <v>7</v>
      </c>
      <c r="G58" s="1" t="s">
        <v>29</v>
      </c>
      <c r="H58" s="1" t="s">
        <v>30</v>
      </c>
      <c r="I58" s="102">
        <v>90</v>
      </c>
      <c r="J58" s="102">
        <v>206.91</v>
      </c>
      <c r="K58" s="102">
        <v>232</v>
      </c>
      <c r="L58" s="102">
        <v>218.5</v>
      </c>
      <c r="M58" s="102">
        <v>195</v>
      </c>
      <c r="O58" s="102" t="s">
        <v>10</v>
      </c>
      <c r="P58" s="102">
        <v>-25</v>
      </c>
      <c r="Q58" s="102">
        <f>J65</f>
        <v>185.98</v>
      </c>
      <c r="R58" s="102" t="s">
        <v>10</v>
      </c>
      <c r="S58" s="102">
        <v>-25</v>
      </c>
      <c r="T58" s="102">
        <f>K65</f>
        <v>187</v>
      </c>
      <c r="U58" s="102" t="s">
        <v>10</v>
      </c>
      <c r="V58" s="102">
        <v>-25</v>
      </c>
      <c r="W58" s="102">
        <f>L65</f>
        <v>195.58</v>
      </c>
      <c r="X58" s="102" t="s">
        <v>10</v>
      </c>
      <c r="Y58" s="102">
        <v>-25</v>
      </c>
      <c r="Z58" s="102">
        <f>M65</f>
        <v>176.18</v>
      </c>
      <c r="AB58" s="102"/>
      <c r="AC58" s="102"/>
      <c r="AD58" s="102"/>
      <c r="AE58" s="102"/>
      <c r="AF58" s="102"/>
      <c r="AH58" s="102" t="s">
        <v>28</v>
      </c>
      <c r="AI58" s="9">
        <f>$B$2</f>
        <v>6.0220000000000002</v>
      </c>
      <c r="AJ58" s="11">
        <f>AJ53*(AI58-AI54)*(AI58-AI55)/((AI53-AI54)*(AI53-AI55))+AJ54*(AI58-AI53)*(AI58-AI55)/((AI54-AI53)*(AI54-AI55))+AJ55*(AI58-AI53)*(AI58-AI54)/((AI55-AI53)*(AI55-AI54))</f>
        <v>156.74599305999999</v>
      </c>
      <c r="AK58" s="102" t="s">
        <v>28</v>
      </c>
      <c r="AL58" s="9">
        <f>$B$2</f>
        <v>6.0220000000000002</v>
      </c>
      <c r="AM58" s="11">
        <f>AM53*(AL58-AL54)*(AL58-AL55)/((AL53-AL54)*(AL53-AL55))+AM54*(AL58-AL53)*(AL58-AL55)/((AL54-AL53)*(AL54-AL55))+AM55*(AL58-AL53)*(AL58-AL54)/((AL55-AL53)*(AL55-AL54))</f>
        <v>113.89222063999999</v>
      </c>
      <c r="AN58" s="102" t="s">
        <v>28</v>
      </c>
      <c r="AO58" s="9">
        <f>$B$2</f>
        <v>6.0220000000000002</v>
      </c>
      <c r="AP58" s="11">
        <f>AP53*(AO58-AO54)*(AO58-AO55)/((AO53-AO54)*(AO53-AO55))+AP54*(AO58-AO53)*(AO58-AO55)/((AO54-AO53)*(AO54-AO55))+AP55*(AO58-AO53)*(AO58-AO54)/((AO55-AO53)*(AO55-AO54))</f>
        <v>162.4771091952</v>
      </c>
      <c r="AQ58" s="102" t="s">
        <v>28</v>
      </c>
      <c r="AR58" s="9">
        <f>$B$2</f>
        <v>6.0220000000000002</v>
      </c>
      <c r="AS58" s="11">
        <f>AS53*(AR58-AR54)*(AR58-AR55)/((AR53-AR54)*(AR53-AR55))+AS54*(AR58-AR53)*(AR58-AR55)/((AR54-AR53)*(AR54-AR55))+AS55*(AR58-AR53)*(AR58-AR54)/((AR55-AR53)*(AR55-AR54))</f>
        <v>150.8873387184</v>
      </c>
    </row>
    <row r="59" spans="1:45">
      <c r="A59" s="102" t="s">
        <v>37</v>
      </c>
      <c r="B59" s="23">
        <f>$B$3*COS(RADIANS($B$4+B55*0.5))</f>
        <v>-0.28275044378340375</v>
      </c>
      <c r="D59" s="102">
        <v>90</v>
      </c>
      <c r="E59" s="102">
        <f>IF($B$2&gt;0,AJ42,Q43)</f>
        <v>186.99693556559998</v>
      </c>
      <c r="F59" s="102">
        <f>IF($B$2&gt;0,AM42,T43)</f>
        <v>169.01531031999997</v>
      </c>
      <c r="G59" s="102">
        <f>IF($B$2&gt;0,AP42,W43)</f>
        <v>195.32196439120005</v>
      </c>
      <c r="H59" s="22">
        <f>IF($B$2&gt;0,AS42,Z43)</f>
        <v>178.43476384319996</v>
      </c>
      <c r="I59" s="102">
        <v>85</v>
      </c>
      <c r="J59" s="102">
        <v>194.51</v>
      </c>
      <c r="K59" s="102">
        <v>202</v>
      </c>
      <c r="L59" s="102">
        <v>204.73</v>
      </c>
      <c r="M59" s="102">
        <v>184.05</v>
      </c>
      <c r="O59" s="102" t="s">
        <v>11</v>
      </c>
      <c r="P59" s="9">
        <f>$B$2</f>
        <v>6.0220000000000002</v>
      </c>
      <c r="Q59" s="11">
        <f>Q53*(P59-P54)*(P59-P55)*(P59-P56)*(P59-P57)*(P59-P58)/((P53-P54)*(P53-P55)*(P53-P56)*(P53-P57)*(P53-P58))+Q54*(P59-P53)*(P59-P55)*(P59-P56)*(P59-P57)*(P59-P58)/((P54-P53)*(P54-P55)*(P54-P56)*(P54-P57)*(P54-P58))+Q55*(P59-P53)*(P59-P54)*(P59-P56)*(P59-P57)*(P59-P58)/((P55-P53)*(P55-P54)*(P55-P56)*(P55-P57)*(P55-P58))+Q56*(P59-P53)*(P59-P54)*(P59-P55)*(P59-P57)*(P59-P58)/((P56-P53)*(P56-P54)*(P56-P55)*(P56-P57)*(P56-P58))+Q57*(P59-P53)*(P59-P54)*(P59-P55)*(P59-P56)*(P59-P58)/((P57-P53)*(P57-P54)*(P57-P55)*(P57-P56)*(P57-P58))+Q58*(P59-P53)*(P59-P54)*(P59-P55)*(P59-P56)*(P59-P57)/((P58-P53)*(P58-P54)*(P58-P55)*(P58-P56)*(P58-P57))</f>
        <v>156.77634445736879</v>
      </c>
      <c r="R59" s="102" t="s">
        <v>11</v>
      </c>
      <c r="S59" s="9">
        <f>$B$2</f>
        <v>6.0220000000000002</v>
      </c>
      <c r="T59" s="11">
        <f>T53*(S59-S54)*(S59-S55)*(S59-S56)*(S59-S57)*(S59-S58)/((S53-S54)*(S53-S55)*(S53-S56)*(S53-S57)*(S53-S58))+T54*(S59-S53)*(S59-S55)*(S59-S56)*(S59-S57)*(S59-S58)/((S54-S53)*(S54-S55)*(S54-S56)*(S54-S57)*(S54-S58))+T55*(S59-S53)*(S59-S54)*(S59-S56)*(S59-S57)*(S59-S58)/((S55-S53)*(S55-S54)*(S55-S56)*(S55-S57)*(S55-S58))+T56*(S59-S53)*(S59-S54)*(S59-S55)*(S59-S57)*(S59-S58)/((S56-S53)*(S56-S54)*(S56-S55)*(S56-S57)*(S56-S58))+T57*(S59-S53)*(S59-S54)*(S59-S55)*(S59-S56)*(S59-S58)/((S57-S53)*(S57-S54)*(S57-S55)*(S57-S56)*(S57-S58))+T58*(S59-S53)*(S59-S54)*(S59-S55)*(S59-S56)*(S59-S57)/((S58-S53)*(S58-S54)*(S58-S55)*(S58-S56)*(S58-S57))</f>
        <v>105.31984392481212</v>
      </c>
      <c r="U59" s="102" t="s">
        <v>11</v>
      </c>
      <c r="V59" s="9">
        <f>$B$2</f>
        <v>6.0220000000000002</v>
      </c>
      <c r="W59" s="102">
        <f>W53*(V59-V54)*(V59-V55)*(V59-V56)*(V59-V57)*(V59-V58)/((V53-V54)*(V53-V55)*(V53-V56)*(V53-V57)*(V53-V58))+W54*(V59-V53)*(V59-V55)*(V59-V56)*(V59-V57)*(V59-V58)/((V54-V53)*(V54-V55)*(V54-V56)*(V54-V57)*(V54-V58))+W55*(V59-V53)*(V59-V54)*(V59-V56)*(V59-V57)*(V59-V58)/((V55-V53)*(V55-V54)*(V55-V56)*(V55-V57)*(V55-V58))+W56*(V59-V53)*(V59-V54)*(V59-V55)*(V59-V57)*(V59-V58)/((V56-V53)*(V56-V54)*(V56-V55)*(V56-V57)*(V56-V58))+W57*(V59-V53)*(V59-V54)*(V59-V55)*(V59-V56)*(V59-V58)/((V57-V53)*(V57-V54)*(V57-V55)*(V57-V56)*(V57-V58))+W58*(V59-V53)*(V59-V54)*(V59-V55)*(V59-V56)*(V59-V57)/((V58-V53)*(V58-V54)*(V58-V55)*(V58-V56)*(V58-V57))</f>
        <v>162.47188589851146</v>
      </c>
      <c r="X59" s="102" t="s">
        <v>11</v>
      </c>
      <c r="Y59" s="9">
        <f>$B$2</f>
        <v>6.0220000000000002</v>
      </c>
      <c r="Z59" s="11">
        <f>Z53*(Y59-Y54)*(Y59-Y55)*(Y59-Y56)*(Y59-Y57)*(Y59-Y58)/((Y53-Y54)*(Y53-Y55)*(Y53-Y56)*(Y53-Y57)*(Y53-Y58))+Z54*(Y59-Y53)*(Y59-Y55)*(Y59-Y56)*(Y59-Y57)*(Y59-Y58)/((Y54-Y53)*(Y54-Y55)*(Y54-Y56)*(Y54-Y57)*(Y54-Y58))+Z55*(Y59-Y53)*(Y59-Y54)*(Y59-Y56)*(Y59-Y57)*(Y59-Y58)/((Y55-Y53)*(Y55-Y54)*(Y55-Y56)*(Y55-Y57)*(Y55-Y58))+Z56*(Y59-Y53)*(Y59-Y54)*(Y59-Y55)*(Y59-Y57)*(Y59-Y58)/((Y56-Y53)*(Y56-Y54)*(Y56-Y55)*(Y56-Y57)*(Y56-Y58))+Z57*(Y59-Y53)*(Y59-Y54)*(Y59-Y55)*(Y59-Y56)*(Y59-Y58)/((Y57-Y53)*(Y57-Y54)*(Y57-Y55)*(Y57-Y56)*(Y57-Y58))+Z58*(Y59-Y53)*(Y59-Y54)*(Y59-Y55)*(Y59-Y56)*(Y59-Y57)/((Y58-Y53)*(Y58-Y54)*(Y58-Y55)*(Y58-Y56)*(Y58-Y57))</f>
        <v>150.79189430122835</v>
      </c>
      <c r="AB59" s="102"/>
      <c r="AC59" s="102"/>
      <c r="AD59" s="102"/>
      <c r="AE59" s="102"/>
      <c r="AF59" s="102"/>
    </row>
    <row r="60" spans="1:45">
      <c r="D60" s="102">
        <v>85</v>
      </c>
      <c r="E60" s="102">
        <f>IF($B$2&gt;0,AJ50,Q51)</f>
        <v>172.73076818080003</v>
      </c>
      <c r="F60" s="102">
        <f>IF($B$2&gt;0,AM50,T51)</f>
        <v>140.92497863999998</v>
      </c>
      <c r="G60" s="102">
        <f>IF($B$2&gt;0,AP50,W51)</f>
        <v>179.72235877119999</v>
      </c>
      <c r="H60" s="22">
        <f>IF($B$2&gt;0,AS50,Z51)</f>
        <v>165.54799166160001</v>
      </c>
      <c r="I60" s="102">
        <v>80</v>
      </c>
      <c r="J60" s="102">
        <v>182.67</v>
      </c>
      <c r="K60" s="102">
        <v>177</v>
      </c>
      <c r="L60" s="102">
        <v>191.74</v>
      </c>
      <c r="M60" s="102">
        <v>173.4</v>
      </c>
      <c r="AB60" s="102"/>
      <c r="AC60" s="102"/>
      <c r="AD60" s="102"/>
      <c r="AE60" s="102"/>
      <c r="AF60" s="102"/>
    </row>
    <row r="61" spans="1:45">
      <c r="A61" s="235" t="s">
        <v>39</v>
      </c>
      <c r="B61" s="236"/>
      <c r="D61" s="102">
        <v>80</v>
      </c>
      <c r="E61" s="102">
        <f>IF($B$2&gt;0,AJ58,Q59)</f>
        <v>156.74599305999999</v>
      </c>
      <c r="F61" s="102">
        <f>IF($B$2&gt;0,AM58,T59)</f>
        <v>113.89222063999999</v>
      </c>
      <c r="G61" s="102">
        <f>IF($B$2&gt;0,AP58,W59)</f>
        <v>162.4771091952</v>
      </c>
      <c r="H61" s="22">
        <f>IF($B$2&gt;0,AS58,Z59)</f>
        <v>150.8873387184</v>
      </c>
    </row>
    <row r="62" spans="1:45">
      <c r="A62" s="102">
        <f>F54*(E46-E55)*(E46-E56)/((E54-E55)*(E54-E56))+F55*(E46-E54)*(E46-E56)/((E55-E54)*(E55-E56))+F56*(E46-E54)*(E46-E55)/((E56-E54)*(E56-E55))</f>
        <v>257.03080430000136</v>
      </c>
      <c r="B62" s="102">
        <f>G54*(E46-E55)*(E46-E56)/((E54-E55)*(E54-E56))+G55*(E46-E54)*(E46-E56)/((E55-E54)*(E55-E56))+G56*(E46-E54)*(E46-E55)/((E56-E54)*(E56-E55))</f>
        <v>257.2685437743803</v>
      </c>
      <c r="D62"/>
      <c r="G62" s="12"/>
      <c r="H62" s="12"/>
      <c r="I62" s="15">
        <v>-25</v>
      </c>
      <c r="J62" s="7" t="s">
        <v>6</v>
      </c>
      <c r="K62" s="7" t="s">
        <v>7</v>
      </c>
      <c r="L62" s="7" t="s">
        <v>8</v>
      </c>
      <c r="M62" s="7" t="s">
        <v>9</v>
      </c>
      <c r="Y62" s="1"/>
      <c r="Z62" s="1"/>
      <c r="AB62" s="15"/>
      <c r="AC62" s="7"/>
      <c r="AD62" s="7"/>
      <c r="AE62" s="7"/>
      <c r="AF62" s="7"/>
    </row>
    <row r="63" spans="1:45">
      <c r="D63"/>
      <c r="E63" s="235" t="s">
        <v>144</v>
      </c>
      <c r="F63" s="236"/>
      <c r="G63" s="12"/>
      <c r="H63" s="12"/>
      <c r="I63" s="102">
        <v>90</v>
      </c>
      <c r="J63" s="102">
        <v>209.65</v>
      </c>
      <c r="K63" s="102">
        <v>242</v>
      </c>
      <c r="L63" s="102">
        <v>221.77</v>
      </c>
      <c r="M63" s="102">
        <v>197.2</v>
      </c>
      <c r="AB63" s="102"/>
      <c r="AC63" s="102"/>
      <c r="AD63" s="102"/>
      <c r="AE63" s="102"/>
      <c r="AF63" s="102"/>
    </row>
    <row r="64" spans="1:45">
      <c r="A64" s="102" t="s">
        <v>41</v>
      </c>
      <c r="B64" s="102" t="s">
        <v>42</v>
      </c>
      <c r="D64"/>
      <c r="E64" s="102">
        <v>90</v>
      </c>
      <c r="F64" s="11">
        <f>E59*(B59-9)*(B59--9)/((0-9)*(0--9))+G59*(B59-0)*(B59--9)/((9-0)*(9--9))+H59*(B59-0)*(B59-9)/((-9-0)*(-9-9))</f>
        <v>186.73154834276704</v>
      </c>
      <c r="G64" s="12"/>
      <c r="H64" s="12"/>
      <c r="I64" s="102">
        <v>85</v>
      </c>
      <c r="J64" s="102">
        <v>197.56</v>
      </c>
      <c r="K64" s="102">
        <v>212</v>
      </c>
      <c r="L64" s="102">
        <v>208.3</v>
      </c>
      <c r="M64" s="102">
        <v>186.55</v>
      </c>
      <c r="AB64" s="102"/>
      <c r="AC64" s="102"/>
      <c r="AD64" s="102"/>
      <c r="AE64" s="102"/>
      <c r="AF64" s="102"/>
    </row>
    <row r="65" spans="1:45">
      <c r="A65" s="23">
        <f>E64*(E46-F65)*(E46-F66)/((F64-F65)*(F64-F66))+E65*(E46-F64)*(E46-F66)/((F65-F64)*(F65-F66))+E66*(E46-F64)*(E46-F65)/((F66-F64)*(F66-F65))</f>
        <v>122.70215811755259</v>
      </c>
      <c r="B65" s="24">
        <f>(F59*(A65-D60)*(A65-D61)/((D59-D60)*(D59-D61))+F60*(A65-D59)*(A65-D61)/((D60-D59)*(D60-D61))+F61*(A65-D59)*(A65-D60)/((D61-D59)*(D61-D60)))*(B58+(B49*7/9*(A56/A55))*(A65/100))</f>
        <v>-315.55355405558947</v>
      </c>
      <c r="D65"/>
      <c r="E65" s="102">
        <v>85</v>
      </c>
      <c r="F65" s="11">
        <f>E60*(B59-9)*(B59--9)/((0-9)*(0--9))+G60*(B59-0)*(B59--9)/((9-0)*(9--9))+H60*(B59-0)*(B59-9)/((-9-0)*(-9-9))</f>
        <v>172.50801779677371</v>
      </c>
      <c r="G65" s="12"/>
      <c r="H65" s="12"/>
      <c r="I65" s="102">
        <v>80</v>
      </c>
      <c r="J65" s="102">
        <v>185.98</v>
      </c>
      <c r="K65" s="102">
        <v>187</v>
      </c>
      <c r="L65" s="102">
        <v>195.58</v>
      </c>
      <c r="M65" s="102">
        <v>176.18</v>
      </c>
      <c r="AB65" s="102"/>
      <c r="AC65" s="102"/>
      <c r="AD65" s="102"/>
      <c r="AE65" s="102"/>
      <c r="AF65" s="102"/>
    </row>
    <row r="66" spans="1:45">
      <c r="A66" s="102" t="s">
        <v>44</v>
      </c>
      <c r="B66" s="102" t="s">
        <v>43</v>
      </c>
      <c r="D66"/>
      <c r="E66" s="102">
        <v>80</v>
      </c>
      <c r="F66" s="11">
        <f>E61*(B59-9)*(B59--9)/((0-9)*(0--9))+G61*(B59-0)*(B59--9)/((9-0)*(9--9))+H61*(B59-0)*(B59-9)/((-9-0)*(-9-9))</f>
        <v>156.5638738556068</v>
      </c>
    </row>
    <row r="67" spans="1:45">
      <c r="A67" s="25">
        <f>(360-ROUNDDOWN((1-(A65/100))*360,0))*236/360</f>
        <v>289.10000000000002</v>
      </c>
      <c r="B67" s="11">
        <f>MOD((A65/100)*-360,1)*-(($E$10-A62)/($E$10-B62))+30</f>
        <v>29.648581818329959</v>
      </c>
      <c r="D67"/>
      <c r="E67" s="105" t="s">
        <v>141</v>
      </c>
      <c r="F67" s="106">
        <f>F54*($E$10-E55)*($E$10-E56)/((E54-E55)*(E54-E56))+F55*($E$10-E54)*($E$10-E56)/((E55-E54)*(E55-E56))+F56*($E$10-E54)*($E$10-E55)/((E56-E54)*(E56-E55))</f>
        <v>257.13934461101508</v>
      </c>
    </row>
    <row r="68" spans="1:45">
      <c r="D68"/>
    </row>
    <row r="71" spans="1:45">
      <c r="D71"/>
      <c r="Q71" s="1" t="s">
        <v>12</v>
      </c>
      <c r="R71" s="1"/>
      <c r="S71" s="1"/>
      <c r="T71" s="1" t="s">
        <v>13</v>
      </c>
      <c r="U71" s="1"/>
      <c r="V71" s="1"/>
      <c r="W71" s="1" t="s">
        <v>8</v>
      </c>
      <c r="X71" s="1"/>
      <c r="Y71" s="1"/>
      <c r="Z71" s="1" t="s">
        <v>9</v>
      </c>
      <c r="AJ71" s="1" t="s">
        <v>12</v>
      </c>
      <c r="AK71" s="1"/>
      <c r="AL71" s="1"/>
      <c r="AM71" s="1" t="s">
        <v>13</v>
      </c>
      <c r="AN71" s="1"/>
      <c r="AO71" s="1"/>
      <c r="AP71" s="1" t="s">
        <v>8</v>
      </c>
      <c r="AQ71" s="1"/>
      <c r="AR71" s="1"/>
      <c r="AS71" s="1" t="s">
        <v>9</v>
      </c>
    </row>
    <row r="72" spans="1:45">
      <c r="D72"/>
      <c r="I72" s="15">
        <v>0</v>
      </c>
      <c r="J72" s="7" t="s">
        <v>6</v>
      </c>
      <c r="K72" s="7" t="s">
        <v>7</v>
      </c>
      <c r="L72" s="7" t="s">
        <v>8</v>
      </c>
      <c r="M72" s="7" t="s">
        <v>9</v>
      </c>
      <c r="O72" s="102" t="s">
        <v>10</v>
      </c>
      <c r="P72" s="102">
        <v>0</v>
      </c>
      <c r="Q72" s="102">
        <f>J73</f>
        <v>164.79</v>
      </c>
      <c r="R72" s="102" t="s">
        <v>10</v>
      </c>
      <c r="S72" s="102">
        <v>0</v>
      </c>
      <c r="T72" s="102">
        <f>K73</f>
        <v>131</v>
      </c>
      <c r="U72" s="102" t="s">
        <v>10</v>
      </c>
      <c r="V72" s="102">
        <v>0</v>
      </c>
      <c r="W72" s="102">
        <f>L73</f>
        <v>171.45</v>
      </c>
      <c r="X72" s="102" t="s">
        <v>10</v>
      </c>
      <c r="Y72" s="102">
        <v>0</v>
      </c>
      <c r="Z72" s="102">
        <f>M73</f>
        <v>158</v>
      </c>
      <c r="AB72" s="15">
        <v>0</v>
      </c>
      <c r="AC72" s="7" t="s">
        <v>6</v>
      </c>
      <c r="AD72" s="7" t="s">
        <v>7</v>
      </c>
      <c r="AE72" s="7" t="s">
        <v>8</v>
      </c>
      <c r="AF72" s="7" t="s">
        <v>9</v>
      </c>
      <c r="AH72" s="102" t="s">
        <v>27</v>
      </c>
      <c r="AI72" s="102">
        <v>0</v>
      </c>
      <c r="AJ72" s="102">
        <f>AC73</f>
        <v>164.79</v>
      </c>
      <c r="AK72" s="102" t="s">
        <v>27</v>
      </c>
      <c r="AL72" s="102">
        <v>0</v>
      </c>
      <c r="AM72" s="102">
        <f>AD73</f>
        <v>131</v>
      </c>
      <c r="AN72" s="102" t="s">
        <v>27</v>
      </c>
      <c r="AO72" s="102">
        <v>0</v>
      </c>
      <c r="AP72" s="102">
        <f>AE73</f>
        <v>171.45</v>
      </c>
      <c r="AQ72" s="102" t="s">
        <v>27</v>
      </c>
      <c r="AR72" s="102">
        <v>0</v>
      </c>
      <c r="AS72" s="102">
        <f>AF73</f>
        <v>158</v>
      </c>
    </row>
    <row r="73" spans="1:45">
      <c r="D73"/>
      <c r="F73" s="239" t="s">
        <v>145</v>
      </c>
      <c r="G73" s="239"/>
      <c r="H73" s="239"/>
      <c r="I73" s="102">
        <v>80</v>
      </c>
      <c r="J73" s="102">
        <v>164.79</v>
      </c>
      <c r="K73" s="102">
        <v>131</v>
      </c>
      <c r="L73" s="102">
        <v>171.45</v>
      </c>
      <c r="M73" s="102">
        <v>158</v>
      </c>
      <c r="O73" s="102" t="s">
        <v>10</v>
      </c>
      <c r="P73" s="102">
        <v>-5</v>
      </c>
      <c r="Q73" s="102">
        <f>J78</f>
        <v>170.22</v>
      </c>
      <c r="R73" s="102" t="s">
        <v>10</v>
      </c>
      <c r="S73" s="102">
        <v>-5</v>
      </c>
      <c r="T73" s="102">
        <f>K78</f>
        <v>144</v>
      </c>
      <c r="U73" s="102" t="s">
        <v>10</v>
      </c>
      <c r="V73" s="102">
        <v>-5</v>
      </c>
      <c r="W73" s="102">
        <f>L78</f>
        <v>177.55</v>
      </c>
      <c r="X73" s="102" t="s">
        <v>10</v>
      </c>
      <c r="Y73" s="102">
        <v>-5</v>
      </c>
      <c r="Z73" s="102">
        <f>M78</f>
        <v>162.74</v>
      </c>
      <c r="AB73" s="102">
        <v>80</v>
      </c>
      <c r="AC73" s="102">
        <f>J73</f>
        <v>164.79</v>
      </c>
      <c r="AD73" s="102">
        <f t="shared" ref="AD73:AD75" si="9">K73</f>
        <v>131</v>
      </c>
      <c r="AE73" s="102">
        <f t="shared" ref="AE73:AE75" si="10">L73</f>
        <v>171.45</v>
      </c>
      <c r="AF73" s="102">
        <f t="shared" ref="AF73:AF75" si="11">M73</f>
        <v>158</v>
      </c>
      <c r="AH73" s="102" t="s">
        <v>27</v>
      </c>
      <c r="AI73" s="102">
        <v>5</v>
      </c>
      <c r="AJ73" s="102">
        <f>AC78</f>
        <v>188.07</v>
      </c>
      <c r="AK73" s="102" t="s">
        <v>27</v>
      </c>
      <c r="AL73" s="102">
        <v>5</v>
      </c>
      <c r="AM73" s="102">
        <f>AD78</f>
        <v>172</v>
      </c>
      <c r="AN73" s="102" t="s">
        <v>27</v>
      </c>
      <c r="AO73" s="102">
        <v>5</v>
      </c>
      <c r="AP73" s="102">
        <f>AE78</f>
        <v>196.55</v>
      </c>
      <c r="AQ73" s="102" t="s">
        <v>27</v>
      </c>
      <c r="AR73" s="102">
        <v>5</v>
      </c>
      <c r="AS73" s="102">
        <f>AF78</f>
        <v>179.35</v>
      </c>
    </row>
    <row r="74" spans="1:45">
      <c r="F74" s="239"/>
      <c r="G74" s="239"/>
      <c r="H74" s="239"/>
      <c r="I74" s="102">
        <v>75</v>
      </c>
      <c r="J74" s="102">
        <v>151.76</v>
      </c>
      <c r="K74" s="102">
        <v>111</v>
      </c>
      <c r="L74" s="102">
        <v>157.46</v>
      </c>
      <c r="M74" s="102">
        <v>145.94999999999999</v>
      </c>
      <c r="N74" s="16"/>
      <c r="O74" s="102" t="s">
        <v>10</v>
      </c>
      <c r="P74" s="102">
        <v>-10</v>
      </c>
      <c r="Q74" s="102">
        <f>J83</f>
        <v>174.89</v>
      </c>
      <c r="R74" s="102" t="s">
        <v>10</v>
      </c>
      <c r="S74" s="102">
        <v>-10</v>
      </c>
      <c r="T74" s="102">
        <f>K83</f>
        <v>155</v>
      </c>
      <c r="U74" s="102" t="s">
        <v>10</v>
      </c>
      <c r="V74" s="102">
        <v>-10</v>
      </c>
      <c r="W74" s="102">
        <f>L83</f>
        <v>182.84</v>
      </c>
      <c r="X74" s="102" t="s">
        <v>10</v>
      </c>
      <c r="Y74" s="102">
        <v>-10</v>
      </c>
      <c r="Z74" s="102">
        <f>M83</f>
        <v>166.77</v>
      </c>
      <c r="AB74" s="102">
        <v>75</v>
      </c>
      <c r="AC74" s="102">
        <f t="shared" ref="AC74:AC75" si="12">J74</f>
        <v>151.76</v>
      </c>
      <c r="AD74" s="102">
        <f t="shared" si="9"/>
        <v>111</v>
      </c>
      <c r="AE74" s="102">
        <f t="shared" si="10"/>
        <v>157.46</v>
      </c>
      <c r="AF74" s="102">
        <f t="shared" si="11"/>
        <v>145.94999999999999</v>
      </c>
      <c r="AH74" s="102" t="s">
        <v>27</v>
      </c>
      <c r="AI74" s="102">
        <v>10</v>
      </c>
      <c r="AJ74" s="102">
        <f>AC83</f>
        <v>182.49</v>
      </c>
      <c r="AK74" s="102" t="s">
        <v>27</v>
      </c>
      <c r="AL74" s="102">
        <v>10</v>
      </c>
      <c r="AM74" s="102">
        <f>AD83</f>
        <v>157</v>
      </c>
      <c r="AN74" s="102" t="s">
        <v>27</v>
      </c>
      <c r="AO74" s="102">
        <v>10</v>
      </c>
      <c r="AP74" s="102">
        <f>AE83</f>
        <v>190.18</v>
      </c>
      <c r="AQ74" s="102" t="s">
        <v>27</v>
      </c>
      <c r="AR74" s="102">
        <v>10</v>
      </c>
      <c r="AS74" s="102">
        <f>AF83</f>
        <v>174.57</v>
      </c>
    </row>
    <row r="75" spans="1:45">
      <c r="F75" s="239"/>
      <c r="G75" s="239"/>
      <c r="H75" s="239"/>
      <c r="I75" s="102">
        <v>70</v>
      </c>
      <c r="J75" s="102">
        <v>139.41999999999999</v>
      </c>
      <c r="K75" s="102">
        <v>94</v>
      </c>
      <c r="L75" s="102">
        <v>144.33000000000001</v>
      </c>
      <c r="M75" s="102">
        <v>134.41999999999999</v>
      </c>
      <c r="N75" s="16"/>
      <c r="O75" s="102" t="s">
        <v>10</v>
      </c>
      <c r="P75" s="102">
        <v>-15</v>
      </c>
      <c r="Q75" s="102">
        <f>J88</f>
        <v>179</v>
      </c>
      <c r="R75" s="102" t="s">
        <v>10</v>
      </c>
      <c r="S75" s="102">
        <v>-15</v>
      </c>
      <c r="T75" s="102">
        <f>K88</f>
        <v>166</v>
      </c>
      <c r="U75" s="102" t="s">
        <v>10</v>
      </c>
      <c r="V75" s="102">
        <v>-15</v>
      </c>
      <c r="W75" s="102">
        <f>L88</f>
        <v>187.53</v>
      </c>
      <c r="X75" s="102" t="s">
        <v>10</v>
      </c>
      <c r="Y75" s="102">
        <v>-15</v>
      </c>
      <c r="Z75" s="102">
        <f>M88</f>
        <v>170.29</v>
      </c>
      <c r="AB75" s="102">
        <v>70</v>
      </c>
      <c r="AC75" s="102">
        <f t="shared" si="12"/>
        <v>139.41999999999999</v>
      </c>
      <c r="AD75" s="102">
        <f t="shared" si="9"/>
        <v>94</v>
      </c>
      <c r="AE75" s="102">
        <f t="shared" si="10"/>
        <v>144.33000000000001</v>
      </c>
      <c r="AF75" s="102">
        <f t="shared" si="11"/>
        <v>134.41999999999999</v>
      </c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</row>
    <row r="76" spans="1:45">
      <c r="N76" s="16"/>
      <c r="O76" s="102" t="s">
        <v>10</v>
      </c>
      <c r="P76" s="102">
        <v>-20</v>
      </c>
      <c r="Q76" s="102">
        <f>J93</f>
        <v>182.67</v>
      </c>
      <c r="R76" s="102" t="s">
        <v>10</v>
      </c>
      <c r="S76" s="102">
        <v>-20</v>
      </c>
      <c r="T76" s="102">
        <f>K93</f>
        <v>177</v>
      </c>
      <c r="U76" s="102" t="s">
        <v>10</v>
      </c>
      <c r="V76" s="102">
        <v>-20</v>
      </c>
      <c r="W76" s="102">
        <f>L93</f>
        <v>191.74</v>
      </c>
      <c r="X76" s="102" t="s">
        <v>10</v>
      </c>
      <c r="Y76" s="102">
        <v>-20</v>
      </c>
      <c r="Z76" s="102">
        <f>M93</f>
        <v>173.4</v>
      </c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</row>
    <row r="77" spans="1:45">
      <c r="I77" s="15">
        <v>-5</v>
      </c>
      <c r="J77" s="7" t="s">
        <v>6</v>
      </c>
      <c r="K77" s="7" t="s">
        <v>7</v>
      </c>
      <c r="L77" s="7" t="s">
        <v>8</v>
      </c>
      <c r="M77" s="7" t="s">
        <v>9</v>
      </c>
      <c r="N77" s="13"/>
      <c r="O77" s="102" t="s">
        <v>10</v>
      </c>
      <c r="P77" s="102">
        <v>-25</v>
      </c>
      <c r="Q77" s="102">
        <f>J98</f>
        <v>185.98</v>
      </c>
      <c r="R77" s="102" t="s">
        <v>10</v>
      </c>
      <c r="S77" s="102">
        <v>-25</v>
      </c>
      <c r="T77" s="102">
        <f>K98</f>
        <v>187</v>
      </c>
      <c r="U77" s="102" t="s">
        <v>10</v>
      </c>
      <c r="V77" s="102">
        <v>-25</v>
      </c>
      <c r="W77" s="102">
        <f>L98</f>
        <v>195.58</v>
      </c>
      <c r="X77" s="102" t="s">
        <v>10</v>
      </c>
      <c r="Y77" s="102">
        <v>-25</v>
      </c>
      <c r="Z77" s="102">
        <f>M98</f>
        <v>176.18</v>
      </c>
      <c r="AB77" s="15">
        <v>5</v>
      </c>
      <c r="AC77" s="7" t="s">
        <v>6</v>
      </c>
      <c r="AD77" s="7" t="s">
        <v>7</v>
      </c>
      <c r="AE77" s="7" t="s">
        <v>8</v>
      </c>
      <c r="AF77" s="7" t="s">
        <v>9</v>
      </c>
      <c r="AH77" s="102" t="s">
        <v>28</v>
      </c>
      <c r="AI77" s="9">
        <f>$B$2</f>
        <v>6.0220000000000002</v>
      </c>
      <c r="AJ77" s="11">
        <f>AJ72*(AI77-AI73)*(AI77-AI74)/((AI72-AI73)*(AI72-AI74))+AJ73*(AI77-AI72)*(AI77-AI74)/((AI73-AI72)*(AI73-AI74))+AJ74*(AI77-AI72)*(AI77-AI73)/((AI74-AI72)*(AI74-AI73))</f>
        <v>189.27606383519998</v>
      </c>
      <c r="AK77" s="102" t="s">
        <v>28</v>
      </c>
      <c r="AL77" s="9">
        <f>$B$2</f>
        <v>6.0220000000000002</v>
      </c>
      <c r="AM77" s="11">
        <f>AM72*(AL77-AL73)*(AL77-AL74)/((AL72-AL73)*(AL72-AL74))+AM73*(AL77-AL72)*(AL77-AL74)/((AL73-AL72)*(AL73-AL74))+AM74*(AL77-AL72)*(AL77-AL73)/((AL74-AL72)*(AL74-AL73))</f>
        <v>173.48737791999997</v>
      </c>
      <c r="AN77" s="102" t="s">
        <v>28</v>
      </c>
      <c r="AO77" s="9">
        <f>$B$2</f>
        <v>6.0220000000000002</v>
      </c>
      <c r="AP77" s="11">
        <f>AP72*(AO77-AO73)*(AO77-AO74)/((AO72-AO73)*(AO72-AO74))+AP73*(AO77-AO72)*(AO77-AO74)/((AO73-AO72)*(AO73-AO74))+AP74*(AO77-AO72)*(AO77-AO73)/((AO74-AO72)*(AO74-AO73))</f>
        <v>197.80680777040004</v>
      </c>
      <c r="AQ77" s="102" t="s">
        <v>28</v>
      </c>
      <c r="AR77" s="9">
        <f>$B$2</f>
        <v>6.0220000000000002</v>
      </c>
      <c r="AS77" s="11">
        <f>AS72*(AR77-AR73)*(AR77-AR74)/((AR72-AR73)*(AR72-AR74))+AS73*(AR77-AR72)*(AR77-AR74)/((AR73-AR72)*(AR73-AR74))+AS74*(AR77-AR72)*(AR77-AR73)/((AR74-AR72)*(AR74-AR73))</f>
        <v>180.49760666159995</v>
      </c>
    </row>
    <row r="78" spans="1:45">
      <c r="D78" s="238" t="s">
        <v>46</v>
      </c>
      <c r="E78" s="238"/>
      <c r="F78" s="238"/>
      <c r="I78" s="102">
        <v>80</v>
      </c>
      <c r="J78" s="102">
        <v>170.22</v>
      </c>
      <c r="K78" s="102">
        <v>144</v>
      </c>
      <c r="L78" s="102">
        <v>177.55</v>
      </c>
      <c r="M78" s="102">
        <v>162.74</v>
      </c>
      <c r="N78" s="13"/>
      <c r="O78" s="102" t="s">
        <v>11</v>
      </c>
      <c r="P78" s="9">
        <f>$B$2</f>
        <v>6.0220000000000002</v>
      </c>
      <c r="Q78" s="11">
        <f>Q72*(P78-P73)*(P78-P74)*(P78-P75)*(P78-P76)*(P78-P77)/((P72-P73)*(P72-P74)*(P72-P75)*(P72-P76)*(P72-P77))+Q73*(P78-P72)*(P78-P74)*(P78-P75)*(P78-P76)*(P78-P77)/((P73-P72)*(P73-P74)*(P73-P75)*(P73-P76)*(P73-P77))+Q74*(P78-P72)*(P78-P73)*(P78-P75)*(P78-P76)*(P78-P77)/((P74-P72)*(P74-P73)*(P74-P75)*(P74-P76)*(P74-P77))+Q75*(P78-P72)*(P78-P73)*(P78-P74)*(P78-P76)*(P78-P77)/((P75-P72)*(P75-P73)*(P75-P74)*(P75-P76)*(P75-P77))+Q76*(P78-P72)*(P78-P73)*(P78-P74)*(P78-P75)*(P78-P77)/((P76-P72)*(P76-P73)*(P76-P74)*(P76-P75)*(P76-P77))+Q77*(P78-P72)*(P78-P73)*(P78-P74)*(P78-P75)*(P78-P76)/((P77-P72)*(P77-P73)*(P77-P74)*(P77-P75)*(P77-P76))</f>
        <v>156.77634445736879</v>
      </c>
      <c r="R78" s="102" t="s">
        <v>11</v>
      </c>
      <c r="S78" s="9">
        <f>$B$2</f>
        <v>6.0220000000000002</v>
      </c>
      <c r="T78" s="11">
        <f>T72*(S78-S73)*(S78-S74)*(S78-S75)*(S78-S76)*(S78-S77)/((S72-S73)*(S72-S74)*(S72-S75)*(S72-S76)*(S72-S77))+T73*(S78-S72)*(S78-S74)*(S78-S75)*(S78-S76)*(S78-S77)/((S73-S72)*(S73-S74)*(S73-S75)*(S73-S76)*(S73-S77))+T74*(S78-S72)*(S78-S73)*(S78-S75)*(S78-S76)*(S78-S77)/((S74-S72)*(S74-S73)*(S74-S75)*(S74-S76)*(S74-S77))+T75*(S78-S72)*(S78-S73)*(S78-S74)*(S78-S76)*(S78-S77)/((S75-S72)*(S75-S73)*(S75-S74)*(S75-S76)*(S75-S77))+T76*(S78-S72)*(S78-S73)*(S78-S74)*(S78-S75)*(S78-S77)/((S76-S72)*(S76-S73)*(S76-S74)*(S76-S75)*(S76-S77))+T77*(S78-S72)*(S78-S73)*(S78-S74)*(S78-S75)*(S78-S76)/((S77-S72)*(S77-S73)*(S77-S74)*(S77-S75)*(S77-S76))</f>
        <v>105.31984392481212</v>
      </c>
      <c r="U78" s="102" t="s">
        <v>11</v>
      </c>
      <c r="V78" s="9">
        <f>$B$2</f>
        <v>6.0220000000000002</v>
      </c>
      <c r="W78" s="102">
        <f>W72*(V78-V73)*(V78-V74)*(V78-V75)*(V78-V76)*(V78-V77)/((V72-V73)*(V72-V74)*(V72-V75)*(V72-V76)*(V72-V77))+W73*(V78-V72)*(V78-V74)*(V78-V75)*(V78-V76)*(V78-V77)/((V73-V72)*(V73-V74)*(V73-V75)*(V73-V76)*(V73-V77))+W74*(V78-V72)*(V78-V73)*(V78-V75)*(V78-V76)*(V78-V77)/((V74-V72)*(V74-V73)*(V74-V75)*(V74-V76)*(V74-V77))+W75*(V78-V72)*(V78-V73)*(V78-V74)*(V78-V76)*(V78-V77)/((V75-V72)*(V75-V73)*(V75-V74)*(V75-V76)*(V75-V77))+W76*(V78-V72)*(V78-V73)*(V78-V74)*(V78-V75)*(V78-V77)/((V76-V72)*(V76-V73)*(V76-V74)*(V76-V75)*(V76-V77))+W77*(V78-V72)*(V78-V73)*(V78-V74)*(V78-V75)*(V78-V76)/((V77-V72)*(V77-V73)*(V77-V74)*(V77-V75)*(V77-V76))</f>
        <v>162.47188589851146</v>
      </c>
      <c r="X78" s="102" t="s">
        <v>11</v>
      </c>
      <c r="Y78" s="9">
        <f>$B$2</f>
        <v>6.0220000000000002</v>
      </c>
      <c r="Z78" s="11">
        <f>Z72*(Y78-Y73)*(Y78-Y74)*(Y78-Y75)*(Y78-Y76)*(Y78-Y77)/((Y72-Y73)*(Y72-Y74)*(Y72-Y75)*(Y72-Y76)*(Y72-Y77))+Z73*(Y78-Y72)*(Y78-Y74)*(Y78-Y75)*(Y78-Y76)*(Y78-Y77)/((Y73-Y72)*(Y73-Y74)*(Y73-Y75)*(Y73-Y76)*(Y73-Y77))+Z74*(Y78-Y72)*(Y78-Y73)*(Y78-Y75)*(Y78-Y76)*(Y78-Y77)/((Y74-Y72)*(Y74-Y73)*(Y74-Y75)*(Y74-Y76)*(Y74-Y77))+Z75*(Y78-Y72)*(Y78-Y73)*(Y78-Y74)*(Y78-Y76)*(Y78-Y77)/((Y75-Y72)*(Y75-Y73)*(Y75-Y74)*(Y75-Y76)*(Y75-Y77))+Z76*(Y78-Y72)*(Y78-Y73)*(Y78-Y74)*(Y78-Y75)*(Y78-Y77)/((Y76-Y72)*(Y76-Y73)*(Y76-Y74)*(Y76-Y75)*(Y76-Y77))+Z77*(Y78-Y72)*(Y78-Y73)*(Y78-Y74)*(Y78-Y75)*(Y78-Y76)/((Y77-Y72)*(Y77-Y73)*(Y77-Y74)*(Y77-Y75)*(Y77-Y76))</f>
        <v>150.79189430122835</v>
      </c>
      <c r="AB78" s="102">
        <v>90</v>
      </c>
      <c r="AC78" s="102">
        <v>188.07</v>
      </c>
      <c r="AD78" s="102">
        <v>172</v>
      </c>
      <c r="AE78" s="102">
        <v>196.55</v>
      </c>
      <c r="AF78" s="102">
        <v>179.35</v>
      </c>
    </row>
    <row r="79" spans="1:45">
      <c r="A79" s="4">
        <f>0*($B$6-0.9)*($B$6-0.8)/((1-0.9)*(1-0.8))+7.7*($B$6-1)*($B$6-0.8)/((0.9-1)*(0.9-0.8))+16.19*($B$6-1)*($B$6-0.9)/((0.8-1)*(0.8-0.9))+$B$1</f>
        <v>258.43625000000003</v>
      </c>
      <c r="D79" s="5"/>
      <c r="E79" s="26">
        <f>B1</f>
        <v>246.59</v>
      </c>
      <c r="I79" s="102">
        <v>75</v>
      </c>
      <c r="J79" s="102">
        <v>157.82</v>
      </c>
      <c r="K79" s="102">
        <v>123</v>
      </c>
      <c r="L79" s="102">
        <v>164.2</v>
      </c>
      <c r="M79" s="102">
        <v>151.32</v>
      </c>
      <c r="N79" s="13"/>
      <c r="Q79" s="1" t="s">
        <v>12</v>
      </c>
      <c r="R79" s="1"/>
      <c r="S79" s="1"/>
      <c r="T79" s="1" t="s">
        <v>13</v>
      </c>
      <c r="U79" s="1"/>
      <c r="V79" s="1"/>
      <c r="W79" s="1" t="s">
        <v>8</v>
      </c>
      <c r="X79" s="1"/>
      <c r="Y79" s="1"/>
      <c r="Z79" s="1" t="s">
        <v>9</v>
      </c>
      <c r="AB79" s="102">
        <v>85</v>
      </c>
      <c r="AC79" s="102">
        <v>172.91</v>
      </c>
      <c r="AD79" s="102">
        <v>142</v>
      </c>
      <c r="AE79" s="102">
        <v>179.97</v>
      </c>
      <c r="AF79" s="102">
        <v>165.66</v>
      </c>
      <c r="AH79" s="1"/>
      <c r="AI79" s="1"/>
      <c r="AJ79" s="1" t="s">
        <v>12</v>
      </c>
      <c r="AK79" s="1"/>
      <c r="AL79" s="1"/>
      <c r="AM79" s="1" t="s">
        <v>13</v>
      </c>
      <c r="AN79" s="1"/>
      <c r="AO79" s="1"/>
      <c r="AP79" s="1" t="s">
        <v>8</v>
      </c>
      <c r="AQ79" s="1"/>
      <c r="AR79" s="1"/>
      <c r="AS79" s="1" t="s">
        <v>9</v>
      </c>
    </row>
    <row r="80" spans="1:45">
      <c r="D80" s="5"/>
      <c r="E80" s="26">
        <f>A79</f>
        <v>258.43625000000003</v>
      </c>
      <c r="I80" s="102">
        <v>70</v>
      </c>
      <c r="J80" s="102">
        <v>146.1</v>
      </c>
      <c r="K80" s="102">
        <v>107</v>
      </c>
      <c r="L80" s="102">
        <v>151.69</v>
      </c>
      <c r="M80" s="102">
        <v>140.41</v>
      </c>
      <c r="N80" s="13"/>
      <c r="O80" s="102" t="s">
        <v>10</v>
      </c>
      <c r="P80" s="102">
        <v>0</v>
      </c>
      <c r="Q80" s="102">
        <f>J74</f>
        <v>151.76</v>
      </c>
      <c r="R80" s="102" t="s">
        <v>10</v>
      </c>
      <c r="S80" s="102">
        <v>0</v>
      </c>
      <c r="T80" s="102">
        <f>K74</f>
        <v>111</v>
      </c>
      <c r="U80" s="102" t="s">
        <v>10</v>
      </c>
      <c r="V80" s="102">
        <v>0</v>
      </c>
      <c r="W80" s="102">
        <f>L74</f>
        <v>157.46</v>
      </c>
      <c r="X80" s="102" t="s">
        <v>10</v>
      </c>
      <c r="Y80" s="102">
        <v>0</v>
      </c>
      <c r="Z80" s="102">
        <f>M74</f>
        <v>145.94999999999999</v>
      </c>
      <c r="AB80" s="102">
        <v>80</v>
      </c>
      <c r="AC80" s="102">
        <v>158.29</v>
      </c>
      <c r="AD80" s="102">
        <v>117</v>
      </c>
      <c r="AE80" s="102">
        <v>164.19</v>
      </c>
      <c r="AF80" s="102">
        <v>152.26</v>
      </c>
      <c r="AH80" s="102" t="s">
        <v>27</v>
      </c>
      <c r="AI80" s="102">
        <v>0</v>
      </c>
      <c r="AJ80" s="102">
        <f>AC74</f>
        <v>151.76</v>
      </c>
      <c r="AK80" s="102" t="s">
        <v>27</v>
      </c>
      <c r="AL80" s="102">
        <v>0</v>
      </c>
      <c r="AM80" s="102">
        <f>AD74</f>
        <v>111</v>
      </c>
      <c r="AN80" s="102" t="s">
        <v>27</v>
      </c>
      <c r="AO80" s="102">
        <v>0</v>
      </c>
      <c r="AP80" s="102">
        <f>AE74</f>
        <v>157.46</v>
      </c>
      <c r="AQ80" s="102" t="s">
        <v>27</v>
      </c>
      <c r="AR80" s="102">
        <v>0</v>
      </c>
      <c r="AS80" s="102">
        <f>AF74</f>
        <v>145.94999999999999</v>
      </c>
    </row>
    <row r="81" spans="1:45">
      <c r="A81" s="102" t="s">
        <v>23</v>
      </c>
      <c r="B81" s="102">
        <f>Plan1!$B$17</f>
        <v>86</v>
      </c>
      <c r="D81" s="3"/>
      <c r="E81" s="26">
        <f>E80-ABS((((F84-E84)/(77/(252/8.1))/(D84/100))*(E79-E85)*(E79-E86)/((E84-E85)*(E84-E86))+((F85-E85)/(77/(252/8.1))/(D85/100))*(E79-E84)*(E79-E86)/((E85-E84)*(E85-E86))+((F86-E86)/(77/(252/8.1))/(D86/100))*(E79-E84)*(E79-E85)/((E86-E84)*(E86-E85)))*(B84))</f>
        <v>258.42122405783141</v>
      </c>
      <c r="N81" s="13"/>
      <c r="O81" s="102" t="s">
        <v>10</v>
      </c>
      <c r="P81" s="102">
        <v>-5</v>
      </c>
      <c r="Q81" s="102">
        <f>J79</f>
        <v>157.82</v>
      </c>
      <c r="R81" s="102" t="s">
        <v>10</v>
      </c>
      <c r="S81" s="102">
        <v>-5</v>
      </c>
      <c r="T81" s="102">
        <f>K79</f>
        <v>123</v>
      </c>
      <c r="U81" s="102" t="s">
        <v>10</v>
      </c>
      <c r="V81" s="102">
        <v>-5</v>
      </c>
      <c r="W81" s="102">
        <f>L79</f>
        <v>164.2</v>
      </c>
      <c r="X81" s="102" t="s">
        <v>10</v>
      </c>
      <c r="Y81" s="102">
        <v>-5</v>
      </c>
      <c r="Z81" s="102">
        <f>M79</f>
        <v>151.32</v>
      </c>
      <c r="AH81" s="102" t="s">
        <v>27</v>
      </c>
      <c r="AI81" s="102">
        <v>5</v>
      </c>
      <c r="AJ81" s="102">
        <f>AC79</f>
        <v>172.91</v>
      </c>
      <c r="AK81" s="102" t="s">
        <v>27</v>
      </c>
      <c r="AL81" s="102">
        <v>5</v>
      </c>
      <c r="AM81" s="102">
        <f>AD79</f>
        <v>142</v>
      </c>
      <c r="AN81" s="102" t="s">
        <v>27</v>
      </c>
      <c r="AO81" s="102">
        <v>5</v>
      </c>
      <c r="AP81" s="102">
        <f>AE79</f>
        <v>179.97</v>
      </c>
      <c r="AQ81" s="102" t="s">
        <v>27</v>
      </c>
      <c r="AR81" s="102">
        <v>5</v>
      </c>
      <c r="AS81" s="102">
        <f>AF79</f>
        <v>165.66</v>
      </c>
    </row>
    <row r="82" spans="1:45">
      <c r="A82" s="102" t="s">
        <v>24</v>
      </c>
      <c r="B82" s="102">
        <f>Plan1!$B$18</f>
        <v>49.06</v>
      </c>
      <c r="I82" s="15">
        <v>-10</v>
      </c>
      <c r="J82" s="7" t="s">
        <v>6</v>
      </c>
      <c r="K82" s="7" t="s">
        <v>7</v>
      </c>
      <c r="L82" s="7" t="s">
        <v>8</v>
      </c>
      <c r="M82" s="7" t="s">
        <v>9</v>
      </c>
      <c r="N82" s="17"/>
      <c r="O82" s="102" t="s">
        <v>10</v>
      </c>
      <c r="P82" s="102">
        <v>-10</v>
      </c>
      <c r="Q82" s="102">
        <f>J84</f>
        <v>162.96</v>
      </c>
      <c r="R82" s="102" t="s">
        <v>10</v>
      </c>
      <c r="S82" s="102">
        <v>-10</v>
      </c>
      <c r="T82" s="102">
        <f>K84</f>
        <v>135</v>
      </c>
      <c r="U82" s="102" t="s">
        <v>10</v>
      </c>
      <c r="V82" s="102">
        <v>-10</v>
      </c>
      <c r="W82" s="102">
        <f>L84</f>
        <v>169.94</v>
      </c>
      <c r="X82" s="102" t="s">
        <v>10</v>
      </c>
      <c r="Y82" s="102">
        <v>-10</v>
      </c>
      <c r="Z82" s="102">
        <f>M84</f>
        <v>155.82</v>
      </c>
      <c r="AB82" s="15">
        <v>10</v>
      </c>
      <c r="AC82" s="7" t="s">
        <v>6</v>
      </c>
      <c r="AD82" s="7" t="s">
        <v>7</v>
      </c>
      <c r="AE82" s="7" t="s">
        <v>8</v>
      </c>
      <c r="AF82" s="7" t="s">
        <v>9</v>
      </c>
      <c r="AH82" s="102" t="s">
        <v>27</v>
      </c>
      <c r="AI82" s="102">
        <v>10</v>
      </c>
      <c r="AJ82" s="102">
        <f>AC84</f>
        <v>166.09</v>
      </c>
      <c r="AK82" s="102" t="s">
        <v>27</v>
      </c>
      <c r="AL82" s="102">
        <v>10</v>
      </c>
      <c r="AM82" s="102">
        <f>AD84</f>
        <v>126</v>
      </c>
      <c r="AN82" s="102" t="s">
        <v>27</v>
      </c>
      <c r="AO82" s="102">
        <v>10</v>
      </c>
      <c r="AP82" s="102">
        <f>AE84</f>
        <v>172.33</v>
      </c>
      <c r="AQ82" s="102" t="s">
        <v>27</v>
      </c>
      <c r="AR82" s="102">
        <v>10</v>
      </c>
      <c r="AS82" s="102">
        <f>AF84</f>
        <v>159.69</v>
      </c>
    </row>
    <row r="83" spans="1:45">
      <c r="A83" s="102" t="s">
        <v>25</v>
      </c>
      <c r="B83" s="102">
        <f>COS(RADIANS(B82))</f>
        <v>0.65526833938609963</v>
      </c>
      <c r="D83"/>
      <c r="E83" s="1" t="s">
        <v>6</v>
      </c>
      <c r="F83" s="1" t="s">
        <v>14</v>
      </c>
      <c r="G83" s="14" t="s">
        <v>15</v>
      </c>
      <c r="I83" s="102">
        <v>80</v>
      </c>
      <c r="J83" s="102">
        <v>174.89</v>
      </c>
      <c r="K83" s="102">
        <v>155</v>
      </c>
      <c r="L83" s="102">
        <v>182.84</v>
      </c>
      <c r="M83" s="102">
        <v>166.77</v>
      </c>
      <c r="N83" s="17"/>
      <c r="O83" s="102" t="s">
        <v>10</v>
      </c>
      <c r="P83" s="102">
        <v>-15</v>
      </c>
      <c r="Q83" s="102">
        <f>J89</f>
        <v>167.43</v>
      </c>
      <c r="R83" s="102" t="s">
        <v>10</v>
      </c>
      <c r="S83" s="102">
        <v>-15</v>
      </c>
      <c r="T83" s="102">
        <f>K89</f>
        <v>146</v>
      </c>
      <c r="U83" s="102" t="s">
        <v>10</v>
      </c>
      <c r="V83" s="102">
        <v>-15</v>
      </c>
      <c r="W83" s="102">
        <f>L89</f>
        <v>175.01</v>
      </c>
      <c r="X83" s="102" t="s">
        <v>10</v>
      </c>
      <c r="Y83" s="102">
        <v>-15</v>
      </c>
      <c r="Z83" s="102">
        <f>M89</f>
        <v>159.71</v>
      </c>
      <c r="AB83" s="102">
        <v>90</v>
      </c>
      <c r="AC83" s="102">
        <v>182.49</v>
      </c>
      <c r="AD83" s="102">
        <v>157</v>
      </c>
      <c r="AE83" s="102">
        <v>190.18</v>
      </c>
      <c r="AF83" s="102">
        <v>174.57</v>
      </c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</row>
    <row r="84" spans="1:45">
      <c r="A84" s="102" t="s">
        <v>26</v>
      </c>
      <c r="B84" s="102">
        <f>B5</f>
        <v>-1.8784359062401523</v>
      </c>
      <c r="D84" s="102">
        <v>80</v>
      </c>
      <c r="E84" s="102">
        <v>164.79</v>
      </c>
      <c r="F84" s="102">
        <v>165.07</v>
      </c>
      <c r="G84" s="102">
        <v>164.44</v>
      </c>
      <c r="I84" s="102">
        <v>75</v>
      </c>
      <c r="J84" s="102">
        <v>162.96</v>
      </c>
      <c r="K84" s="102">
        <v>135</v>
      </c>
      <c r="L84" s="102">
        <v>169.94</v>
      </c>
      <c r="M84" s="102">
        <v>155.82</v>
      </c>
      <c r="N84" s="17"/>
      <c r="O84" s="102" t="s">
        <v>10</v>
      </c>
      <c r="P84" s="102">
        <v>-20</v>
      </c>
      <c r="Q84" s="102">
        <f>J94</f>
        <v>171.39</v>
      </c>
      <c r="R84" s="102" t="s">
        <v>10</v>
      </c>
      <c r="S84" s="102">
        <v>-20</v>
      </c>
      <c r="T84" s="102">
        <f>K94</f>
        <v>156</v>
      </c>
      <c r="U84" s="102" t="s">
        <v>10</v>
      </c>
      <c r="V84" s="102">
        <v>-20</v>
      </c>
      <c r="W84" s="102">
        <f>L94</f>
        <v>179.52</v>
      </c>
      <c r="X84" s="102" t="s">
        <v>10</v>
      </c>
      <c r="Y84" s="102">
        <v>-20</v>
      </c>
      <c r="Z84" s="102">
        <f>M94</f>
        <v>163.12</v>
      </c>
      <c r="AB84" s="102">
        <v>85</v>
      </c>
      <c r="AC84" s="102">
        <v>166.09</v>
      </c>
      <c r="AD84" s="102">
        <v>126</v>
      </c>
      <c r="AE84" s="102">
        <v>172.33</v>
      </c>
      <c r="AF84" s="102">
        <v>159.69</v>
      </c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</row>
    <row r="85" spans="1:45">
      <c r="D85" s="102">
        <v>75</v>
      </c>
      <c r="E85" s="102">
        <v>151.76</v>
      </c>
      <c r="F85" s="102">
        <v>152.01</v>
      </c>
      <c r="G85" s="102">
        <v>151.44999999999999</v>
      </c>
      <c r="I85" s="102">
        <v>70</v>
      </c>
      <c r="J85" s="102">
        <v>151.63</v>
      </c>
      <c r="K85" s="102">
        <v>118</v>
      </c>
      <c r="L85" s="102">
        <v>157.88</v>
      </c>
      <c r="M85" s="102">
        <v>145.35</v>
      </c>
      <c r="N85" s="13"/>
      <c r="O85" s="102" t="s">
        <v>10</v>
      </c>
      <c r="P85" s="102">
        <v>-25</v>
      </c>
      <c r="Q85" s="102">
        <f>J99</f>
        <v>174.95</v>
      </c>
      <c r="R85" s="102" t="s">
        <v>10</v>
      </c>
      <c r="S85" s="102">
        <v>-25</v>
      </c>
      <c r="T85" s="102">
        <f>K99</f>
        <v>166</v>
      </c>
      <c r="U85" s="102" t="s">
        <v>10</v>
      </c>
      <c r="V85" s="102">
        <v>-25</v>
      </c>
      <c r="W85" s="102">
        <f>L99</f>
        <v>183.59</v>
      </c>
      <c r="X85" s="102" t="s">
        <v>10</v>
      </c>
      <c r="Y85" s="102">
        <v>-25</v>
      </c>
      <c r="Z85" s="102">
        <f>M99</f>
        <v>166.16</v>
      </c>
      <c r="AB85" s="102">
        <v>80</v>
      </c>
      <c r="AC85" s="102">
        <v>150.04</v>
      </c>
      <c r="AD85" s="102">
        <v>101</v>
      </c>
      <c r="AE85" s="102">
        <v>155.07</v>
      </c>
      <c r="AF85" s="102">
        <v>144.9</v>
      </c>
      <c r="AH85" s="102" t="s">
        <v>28</v>
      </c>
      <c r="AI85" s="9">
        <f>$B$2</f>
        <v>6.0220000000000002</v>
      </c>
      <c r="AJ85" s="11">
        <f>AJ80*(AI85-AI81)*(AI85-AI82)/((AI80-AI81)*(AI80-AI82))+AJ81*(AI85-AI80)*(AI85-AI82)/((AI81-AI80)*(AI81-AI82))+AJ82*(AI85-AI80)*(AI85-AI81)/((AI82-AI80)*(AI82-AI81))</f>
        <v>173.79024165040002</v>
      </c>
      <c r="AK85" s="102" t="s">
        <v>28</v>
      </c>
      <c r="AL85" s="9">
        <f>$B$2</f>
        <v>6.0220000000000002</v>
      </c>
      <c r="AM85" s="11">
        <f>AM80*(AL85-AL81)*(AL85-AL82)/((AL80-AL81)*(AL80-AL82))+AM81*(AL85-AL80)*(AL85-AL82)/((AL81-AL80)*(AL81-AL82))+AM82*(AL85-AL80)*(AL85-AL81)/((AL82-AL80)*(AL82-AL81))</f>
        <v>142.55118503999998</v>
      </c>
      <c r="AN85" s="102" t="s">
        <v>28</v>
      </c>
      <c r="AO85" s="9">
        <f>$B$2</f>
        <v>6.0220000000000002</v>
      </c>
      <c r="AP85" s="11">
        <f>AP80*(AO85-AO81)*(AO85-AO82)/((AO80-AO81)*(AO80-AO82))+AP81*(AO85-AO80)*(AO85-AO82)/((AO81-AO80)*(AO81-AO82))+AP82*(AO85-AO80)*(AO85-AO81)/((AO82-AO80)*(AO82-AO81))</f>
        <v>180.85989014800003</v>
      </c>
      <c r="AQ85" s="102" t="s">
        <v>28</v>
      </c>
      <c r="AR85" s="9">
        <f>$B$2</f>
        <v>6.0220000000000002</v>
      </c>
      <c r="AS85" s="11">
        <f>AS80*(AR85-AR81)*(AR85-AR82)/((AR80-AR81)*(AR80-AR82))+AS81*(AR85-AR80)*(AR85-AR82)/((AR81-AR80)*(AR81-AR82))+AS82*(AR85-AR80)*(AR85-AR81)/((AR82-AR80)*(AR82-AR81))</f>
        <v>166.52778101759998</v>
      </c>
    </row>
    <row r="86" spans="1:45">
      <c r="A86" s="102" t="s">
        <v>32</v>
      </c>
      <c r="B86" s="23">
        <f>$B$3*SIN(RADIANS($B$4))</f>
        <v>0.95798784374570456</v>
      </c>
      <c r="D86" s="102">
        <v>70</v>
      </c>
      <c r="E86" s="102">
        <v>139.41999999999999</v>
      </c>
      <c r="F86" s="102">
        <v>139.63</v>
      </c>
      <c r="G86" s="102">
        <v>139.16</v>
      </c>
      <c r="N86" s="13"/>
      <c r="O86" s="102" t="s">
        <v>11</v>
      </c>
      <c r="P86" s="9">
        <f>$B$2</f>
        <v>6.0220000000000002</v>
      </c>
      <c r="Q86" s="11">
        <f>Q80*(P86-P81)*(P86-P82)*(P86-P83)*(P86-P84)*(P86-P85)/((P80-P81)*(P80-P82)*(P80-P83)*(P80-P84)*(P80-P85))+Q81*(P86-P80)*(P86-P82)*(P86-P83)*(P86-P84)*(P86-P85)/((P81-P80)*(P81-P82)*(P81-P83)*(P81-P84)*(P81-P85))+Q82*(P86-P80)*(P86-P81)*(P86-P83)*(P86-P84)*(P86-P85)/((P82-P80)*(P82-P81)*(P82-P83)*(P82-P84)*(P82-P85))+Q83*(P86-P80)*(P86-P81)*(P86-P82)*(P86-P84)*(P86-P85)/((P83-P80)*(P83-P81)*(P83-P82)*(P83-P84)*(P83-P85))+Q84*(P86-P80)*(P86-P81)*(P86-P82)*(P86-P83)*(P86-P85)/((P84-P80)*(P84-P81)*(P84-P82)*(P84-P83)*(P84-P85))+Q85*(P86-P80)*(P86-P81)*(P86-P82)*(P86-P83)*(P86-P84)/((P85-P80)*(P85-P81)*(P85-P82)*(P85-P83)*(P85-P84))</f>
        <v>142.68937338467259</v>
      </c>
      <c r="R86" s="102" t="s">
        <v>11</v>
      </c>
      <c r="S86" s="9">
        <f>$B$2</f>
        <v>6.0220000000000002</v>
      </c>
      <c r="T86" s="11">
        <f>T80*(S86-S81)*(S86-S82)*(S86-S83)*(S86-S84)*(S86-S85)/((S80-S81)*(S80-S82)*(S80-S83)*(S80-S84)*(S80-S85))+T81*(S86-S80)*(S86-S82)*(S86-S83)*(S86-S84)*(S86-S85)/((S81-S80)*(S81-S82)*(S81-S83)*(S81-S84)*(S81-S85))+T82*(S86-S80)*(S86-S81)*(S86-S83)*(S86-S84)*(S86-S85)/((S82-S80)*(S82-S81)*(S82-S83)*(S82-S84)*(S82-S85))+T83*(S86-S80)*(S86-S81)*(S86-S82)*(S86-S84)*(S86-S85)/((S83-S80)*(S83-S81)*(S83-S82)*(S83-S84)*(S83-S85))+T84*(S86-S80)*(S86-S81)*(S86-S82)*(S86-S83)*(S86-S85)/((S84-S80)*(S84-S81)*(S84-S82)*(S84-S83)*(S84-S85))+T85*(S86-S80)*(S86-S81)*(S86-S82)*(S86-S83)*(S86-S84)/((S85-S80)*(S85-S81)*(S85-S82)*(S85-S83)*(S85-S84))</f>
        <v>99.455528482145667</v>
      </c>
      <c r="U86" s="102" t="s">
        <v>11</v>
      </c>
      <c r="V86" s="9">
        <f>$B$2</f>
        <v>6.0220000000000002</v>
      </c>
      <c r="W86" s="102">
        <f>W80*(V86-V81)*(V86-V82)*(V86-V83)*(V86-V84)*(V86-V85)/((V80-V81)*(V80-V82)*(V80-V83)*(V80-V84)*(V80-V85))+W81*(V86-V80)*(V86-V82)*(V86-V83)*(V86-V84)*(V86-V85)/((V81-V80)*(V81-V82)*(V81-V83)*(V81-V84)*(V81-V85))+W82*(V86-V80)*(V86-V81)*(V86-V83)*(V86-V84)*(V86-V85)/((V82-V80)*(V82-V81)*(V82-V83)*(V82-V84)*(V82-V85))+W83*(V86-V80)*(V86-V81)*(V86-V82)*(V86-V84)*(V86-V85)/((V83-V80)*(V83-V81)*(V83-V82)*(V83-V84)*(V83-V85))+W84*(V86-V80)*(V86-V81)*(V86-V82)*(V86-V83)*(V86-V85)/((V84-V80)*(V84-V81)*(V84-V82)*(V84-V83)*(V84-V85))+W85*(V86-V80)*(V86-V81)*(V86-V82)*(V86-V83)*(V86-V84)/((V85-V80)*(V85-V81)*(V85-V82)*(V85-V83)*(V85-V84))</f>
        <v>146.86224555376828</v>
      </c>
      <c r="X86" s="102" t="s">
        <v>11</v>
      </c>
      <c r="Y86" s="9">
        <f>$B$2</f>
        <v>6.0220000000000002</v>
      </c>
      <c r="Z86" s="11">
        <f>Z80*(Y86-Y81)*(Y86-Y82)*(Y86-Y83)*(Y86-Y84)*(Y86-Y85)/((Y80-Y81)*(Y80-Y82)*(Y80-Y83)*(Y80-Y84)*(Y80-Y85))+Z81*(Y86-Y80)*(Y86-Y82)*(Y86-Y83)*(Y86-Y84)*(Y86-Y85)/((Y81-Y80)*(Y81-Y82)*(Y81-Y83)*(Y81-Y84)*(Y81-Y85))+Z82*(Y86-Y80)*(Y86-Y81)*(Y86-Y83)*(Y86-Y84)*(Y86-Y85)/((Y82-Y80)*(Y82-Y81)*(Y82-Y83)*(Y82-Y84)*(Y82-Y85))+Z83*(Y86-Y80)*(Y86-Y81)*(Y86-Y82)*(Y86-Y84)*(Y86-Y85)/((Y83-Y80)*(Y83-Y81)*(Y83-Y82)*(Y83-Y84)*(Y83-Y85))+Z84*(Y86-Y80)*(Y86-Y81)*(Y86-Y82)*(Y86-Y83)*(Y86-Y85)/((Y84-Y80)*(Y84-Y81)*(Y84-Y82)*(Y84-Y83)*(Y84-Y85))+Z85*(Y86-Y80)*(Y86-Y81)*(Y86-Y82)*(Y86-Y83)*(Y86-Y84)/((Y85-Y80)*(Y85-Y81)*(Y85-Y82)*(Y85-Y83)*(Y85-Y84))</f>
        <v>137.59439642612944</v>
      </c>
    </row>
    <row r="87" spans="1:45">
      <c r="A87" s="102" t="s">
        <v>33</v>
      </c>
      <c r="B87" s="23">
        <f>$B$3*COS(RADIANS($B$4))</f>
        <v>-0.28680880606329973</v>
      </c>
      <c r="I87" s="15">
        <v>-15</v>
      </c>
      <c r="J87" s="7" t="s">
        <v>6</v>
      </c>
      <c r="K87" s="7" t="s">
        <v>7</v>
      </c>
      <c r="L87" s="7" t="s">
        <v>8</v>
      </c>
      <c r="M87" s="7" t="s">
        <v>9</v>
      </c>
      <c r="N87" s="13"/>
      <c r="Q87" s="1" t="s">
        <v>12</v>
      </c>
      <c r="R87" s="1"/>
      <c r="S87" s="1"/>
      <c r="T87" s="1" t="s">
        <v>13</v>
      </c>
      <c r="U87" s="1"/>
      <c r="V87" s="1"/>
      <c r="W87" s="1" t="s">
        <v>8</v>
      </c>
      <c r="X87" s="1"/>
      <c r="Y87" s="1"/>
      <c r="Z87" s="1" t="s">
        <v>9</v>
      </c>
      <c r="AB87" s="15"/>
      <c r="AC87" s="7"/>
      <c r="AD87" s="7"/>
      <c r="AE87" s="7"/>
      <c r="AF87" s="7"/>
      <c r="AH87" s="1"/>
      <c r="AI87" s="1"/>
      <c r="AJ87" s="1" t="s">
        <v>12</v>
      </c>
      <c r="AK87" s="1"/>
      <c r="AL87" s="1"/>
      <c r="AM87" s="1" t="s">
        <v>13</v>
      </c>
      <c r="AN87" s="1"/>
      <c r="AO87" s="1"/>
      <c r="AP87" s="1" t="s">
        <v>8</v>
      </c>
      <c r="AQ87" s="1"/>
      <c r="AR87" s="1"/>
      <c r="AS87" s="1" t="s">
        <v>9</v>
      </c>
    </row>
    <row r="88" spans="1:45">
      <c r="D88"/>
      <c r="F88" s="1" t="s">
        <v>38</v>
      </c>
      <c r="I88" s="102">
        <v>80</v>
      </c>
      <c r="J88" s="102">
        <v>179</v>
      </c>
      <c r="K88" s="102">
        <v>166</v>
      </c>
      <c r="L88" s="102">
        <v>187.53</v>
      </c>
      <c r="M88" s="102">
        <v>170.29</v>
      </c>
      <c r="N88" s="13"/>
      <c r="O88" s="102" t="s">
        <v>10</v>
      </c>
      <c r="P88" s="102">
        <v>0</v>
      </c>
      <c r="Q88" s="102">
        <f>J75</f>
        <v>139.41999999999999</v>
      </c>
      <c r="R88" s="102" t="s">
        <v>10</v>
      </c>
      <c r="S88" s="102">
        <v>0</v>
      </c>
      <c r="T88" s="102">
        <f>K75</f>
        <v>94</v>
      </c>
      <c r="U88" s="102" t="s">
        <v>10</v>
      </c>
      <c r="V88" s="102">
        <v>0</v>
      </c>
      <c r="W88" s="102">
        <f>L75</f>
        <v>144.33000000000001</v>
      </c>
      <c r="X88" s="102" t="s">
        <v>10</v>
      </c>
      <c r="Y88" s="102">
        <v>0</v>
      </c>
      <c r="Z88" s="102">
        <f>M75</f>
        <v>134.41999999999999</v>
      </c>
      <c r="AB88" s="102"/>
      <c r="AC88" s="102"/>
      <c r="AD88" s="102"/>
      <c r="AE88" s="102"/>
      <c r="AF88" s="102"/>
      <c r="AH88" s="102" t="s">
        <v>27</v>
      </c>
      <c r="AI88" s="102">
        <v>0</v>
      </c>
      <c r="AJ88" s="102">
        <f>AC75</f>
        <v>139.41999999999999</v>
      </c>
      <c r="AK88" s="102" t="s">
        <v>27</v>
      </c>
      <c r="AL88" s="102">
        <v>0</v>
      </c>
      <c r="AM88" s="102">
        <f>AD75</f>
        <v>94</v>
      </c>
      <c r="AN88" s="102" t="s">
        <v>27</v>
      </c>
      <c r="AO88" s="102">
        <v>0</v>
      </c>
      <c r="AP88" s="102">
        <f>AE75</f>
        <v>144.33000000000001</v>
      </c>
      <c r="AQ88" s="102" t="s">
        <v>27</v>
      </c>
      <c r="AR88" s="102">
        <v>0</v>
      </c>
      <c r="AS88" s="102">
        <f>AF75</f>
        <v>134.41999999999999</v>
      </c>
    </row>
    <row r="89" spans="1:45">
      <c r="A89" s="102" t="s">
        <v>31</v>
      </c>
      <c r="B89" s="102" t="s">
        <v>35</v>
      </c>
      <c r="D89" s="102">
        <v>80</v>
      </c>
      <c r="E89" s="102">
        <f>E84</f>
        <v>164.79</v>
      </c>
      <c r="F89" s="11">
        <f>E84*((D84-(100/360))-D85)*((D84-(100/360))-D86)/((D84-D85)*(D84-D86))+E85*((D84-(100/360))-D84)*((D84-(100/360))-D86)/((D85-D84)*(D85-D86))+E86*((D84-(100/360))-D84)*((D84-(100/360))-D85)/((D86-D84)*(D86-D85))</f>
        <v>164.04800925925926</v>
      </c>
      <c r="G89" s="146">
        <v>164.44</v>
      </c>
      <c r="I89" s="102">
        <v>75</v>
      </c>
      <c r="J89" s="102">
        <v>167.43</v>
      </c>
      <c r="K89" s="102">
        <v>146</v>
      </c>
      <c r="L89" s="102">
        <v>175.01</v>
      </c>
      <c r="M89" s="102">
        <v>159.71</v>
      </c>
      <c r="N89" s="13"/>
      <c r="O89" s="102" t="s">
        <v>10</v>
      </c>
      <c r="P89" s="102">
        <v>-5</v>
      </c>
      <c r="Q89" s="102">
        <f>J80</f>
        <v>146.1</v>
      </c>
      <c r="R89" s="102" t="s">
        <v>10</v>
      </c>
      <c r="S89" s="102">
        <v>-5</v>
      </c>
      <c r="T89" s="102">
        <f>K80</f>
        <v>107</v>
      </c>
      <c r="U89" s="102" t="s">
        <v>10</v>
      </c>
      <c r="V89" s="102">
        <v>-5</v>
      </c>
      <c r="W89" s="102">
        <f>L80</f>
        <v>151.69</v>
      </c>
      <c r="X89" s="102" t="s">
        <v>10</v>
      </c>
      <c r="Y89" s="102">
        <v>-5</v>
      </c>
      <c r="Z89" s="102">
        <f>M80</f>
        <v>140.41</v>
      </c>
      <c r="AB89" s="102"/>
      <c r="AC89" s="102"/>
      <c r="AD89" s="102"/>
      <c r="AE89" s="102"/>
      <c r="AF89" s="102"/>
      <c r="AH89" s="102" t="s">
        <v>27</v>
      </c>
      <c r="AI89" s="102">
        <v>5</v>
      </c>
      <c r="AJ89" s="102">
        <f>AC80</f>
        <v>158.29</v>
      </c>
      <c r="AK89" s="102" t="s">
        <v>27</v>
      </c>
      <c r="AL89" s="102">
        <v>5</v>
      </c>
      <c r="AM89" s="102">
        <f>AD80</f>
        <v>117</v>
      </c>
      <c r="AN89" s="102" t="s">
        <v>27</v>
      </c>
      <c r="AO89" s="102">
        <v>5</v>
      </c>
      <c r="AP89" s="102">
        <f>AE80</f>
        <v>164.19</v>
      </c>
      <c r="AQ89" s="102" t="s">
        <v>27</v>
      </c>
      <c r="AR89" s="102">
        <v>5</v>
      </c>
      <c r="AS89" s="102">
        <f>AF80</f>
        <v>152.26</v>
      </c>
    </row>
    <row r="90" spans="1:45">
      <c r="A90" s="22">
        <f>(F94*($E$8-E95)*($E$8-E96)/((E94-E95)*(E94-E96))+F95*($E$8-E94)*($E$8-E96)/((E95-E94)*(E95-E96))+F96*($E$8-E94)*($E$8-E95)/((E96-E94)*(E96-E95)))</f>
        <v>327.090521464326</v>
      </c>
      <c r="B90" s="23">
        <f>(B86*A90+(A91*B84))/($E$8*(44/17.5))</f>
        <v>-0.48559830109856666</v>
      </c>
      <c r="D90" s="102">
        <v>75</v>
      </c>
      <c r="E90" s="102">
        <f>E85</f>
        <v>151.76</v>
      </c>
      <c r="F90" s="11">
        <f>E84*((D85-(100/360))-D85)*((D85-(100/360))-D86)/((D84-D85)*(D84-D86))+E85*((D85-(100/360))-D84)*((D85-(100/360))-D86)/((D85-D84)*(D85-D86))+E86*((D85-(100/360))-D84)*((D85-(100/360))-D85)/((D86-D84)*(D86-D85))</f>
        <v>151.05634259259259</v>
      </c>
      <c r="G90" s="146">
        <v>151.44999999999999</v>
      </c>
      <c r="I90" s="102">
        <v>70</v>
      </c>
      <c r="J90" s="102">
        <v>156.46</v>
      </c>
      <c r="K90" s="102">
        <v>129</v>
      </c>
      <c r="L90" s="102">
        <v>163.25</v>
      </c>
      <c r="M90" s="102">
        <v>149.57</v>
      </c>
      <c r="N90" s="16"/>
      <c r="O90" s="102" t="s">
        <v>10</v>
      </c>
      <c r="P90" s="102">
        <v>-10</v>
      </c>
      <c r="Q90" s="102">
        <f>J85</f>
        <v>151.63</v>
      </c>
      <c r="R90" s="102" t="s">
        <v>10</v>
      </c>
      <c r="S90" s="102">
        <v>-10</v>
      </c>
      <c r="T90" s="102">
        <f>K85</f>
        <v>118</v>
      </c>
      <c r="U90" s="102" t="s">
        <v>10</v>
      </c>
      <c r="V90" s="102">
        <v>-10</v>
      </c>
      <c r="W90" s="102">
        <f>L85</f>
        <v>157.88</v>
      </c>
      <c r="X90" s="102" t="s">
        <v>10</v>
      </c>
      <c r="Y90" s="102">
        <v>-10</v>
      </c>
      <c r="Z90" s="102">
        <f>M85</f>
        <v>145.35</v>
      </c>
      <c r="AB90" s="102"/>
      <c r="AC90" s="102"/>
      <c r="AD90" s="102"/>
      <c r="AE90" s="102"/>
      <c r="AF90" s="102"/>
      <c r="AH90" s="102" t="s">
        <v>27</v>
      </c>
      <c r="AI90" s="102">
        <v>10</v>
      </c>
      <c r="AJ90" s="102">
        <f>AC85</f>
        <v>150.04</v>
      </c>
      <c r="AK90" s="102" t="s">
        <v>27</v>
      </c>
      <c r="AL90" s="102">
        <v>10</v>
      </c>
      <c r="AM90" s="102">
        <f>AD85</f>
        <v>101</v>
      </c>
      <c r="AN90" s="102" t="s">
        <v>27</v>
      </c>
      <c r="AO90" s="102">
        <v>10</v>
      </c>
      <c r="AP90" s="102">
        <f>AE85</f>
        <v>155.07</v>
      </c>
      <c r="AQ90" s="102" t="s">
        <v>27</v>
      </c>
      <c r="AR90" s="102">
        <v>10</v>
      </c>
      <c r="AS90" s="102">
        <f>AF85</f>
        <v>144.9</v>
      </c>
    </row>
    <row r="91" spans="1:45">
      <c r="A91" s="22">
        <f>A90*1</f>
        <v>327.090521464326</v>
      </c>
      <c r="D91" s="102">
        <v>70</v>
      </c>
      <c r="E91" s="102">
        <f>E86</f>
        <v>139.41999999999999</v>
      </c>
      <c r="F91" s="11">
        <f>E84*((D86-(100/360))-D85)*((D86-(100/360))-D86)/((D84-D85)*(D84-D86))+E85*((D86-(100/360))-D84)*((D86-(100/360))-D86)/((D85-D84)*(D85-D86))+E86*((D86-(100/360))-D84)*((D86-(100/360))-D85)/((D86-D84)*(D86-D85))</f>
        <v>138.75467592592594</v>
      </c>
      <c r="G91" s="146">
        <v>139.16</v>
      </c>
      <c r="N91" s="16"/>
      <c r="O91" s="102" t="s">
        <v>10</v>
      </c>
      <c r="P91" s="102">
        <v>-15</v>
      </c>
      <c r="Q91" s="102">
        <f>J90</f>
        <v>156.46</v>
      </c>
      <c r="R91" s="102" t="s">
        <v>10</v>
      </c>
      <c r="S91" s="102">
        <v>-15</v>
      </c>
      <c r="T91" s="102">
        <f>K90</f>
        <v>129</v>
      </c>
      <c r="U91" s="102" t="s">
        <v>10</v>
      </c>
      <c r="V91" s="102">
        <v>-15</v>
      </c>
      <c r="W91" s="102">
        <f>L90</f>
        <v>163.25</v>
      </c>
      <c r="X91" s="102" t="s">
        <v>10</v>
      </c>
      <c r="Y91" s="102">
        <v>-15</v>
      </c>
      <c r="Z91" s="102">
        <f>M90</f>
        <v>149.57</v>
      </c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</row>
    <row r="92" spans="1:45">
      <c r="D92"/>
      <c r="I92" s="15">
        <v>-20</v>
      </c>
      <c r="J92" s="7" t="s">
        <v>6</v>
      </c>
      <c r="K92" s="7" t="s">
        <v>7</v>
      </c>
      <c r="L92" s="7" t="s">
        <v>8</v>
      </c>
      <c r="M92" s="7" t="s">
        <v>9</v>
      </c>
      <c r="N92" s="16"/>
      <c r="O92" s="102" t="s">
        <v>10</v>
      </c>
      <c r="P92" s="102">
        <v>-20</v>
      </c>
      <c r="Q92" s="102">
        <f>J95</f>
        <v>160.69</v>
      </c>
      <c r="R92" s="102" t="s">
        <v>10</v>
      </c>
      <c r="S92" s="102">
        <v>-20</v>
      </c>
      <c r="T92" s="102">
        <f>K95</f>
        <v>139</v>
      </c>
      <c r="U92" s="102" t="s">
        <v>10</v>
      </c>
      <c r="V92" s="102">
        <v>-20</v>
      </c>
      <c r="W92" s="102">
        <f>L95</f>
        <v>168.01</v>
      </c>
      <c r="X92" s="102" t="s">
        <v>10</v>
      </c>
      <c r="Y92" s="102">
        <v>-20</v>
      </c>
      <c r="Z92" s="102">
        <f>M95</f>
        <v>153.25</v>
      </c>
      <c r="AB92" s="15"/>
      <c r="AC92" s="7"/>
      <c r="AD92" s="7"/>
      <c r="AE92" s="7"/>
      <c r="AF92" s="7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</row>
    <row r="93" spans="1:45">
      <c r="A93" s="102" t="s">
        <v>36</v>
      </c>
      <c r="B93" s="23">
        <f>$B$3*SIN(RADIANS($B$4+B90*0.707))</f>
        <v>0.95968920233143395</v>
      </c>
      <c r="D93"/>
      <c r="E93" s="1" t="s">
        <v>6</v>
      </c>
      <c r="F93" s="1" t="s">
        <v>7</v>
      </c>
      <c r="G93" s="1" t="s">
        <v>29</v>
      </c>
      <c r="H93" s="1" t="s">
        <v>30</v>
      </c>
      <c r="I93" s="102">
        <v>80</v>
      </c>
      <c r="J93" s="102">
        <v>182.67</v>
      </c>
      <c r="K93" s="102">
        <v>177</v>
      </c>
      <c r="L93" s="102">
        <v>191.74</v>
      </c>
      <c r="M93" s="102">
        <v>173.4</v>
      </c>
      <c r="O93" s="102" t="s">
        <v>10</v>
      </c>
      <c r="P93" s="102">
        <v>-25</v>
      </c>
      <c r="Q93" s="102">
        <f>J100</f>
        <v>164.46</v>
      </c>
      <c r="R93" s="102" t="s">
        <v>10</v>
      </c>
      <c r="S93" s="102">
        <v>-25</v>
      </c>
      <c r="T93" s="102">
        <f>K100</f>
        <v>149</v>
      </c>
      <c r="U93" s="102" t="s">
        <v>10</v>
      </c>
      <c r="V93" s="102">
        <v>-25</v>
      </c>
      <c r="W93" s="102">
        <f>L100</f>
        <v>172.29</v>
      </c>
      <c r="X93" s="102" t="s">
        <v>10</v>
      </c>
      <c r="Y93" s="102">
        <v>-25</v>
      </c>
      <c r="Z93" s="102">
        <f>M100</f>
        <v>156.5</v>
      </c>
      <c r="AB93" s="102"/>
      <c r="AC93" s="102"/>
      <c r="AD93" s="102"/>
      <c r="AE93" s="102"/>
      <c r="AF93" s="102"/>
      <c r="AH93" s="102" t="s">
        <v>28</v>
      </c>
      <c r="AI93" s="9">
        <f>$B$2</f>
        <v>6.0220000000000002</v>
      </c>
      <c r="AJ93" s="11">
        <f>AJ88*(AI93-AI89)*(AI93-AI90)/((AI88-AI89)*(AI88-AI90))+AJ89*(AI93-AI88)*(AI93-AI90)/((AI89-AI88)*(AI89-AI90))+AJ90*(AI93-AI88)*(AI93-AI89)/((AI90-AI88)*(AI90-AI89))</f>
        <v>158.8088358784</v>
      </c>
      <c r="AK93" s="102" t="s">
        <v>28</v>
      </c>
      <c r="AL93" s="9">
        <f>$B$2</f>
        <v>6.0220000000000002</v>
      </c>
      <c r="AM93" s="11">
        <f>AM88*(AL93-AL89)*(AL93-AL90)/((AL88-AL89)*(AL88-AL90))+AM89*(AL93-AL88)*(AL93-AL90)/((AL89-AL88)*(AL89-AL90))+AM90*(AL93-AL88)*(AL93-AL89)/((AL90-AL88)*(AL90-AL89))</f>
        <v>116.90070247999999</v>
      </c>
      <c r="AN93" s="102" t="s">
        <v>28</v>
      </c>
      <c r="AO93" s="9">
        <f>$B$2</f>
        <v>6.0220000000000002</v>
      </c>
      <c r="AP93" s="11">
        <f>AP88*(AO93-AO89)*(AO93-AO90)/((AO88-AO89)*(AO88-AO90))+AP89*(AO93-AO88)*(AO93-AO90)/((AO89-AO88)*(AO89-AO90))+AP90*(AO93-AO88)*(AO93-AO89)/((AO90-AO88)*(AO90-AO89))</f>
        <v>164.6822450736</v>
      </c>
      <c r="AQ93" s="102" t="s">
        <v>28</v>
      </c>
      <c r="AR93" s="9">
        <f>$B$2</f>
        <v>6.0220000000000002</v>
      </c>
      <c r="AS93" s="11">
        <f>AS88*(AR93-AR89)*(AR93-AR90)/((AR88-AR89)*(AR88-AR90))+AS89*(AR93-AR88)*(AR93-AR90)/((AR89-AR88)*(AR89-AR90))+AS90*(AR93-AR88)*(AR93-AR89)/((AR90-AR88)*(AR90-AR89))</f>
        <v>152.80463606400002</v>
      </c>
    </row>
    <row r="94" spans="1:45">
      <c r="A94" s="102" t="s">
        <v>37</v>
      </c>
      <c r="B94" s="23">
        <f>$B$3*COS(RADIANS($B$4+B90*0.5))</f>
        <v>-0.2827466310027289</v>
      </c>
      <c r="D94" s="102">
        <v>80</v>
      </c>
      <c r="E94" s="102">
        <f>IF($B$2&gt;0,AJ77,Q78)</f>
        <v>189.27606383519998</v>
      </c>
      <c r="F94" s="102">
        <f>IF($B$2&gt;0,AM77,T78)</f>
        <v>173.48737791999997</v>
      </c>
      <c r="G94" s="102">
        <f>IF($B$2&gt;0,AP77,W78)</f>
        <v>197.80680777040004</v>
      </c>
      <c r="H94" s="22">
        <f>IF($B$2&gt;0,AS77,Z78)</f>
        <v>180.49760666159995</v>
      </c>
      <c r="I94" s="102">
        <v>75</v>
      </c>
      <c r="J94" s="102">
        <v>171.39</v>
      </c>
      <c r="K94" s="102">
        <v>156</v>
      </c>
      <c r="L94" s="102">
        <v>179.52</v>
      </c>
      <c r="M94" s="102">
        <v>163.12</v>
      </c>
      <c r="O94" s="102" t="s">
        <v>11</v>
      </c>
      <c r="P94" s="9">
        <f>$B$2</f>
        <v>6.0220000000000002</v>
      </c>
      <c r="Q94" s="11">
        <f>Q88*(P94-P89)*(P94-P90)*(P94-P91)*(P94-P92)*(P94-P93)/((P88-P89)*(P88-P90)*(P88-P91)*(P88-P92)*(P88-P93))+Q89*(P94-P88)*(P94-P90)*(P94-P91)*(P94-P92)*(P94-P93)/((P89-P88)*(P89-P90)*(P89-P91)*(P89-P92)*(P89-P93))+Q90*(P94-P88)*(P94-P89)*(P94-P91)*(P94-P92)*(P94-P93)/((P90-P88)*(P90-P89)*(P90-P91)*(P90-P92)*(P90-P93))+Q91*(P94-P88)*(P94-P89)*(P94-P90)*(P94-P92)*(P94-P93)/((P91-P88)*(P91-P89)*(P91-P90)*(P91-P92)*(P91-P93))+Q92*(P94-P88)*(P94-P89)*(P94-P90)*(P94-P91)*(P94-P93)/((P92-P88)*(P92-P89)*(P92-P90)*(P92-P91)*(P92-P93))+Q93*(P94-P88)*(P94-P89)*(P94-P90)*(P94-P91)*(P94-P92)/((P93-P88)*(P93-P89)*(P93-P90)*(P93-P91)*(P93-P92))</f>
        <v>128.08327159871288</v>
      </c>
      <c r="R94" s="102" t="s">
        <v>11</v>
      </c>
      <c r="S94" s="9">
        <f>$B$2</f>
        <v>6.0220000000000002</v>
      </c>
      <c r="T94" s="11">
        <f>T88*(S94-S89)*(S94-S90)*(S94-S91)*(S94-S92)*(S94-S93)/((S88-S89)*(S88-S90)*(S88-S91)*(S88-S92)*(S88-S93))+T89*(S94-S88)*(S94-S90)*(S94-S91)*(S94-S92)*(S94-S93)/((S89-S88)*(S89-S90)*(S89-S91)*(S89-S92)*(S89-S93))+T90*(S94-S88)*(S94-S89)*(S94-S91)*(S94-S92)*(S94-S93)/((S90-S88)*(S90-S89)*(S90-S91)*(S90-S92)*(S90-S93))+T91*(S94-S88)*(S94-S89)*(S94-S90)*(S94-S92)*(S94-S93)/((S91-S88)*(S91-S89)*(S91-S90)*(S91-S92)*(S91-S93))+T92*(S94-S88)*(S94-S89)*(S94-S90)*(S94-S91)*(S94-S93)/((S92-S88)*(S92-S89)*(S92-S90)*(S92-S91)*(S92-S93))+T93*(S94-S88)*(S94-S89)*(S94-S90)*(S94-S91)*(S94-S92)/((S93-S88)*(S93-S89)*(S93-S90)*(S93-S91)*(S93-S92))</f>
        <v>60.624172415938318</v>
      </c>
      <c r="U94" s="102" t="s">
        <v>11</v>
      </c>
      <c r="V94" s="9">
        <f>$B$2</f>
        <v>6.0220000000000002</v>
      </c>
      <c r="W94" s="102">
        <f>W88*(V94-V89)*(V94-V90)*(V94-V91)*(V94-V92)*(V94-V93)/((V88-V89)*(V88-V90)*(V88-V91)*(V88-V92)*(V88-V93))+W89*(V94-V88)*(V94-V90)*(V94-V91)*(V94-V92)*(V94-V93)/((V89-V88)*(V89-V90)*(V89-V91)*(V89-V92)*(V89-V93))+W90*(V94-V88)*(V94-V89)*(V94-V91)*(V94-V92)*(V94-V93)/((V90-V88)*(V90-V89)*(V90-V91)*(V90-V92)*(V90-V93))+W91*(V94-V88)*(V94-V89)*(V94-V90)*(V94-V92)*(V94-V93)/((V91-V88)*(V91-V89)*(V91-V90)*(V91-V92)*(V91-V93))+W92*(V94-V88)*(V94-V89)*(V94-V90)*(V94-V91)*(V94-V93)/((V92-V88)*(V92-V89)*(V92-V90)*(V92-V91)*(V92-V93))+W93*(V94-V88)*(V94-V89)*(V94-V90)*(V94-V91)*(V94-V92)/((V93-V88)*(V93-V89)*(V93-V90)*(V93-V91)*(V93-V92))</f>
        <v>133.11444134670541</v>
      </c>
      <c r="X94" s="102" t="s">
        <v>11</v>
      </c>
      <c r="Y94" s="9">
        <f>$B$2</f>
        <v>6.0220000000000002</v>
      </c>
      <c r="Z94" s="11">
        <f>Z88*(Y94-Y89)*(Y94-Y90)*(Y94-Y91)*(Y94-Y92)*(Y94-Y93)/((Y88-Y89)*(Y88-Y90)*(Y88-Y91)*(Y88-Y92)*(Y88-Y93))+Z89*(Y94-Y88)*(Y94-Y90)*(Y94-Y91)*(Y94-Y92)*(Y94-Y93)/((Y89-Y88)*(Y89-Y90)*(Y89-Y91)*(Y89-Y92)*(Y89-Y93))+Z90*(Y94-Y88)*(Y94-Y89)*(Y94-Y91)*(Y94-Y92)*(Y94-Y93)/((Y90-Y88)*(Y90-Y89)*(Y90-Y91)*(Y90-Y92)*(Y90-Y93))+Z91*(Y94-Y88)*(Y94-Y89)*(Y94-Y90)*(Y94-Y92)*(Y94-Y93)/((Y91-Y88)*(Y91-Y89)*(Y91-Y90)*(Y91-Y92)*(Y91-Y93))+Z92*(Y94-Y88)*(Y94-Y89)*(Y94-Y90)*(Y94-Y91)*(Y94-Y93)/((Y92-Y88)*(Y92-Y89)*(Y92-Y90)*(Y92-Y91)*(Y92-Y93))+Z93*(Y94-Y88)*(Y94-Y89)*(Y94-Y90)*(Y94-Y91)*(Y94-Y92)/((Y93-Y88)*(Y93-Y89)*(Y93-Y90)*(Y93-Y91)*(Y93-Y92))</f>
        <v>124.99619650777123</v>
      </c>
      <c r="AB94" s="102"/>
      <c r="AC94" s="102"/>
      <c r="AD94" s="102"/>
      <c r="AE94" s="102"/>
      <c r="AF94" s="102"/>
    </row>
    <row r="95" spans="1:45">
      <c r="D95" s="102">
        <v>75</v>
      </c>
      <c r="E95" s="102">
        <f>IF($B$2&gt;0,AJ85,Q86)</f>
        <v>173.79024165040002</v>
      </c>
      <c r="F95" s="102">
        <f>IF($B$2&gt;0,AM85,T86)</f>
        <v>142.55118503999998</v>
      </c>
      <c r="G95" s="102">
        <f>IF($B$2&gt;0,AP85,W86)</f>
        <v>180.85989014800003</v>
      </c>
      <c r="H95" s="22">
        <f>IF($B$2&gt;0,AS85,Z86)</f>
        <v>166.52778101759998</v>
      </c>
      <c r="I95" s="102">
        <v>70</v>
      </c>
      <c r="J95" s="102">
        <v>160.69</v>
      </c>
      <c r="K95" s="102">
        <v>139</v>
      </c>
      <c r="L95" s="102">
        <v>168.01</v>
      </c>
      <c r="M95" s="102">
        <v>153.25</v>
      </c>
      <c r="AB95" s="102"/>
      <c r="AC95" s="102"/>
      <c r="AD95" s="102"/>
      <c r="AE95" s="102"/>
      <c r="AF95" s="102"/>
    </row>
    <row r="96" spans="1:45">
      <c r="A96" s="235" t="s">
        <v>39</v>
      </c>
      <c r="B96" s="236"/>
      <c r="D96" s="102">
        <v>70</v>
      </c>
      <c r="E96" s="102">
        <f>IF($B$2&gt;0,AJ93,Q94)</f>
        <v>158.8088358784</v>
      </c>
      <c r="F96" s="102">
        <f>IF($B$2&gt;0,AM93,T94)</f>
        <v>116.90070247999999</v>
      </c>
      <c r="G96" s="102">
        <f>IF($B$2&gt;0,AP93,W94)</f>
        <v>164.6822450736</v>
      </c>
      <c r="H96" s="22">
        <f>IF($B$2&gt;0,AS93,Z94)</f>
        <v>152.80463606400002</v>
      </c>
    </row>
    <row r="97" spans="1:32">
      <c r="A97" s="102">
        <f>F89*(E81-E90)*(E81-E91)/((E89-E90)*(E89-E91))+F90*(E81-E89)*(E81-E91)/((E90-E89)*(E90-E91))+F91*(E81-E89)*(E81-E90)/((E91-E89)*(E91-E90))</f>
        <v>257.46853185370765</v>
      </c>
      <c r="B97" s="102">
        <f>G89*(E81-E90)*(E81-E91)/((E89-E90)*(E89-E91))+G90*(E81-E89)*(E81-E91)/((E90-E89)*(E90-E91))+G91*(E81-E89)*(E81-E90)/((E91-E89)*(E91-E90))</f>
        <v>258.17036236232707</v>
      </c>
      <c r="D97"/>
      <c r="G97" s="12"/>
      <c r="H97" s="12"/>
      <c r="I97" s="15">
        <v>-25</v>
      </c>
      <c r="J97" s="7" t="s">
        <v>6</v>
      </c>
      <c r="K97" s="7" t="s">
        <v>7</v>
      </c>
      <c r="L97" s="7" t="s">
        <v>8</v>
      </c>
      <c r="M97" s="7" t="s">
        <v>9</v>
      </c>
      <c r="Y97" s="1"/>
      <c r="Z97" s="1"/>
      <c r="AB97" s="15"/>
      <c r="AC97" s="7"/>
      <c r="AD97" s="7"/>
      <c r="AE97" s="7"/>
      <c r="AF97" s="7"/>
    </row>
    <row r="98" spans="1:32">
      <c r="D98"/>
      <c r="E98" s="235" t="s">
        <v>144</v>
      </c>
      <c r="F98" s="236"/>
      <c r="G98" s="12"/>
      <c r="H98" s="12"/>
      <c r="I98" s="102">
        <v>80</v>
      </c>
      <c r="J98" s="102">
        <v>185.98</v>
      </c>
      <c r="K98" s="102">
        <v>187</v>
      </c>
      <c r="L98" s="102">
        <v>195.58</v>
      </c>
      <c r="M98" s="102">
        <v>176.18</v>
      </c>
      <c r="AB98" s="102"/>
      <c r="AC98" s="102"/>
      <c r="AD98" s="102"/>
      <c r="AE98" s="102"/>
      <c r="AF98" s="102"/>
    </row>
    <row r="99" spans="1:32">
      <c r="A99" s="102" t="s">
        <v>41</v>
      </c>
      <c r="B99" s="102" t="s">
        <v>42</v>
      </c>
      <c r="D99"/>
      <c r="E99" s="102">
        <v>80</v>
      </c>
      <c r="F99" s="11">
        <f>E94*(B94-9)*(B94--9)/((0-9)*(0--9))+G94*(B94-0)*(B94--9)/((9-0)*(9--9))+H94*(B94-0)*(B94-9)/((-9-0)*(-9-9))</f>
        <v>189.00404612972198</v>
      </c>
      <c r="G99" s="12"/>
      <c r="H99" s="12"/>
      <c r="I99" s="102">
        <v>75</v>
      </c>
      <c r="J99" s="102">
        <v>174.95</v>
      </c>
      <c r="K99" s="102">
        <v>166</v>
      </c>
      <c r="L99" s="102">
        <v>183.59</v>
      </c>
      <c r="M99" s="102">
        <v>166.16</v>
      </c>
      <c r="AB99" s="102"/>
      <c r="AC99" s="102"/>
      <c r="AD99" s="102"/>
      <c r="AE99" s="102"/>
      <c r="AF99" s="102"/>
    </row>
    <row r="100" spans="1:32">
      <c r="A100" s="23">
        <f>E99*(E81-F100)*(E81-F101)/((F99-F100)*(F99-F101))+E100*(E81-F99)*(E81-F101)/((F100-F99)*(F100-F101))+E101*(E81-F99)*(E81-F100)/((F101-F99)*(F101-F100))</f>
        <v>100.39600000710004</v>
      </c>
      <c r="B100" s="24">
        <f>(F94*(A100-D95)*(A100-D96)/((D94-D95)*(D94-D96))+F95*(A100-D94)*(A100-D96)/((D95-D94)*(D95-D96))+F96*(A100-D94)*(A100-D95)/((D96-D94)*(D96-D95)))*(B93+(B84*7/9*(A91/A90))*(A100/100))</f>
        <v>-179.73716370823482</v>
      </c>
      <c r="D100"/>
      <c r="E100" s="102">
        <v>75</v>
      </c>
      <c r="F100" s="11">
        <f>E95*(B94-9)*(B94--9)/((0-9)*(0--9))+G95*(B94-0)*(B94--9)/((9-0)*(9--9))+H95*(B94-0)*(B94-9)/((-9-0)*(-9-9))</f>
        <v>173.56501563411021</v>
      </c>
      <c r="G100" s="12"/>
      <c r="H100" s="12"/>
      <c r="I100" s="102">
        <v>70</v>
      </c>
      <c r="J100" s="102">
        <v>164.46</v>
      </c>
      <c r="K100" s="102">
        <v>149</v>
      </c>
      <c r="L100" s="102">
        <v>172.29</v>
      </c>
      <c r="M100" s="102">
        <v>156.5</v>
      </c>
      <c r="AB100" s="102"/>
      <c r="AC100" s="102"/>
      <c r="AD100" s="102"/>
      <c r="AE100" s="102"/>
      <c r="AF100" s="102"/>
    </row>
    <row r="101" spans="1:32">
      <c r="A101" s="102" t="s">
        <v>44</v>
      </c>
      <c r="B101" s="102" t="s">
        <v>43</v>
      </c>
      <c r="D101"/>
      <c r="E101" s="102">
        <v>70</v>
      </c>
      <c r="F101" s="11">
        <f>E96*(B94-9)*(B94--9)/((0-9)*(0--9))+G96*(B94-0)*(B94--9)/((9-0)*(9--9))+H96*(B94-0)*(B94-9)/((-9-0)*(-9-9))</f>
        <v>158.6221961158783</v>
      </c>
    </row>
    <row r="102" spans="1:32">
      <c r="A102" s="25">
        <f>(360-ROUNDDOWN((1-(A100/100))*360,0))*236/360</f>
        <v>236.65555555555557</v>
      </c>
      <c r="B102" s="11">
        <f>MOD((A100/100)*-360,1)*-(($E$10-A97)/($E$10-B97))+30</f>
        <v>34.195433688400087</v>
      </c>
      <c r="D102"/>
      <c r="E102" s="105" t="s">
        <v>141</v>
      </c>
      <c r="F102" s="106">
        <f>F89*($E$10-E90)*($E$10-E91)/((E89-E90)*(E89-E91))+F90*($E$10-E89)*($E$10-E91)/((E90-E89)*(E90-E91))+F91*($E$10-E89)*($E$10-E90)/((E91-E89)*(E91-E90))</f>
        <v>257.13370511683388</v>
      </c>
    </row>
  </sheetData>
  <mergeCells count="12">
    <mergeCell ref="E98:F98"/>
    <mergeCell ref="E1:F1"/>
    <mergeCell ref="D7:F7"/>
    <mergeCell ref="A26:B26"/>
    <mergeCell ref="E27:F27"/>
    <mergeCell ref="F38:H40"/>
    <mergeCell ref="D43:F43"/>
    <mergeCell ref="A61:B61"/>
    <mergeCell ref="E63:F63"/>
    <mergeCell ref="F73:H75"/>
    <mergeCell ref="D78:F78"/>
    <mergeCell ref="A96:B96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T223"/>
  <sheetViews>
    <sheetView topLeftCell="A43" zoomScale="80" zoomScaleNormal="80" workbookViewId="0">
      <selection activeCell="O83" sqref="O83"/>
    </sheetView>
  </sheetViews>
  <sheetFormatPr defaultRowHeight="15"/>
  <cols>
    <col min="1" max="2" width="9.85546875" customWidth="1"/>
    <col min="4" max="4" width="10" style="1" customWidth="1"/>
  </cols>
  <sheetData>
    <row r="1" spans="1:46">
      <c r="A1" s="7" t="s">
        <v>0</v>
      </c>
      <c r="B1" s="26">
        <f>Plan1!B1</f>
        <v>246.59</v>
      </c>
      <c r="C1" s="238" t="s">
        <v>46</v>
      </c>
      <c r="D1" s="238"/>
      <c r="E1" s="238"/>
      <c r="F1" s="189"/>
      <c r="G1" s="189"/>
      <c r="H1" s="189"/>
      <c r="I1" s="189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Plan1!B2</f>
        <v>6.0220000000000002</v>
      </c>
      <c r="C2" s="5"/>
      <c r="D2" s="26">
        <f>B1</f>
        <v>246.59</v>
      </c>
      <c r="F2" s="237" t="s">
        <v>139</v>
      </c>
      <c r="G2" s="237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07" t="s">
        <v>10</v>
      </c>
      <c r="Q2" s="107">
        <v>0</v>
      </c>
      <c r="R2" s="107">
        <f>K3</f>
        <v>321.37</v>
      </c>
      <c r="S2" s="107" t="s">
        <v>10</v>
      </c>
      <c r="T2" s="107">
        <v>0</v>
      </c>
      <c r="U2" s="107">
        <f>L3</f>
        <v>329.4410861299508</v>
      </c>
      <c r="V2" s="107" t="s">
        <v>10</v>
      </c>
      <c r="W2" s="107">
        <v>0</v>
      </c>
      <c r="X2" s="107">
        <f>M3</f>
        <v>334.17</v>
      </c>
      <c r="Y2" s="107" t="s">
        <v>10</v>
      </c>
      <c r="Z2" s="107">
        <v>0</v>
      </c>
      <c r="AA2" s="107">
        <f>N3</f>
        <v>307.82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07" t="s">
        <v>27</v>
      </c>
      <c r="AJ2" s="107">
        <v>0</v>
      </c>
      <c r="AK2" s="107">
        <f>AD3</f>
        <v>321.37</v>
      </c>
      <c r="AL2" s="107" t="s">
        <v>27</v>
      </c>
      <c r="AM2" s="107">
        <v>0</v>
      </c>
      <c r="AN2" s="107">
        <f>AE3</f>
        <v>329.4410861299508</v>
      </c>
      <c r="AO2" s="107" t="s">
        <v>27</v>
      </c>
      <c r="AP2" s="107">
        <v>0</v>
      </c>
      <c r="AQ2" s="107">
        <f>AF3</f>
        <v>334.17</v>
      </c>
      <c r="AR2" s="107" t="s">
        <v>27</v>
      </c>
      <c r="AS2" s="107">
        <v>0</v>
      </c>
      <c r="AT2" s="107">
        <f>AG3</f>
        <v>307.82</v>
      </c>
    </row>
    <row r="3" spans="1:46">
      <c r="A3" s="7" t="s">
        <v>2</v>
      </c>
      <c r="B3" s="27">
        <f>Plan1!B3</f>
        <v>1</v>
      </c>
      <c r="C3" s="5"/>
      <c r="D3" s="26">
        <f>A9</f>
        <v>258.43625000000003</v>
      </c>
      <c r="F3" s="188" t="s">
        <v>45</v>
      </c>
      <c r="G3" s="23">
        <f>A30</f>
        <v>105.99725400211932</v>
      </c>
      <c r="J3" s="188">
        <v>100</v>
      </c>
      <c r="K3" s="188">
        <v>321.37</v>
      </c>
      <c r="L3" s="188">
        <f>(640-59)/7/0.20995155/1.2</f>
        <v>329.4410861299508</v>
      </c>
      <c r="M3" s="188">
        <v>334.17</v>
      </c>
      <c r="N3" s="188">
        <v>307.82</v>
      </c>
      <c r="P3" s="107" t="s">
        <v>10</v>
      </c>
      <c r="Q3" s="107">
        <v>-5</v>
      </c>
      <c r="R3" s="107">
        <f>K8</f>
        <v>328.62</v>
      </c>
      <c r="S3" s="107" t="s">
        <v>10</v>
      </c>
      <c r="T3" s="107">
        <v>-5</v>
      </c>
      <c r="U3" s="107">
        <f>L8</f>
        <v>340.41666666666669</v>
      </c>
      <c r="V3" s="107" t="s">
        <v>10</v>
      </c>
      <c r="W3" s="107">
        <v>-5</v>
      </c>
      <c r="X3" s="107">
        <f>M8</f>
        <v>341.67</v>
      </c>
      <c r="Y3" s="107" t="s">
        <v>10</v>
      </c>
      <c r="Z3" s="107">
        <v>-5</v>
      </c>
      <c r="AA3" s="107">
        <f>N8</f>
        <v>314.8</v>
      </c>
      <c r="AC3" s="107">
        <v>100</v>
      </c>
      <c r="AD3" s="107">
        <f>K3</f>
        <v>321.37</v>
      </c>
      <c r="AE3" s="107">
        <f t="shared" ref="AE3:AG5" si="0">L3</f>
        <v>329.4410861299508</v>
      </c>
      <c r="AF3" s="107">
        <f t="shared" si="0"/>
        <v>334.17</v>
      </c>
      <c r="AG3" s="107">
        <f t="shared" si="0"/>
        <v>307.82</v>
      </c>
      <c r="AI3" s="107" t="s">
        <v>27</v>
      </c>
      <c r="AJ3" s="107">
        <v>5</v>
      </c>
      <c r="AK3" s="107">
        <f>AD8</f>
        <v>238.15</v>
      </c>
      <c r="AL3" s="107" t="s">
        <v>27</v>
      </c>
      <c r="AM3" s="107">
        <v>5</v>
      </c>
      <c r="AN3" s="107">
        <f>AE8</f>
        <v>252</v>
      </c>
      <c r="AO3" s="107" t="s">
        <v>27</v>
      </c>
      <c r="AP3" s="107">
        <v>5</v>
      </c>
      <c r="AQ3" s="107">
        <f>AF8</f>
        <v>250.11</v>
      </c>
      <c r="AR3" s="107" t="s">
        <v>27</v>
      </c>
      <c r="AS3" s="107">
        <v>5</v>
      </c>
      <c r="AT3" s="107">
        <f>AG8</f>
        <v>225.71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255.63394092377217</v>
      </c>
      <c r="F4" s="188" t="s">
        <v>140</v>
      </c>
      <c r="G4" s="24">
        <f>B30</f>
        <v>-326.38319676149484</v>
      </c>
      <c r="J4" s="188">
        <v>95</v>
      </c>
      <c r="K4" s="188">
        <v>308.14999999999998</v>
      </c>
      <c r="L4" s="188">
        <f>(640-78)/7/0.20995155/1.2</f>
        <v>318.66762548198346</v>
      </c>
      <c r="M4" s="188">
        <v>321.11</v>
      </c>
      <c r="N4" s="188">
        <v>294.60000000000002</v>
      </c>
      <c r="O4" s="16"/>
      <c r="P4" s="107" t="s">
        <v>10</v>
      </c>
      <c r="Q4" s="107">
        <v>-10</v>
      </c>
      <c r="R4" s="107">
        <f>K13</f>
        <v>335.01</v>
      </c>
      <c r="S4" s="107" t="s">
        <v>10</v>
      </c>
      <c r="T4" s="107">
        <v>-10</v>
      </c>
      <c r="U4" s="107">
        <f>L13</f>
        <v>350.97222222222223</v>
      </c>
      <c r="V4" s="107" t="s">
        <v>10</v>
      </c>
      <c r="W4" s="107">
        <v>-10</v>
      </c>
      <c r="X4" s="107">
        <f>M13</f>
        <v>348.28</v>
      </c>
      <c r="Y4" s="107" t="s">
        <v>10</v>
      </c>
      <c r="Z4" s="107">
        <v>-10</v>
      </c>
      <c r="AA4" s="107">
        <f>N13</f>
        <v>320.94</v>
      </c>
      <c r="AC4" s="107">
        <v>95</v>
      </c>
      <c r="AD4" s="107">
        <f t="shared" ref="AD4:AD5" si="1">K4</f>
        <v>308.14999999999998</v>
      </c>
      <c r="AE4" s="107">
        <f t="shared" si="0"/>
        <v>318.66762548198346</v>
      </c>
      <c r="AF4" s="107">
        <f t="shared" si="0"/>
        <v>321.11</v>
      </c>
      <c r="AG4" s="107">
        <f t="shared" si="0"/>
        <v>294.60000000000002</v>
      </c>
      <c r="AI4" s="107" t="s">
        <v>27</v>
      </c>
      <c r="AJ4" s="107">
        <v>10</v>
      </c>
      <c r="AK4" s="107">
        <f>AD13</f>
        <v>234.49</v>
      </c>
      <c r="AL4" s="107" t="s">
        <v>27</v>
      </c>
      <c r="AM4" s="107">
        <v>10</v>
      </c>
      <c r="AN4" s="107">
        <f>AE13</f>
        <v>239</v>
      </c>
      <c r="AO4" s="107" t="s">
        <v>27</v>
      </c>
      <c r="AP4" s="107">
        <v>10</v>
      </c>
      <c r="AQ4" s="107">
        <f>AF13</f>
        <v>245.77</v>
      </c>
      <c r="AR4" s="107" t="s">
        <v>27</v>
      </c>
      <c r="AS4" s="107">
        <v>10</v>
      </c>
      <c r="AT4" s="107">
        <f>AG13</f>
        <v>222.77</v>
      </c>
    </row>
    <row r="5" spans="1:46">
      <c r="A5" s="7" t="s">
        <v>4</v>
      </c>
      <c r="B5" s="7">
        <f>Plan1!B5</f>
        <v>-1.8784359062401523</v>
      </c>
      <c r="C5" s="2"/>
      <c r="F5" s="188" t="s">
        <v>127</v>
      </c>
      <c r="G5" s="25">
        <f>A32</f>
        <v>309.03333333333336</v>
      </c>
      <c r="J5" s="188">
        <v>90</v>
      </c>
      <c r="K5" s="188">
        <v>294.7</v>
      </c>
      <c r="L5" s="188">
        <f>(640-98)/7/0.20995155/1.2</f>
        <v>307.32714058938615</v>
      </c>
      <c r="M5" s="188">
        <v>307.64999999999998</v>
      </c>
      <c r="N5" s="188">
        <v>281.17</v>
      </c>
      <c r="O5" s="16"/>
      <c r="P5" s="107" t="s">
        <v>10</v>
      </c>
      <c r="Q5" s="107">
        <v>-15</v>
      </c>
      <c r="R5" s="107">
        <f>K18</f>
        <v>340.7</v>
      </c>
      <c r="S5" s="107" t="s">
        <v>10</v>
      </c>
      <c r="T5" s="107">
        <v>-15</v>
      </c>
      <c r="U5" s="107">
        <f>L18</f>
        <v>360.20833333333337</v>
      </c>
      <c r="V5" s="107" t="s">
        <v>10</v>
      </c>
      <c r="W5" s="107">
        <v>-15</v>
      </c>
      <c r="X5" s="107">
        <f>M18</f>
        <v>354.18</v>
      </c>
      <c r="Y5" s="107" t="s">
        <v>10</v>
      </c>
      <c r="Z5" s="107">
        <v>-15</v>
      </c>
      <c r="AA5" s="107">
        <f>N18</f>
        <v>326.41000000000003</v>
      </c>
      <c r="AC5" s="107">
        <v>90</v>
      </c>
      <c r="AD5" s="107">
        <f t="shared" si="1"/>
        <v>294.7</v>
      </c>
      <c r="AE5" s="107">
        <f t="shared" si="0"/>
        <v>307.32714058938615</v>
      </c>
      <c r="AF5" s="107">
        <f t="shared" si="0"/>
        <v>307.64999999999998</v>
      </c>
      <c r="AG5" s="107">
        <f t="shared" si="0"/>
        <v>281.17</v>
      </c>
      <c r="AI5" s="107" t="s">
        <v>27</v>
      </c>
      <c r="AJ5" s="107">
        <v>15</v>
      </c>
      <c r="AK5" s="107">
        <f>AD18</f>
        <v>230.33</v>
      </c>
      <c r="AL5" s="107" t="s">
        <v>27</v>
      </c>
      <c r="AM5" s="107">
        <v>15</v>
      </c>
      <c r="AN5" s="107">
        <f>AE18</f>
        <v>226</v>
      </c>
      <c r="AO5" s="107" t="s">
        <v>27</v>
      </c>
      <c r="AP5" s="107">
        <v>15</v>
      </c>
      <c r="AQ5" s="107">
        <f>AF18</f>
        <v>240.81</v>
      </c>
      <c r="AR5" s="107" t="s">
        <v>27</v>
      </c>
      <c r="AS5" s="107">
        <v>15</v>
      </c>
      <c r="AT5" s="107">
        <f>AG18</f>
        <v>219.25</v>
      </c>
    </row>
    <row r="6" spans="1:46">
      <c r="A6" s="7" t="s">
        <v>5</v>
      </c>
      <c r="B6" s="29">
        <f>Plan1!B6</f>
        <v>0.85</v>
      </c>
      <c r="C6" s="6"/>
      <c r="F6" s="188" t="s">
        <v>128</v>
      </c>
      <c r="G6" s="11">
        <f>B32</f>
        <v>29.629390368462474</v>
      </c>
      <c r="O6" s="16"/>
      <c r="P6" s="107" t="s">
        <v>10</v>
      </c>
      <c r="Q6" s="107">
        <v>-20</v>
      </c>
      <c r="R6" s="107">
        <f>K23</f>
        <v>345.81</v>
      </c>
      <c r="S6" s="107" t="s">
        <v>10</v>
      </c>
      <c r="T6" s="107">
        <v>-20</v>
      </c>
      <c r="U6" s="107">
        <f>L23</f>
        <v>368.78472222222223</v>
      </c>
      <c r="V6" s="107" t="s">
        <v>10</v>
      </c>
      <c r="W6" s="107">
        <v>-20</v>
      </c>
      <c r="X6" s="107">
        <f>M23</f>
        <v>359.48</v>
      </c>
      <c r="Y6" s="107" t="s">
        <v>10</v>
      </c>
      <c r="Z6" s="107">
        <v>-20</v>
      </c>
      <c r="AA6" s="107">
        <f>N23</f>
        <v>331.33</v>
      </c>
      <c r="AI6" s="107" t="s">
        <v>27</v>
      </c>
      <c r="AJ6" s="107">
        <v>20</v>
      </c>
      <c r="AK6" s="107">
        <f>AD23</f>
        <v>225.48</v>
      </c>
      <c r="AL6" s="107" t="s">
        <v>27</v>
      </c>
      <c r="AM6" s="107">
        <v>20</v>
      </c>
      <c r="AN6" s="107">
        <f>AE23</f>
        <v>210.5</v>
      </c>
      <c r="AO6" s="107" t="s">
        <v>27</v>
      </c>
      <c r="AP6" s="107">
        <v>20</v>
      </c>
      <c r="AQ6" s="107">
        <f>AF23</f>
        <v>235.15</v>
      </c>
      <c r="AR6" s="107" t="s">
        <v>27</v>
      </c>
      <c r="AS6" s="107">
        <v>20</v>
      </c>
      <c r="AT6" s="107">
        <f>AG23</f>
        <v>215.29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07" t="s">
        <v>10</v>
      </c>
      <c r="Q7" s="107">
        <v>-25</v>
      </c>
      <c r="R7" s="107">
        <f>K28</f>
        <v>350.45</v>
      </c>
      <c r="S7" s="107" t="s">
        <v>10</v>
      </c>
      <c r="T7" s="107">
        <v>-25</v>
      </c>
      <c r="U7" s="107">
        <f>L28</f>
        <v>377.73265096426087</v>
      </c>
      <c r="V7" s="107" t="s">
        <v>10</v>
      </c>
      <c r="W7" s="107">
        <v>-25</v>
      </c>
      <c r="X7" s="107">
        <f>M28</f>
        <v>364.29</v>
      </c>
      <c r="Y7" s="107" t="s">
        <v>10</v>
      </c>
      <c r="Z7" s="107">
        <v>-25</v>
      </c>
      <c r="AA7" s="107">
        <f>N28</f>
        <v>335.78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07" t="s">
        <v>28</v>
      </c>
      <c r="AJ7" s="9">
        <f>$B$2</f>
        <v>6.0220000000000002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234.71666039993849</v>
      </c>
      <c r="AL7" s="107" t="s">
        <v>28</v>
      </c>
      <c r="AM7" s="9">
        <f>$B$2</f>
        <v>6.0220000000000002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247.11431053947902</v>
      </c>
      <c r="AO7" s="107" t="s">
        <v>28</v>
      </c>
      <c r="AP7" s="9">
        <f>$B$2</f>
        <v>6.0220000000000002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246.5395138057456</v>
      </c>
      <c r="AR7" s="107" t="s">
        <v>28</v>
      </c>
      <c r="AS7" s="9">
        <f>$B$2</f>
        <v>6.0220000000000002</v>
      </c>
      <c r="AT7" s="11">
        <f t="shared" si="2"/>
        <v>222.44571304826019</v>
      </c>
    </row>
    <row r="8" spans="1:46">
      <c r="A8" s="98" t="s">
        <v>138</v>
      </c>
      <c r="E8" s="1" t="s">
        <v>6</v>
      </c>
      <c r="F8" s="1" t="s">
        <v>14</v>
      </c>
      <c r="G8" s="14" t="s">
        <v>15</v>
      </c>
      <c r="J8" s="188">
        <v>100</v>
      </c>
      <c r="K8" s="188">
        <v>328.62</v>
      </c>
      <c r="L8" s="188">
        <f>(630-28)/7*4.75/1.2</f>
        <v>340.41666666666669</v>
      </c>
      <c r="M8" s="188">
        <v>341.67</v>
      </c>
      <c r="N8" s="188">
        <v>314.8</v>
      </c>
      <c r="O8" s="13"/>
      <c r="P8" s="107" t="s">
        <v>11</v>
      </c>
      <c r="Q8" s="9">
        <f>$B$2</f>
        <v>6.0220000000000002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311.16343382616424</v>
      </c>
      <c r="S8" s="107" t="s">
        <v>11</v>
      </c>
      <c r="T8" s="9">
        <f>$B$2</f>
        <v>6.0220000000000002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321.10592058047121</v>
      </c>
      <c r="V8" s="107" t="s">
        <v>11</v>
      </c>
      <c r="W8" s="9">
        <f>$B$2</f>
        <v>6.0220000000000002</v>
      </c>
      <c r="X8" s="107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323.48738585103251</v>
      </c>
      <c r="Y8" s="107" t="s">
        <v>11</v>
      </c>
      <c r="Z8" s="9">
        <f>$B$2</f>
        <v>6.0220000000000002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297.96711472995844</v>
      </c>
      <c r="AC8" s="107">
        <v>100</v>
      </c>
      <c r="AD8" s="107">
        <v>238.15</v>
      </c>
      <c r="AE8" s="107">
        <v>252</v>
      </c>
      <c r="AF8" s="107">
        <v>250.11</v>
      </c>
      <c r="AG8" s="107">
        <v>225.71</v>
      </c>
    </row>
    <row r="9" spans="1:46">
      <c r="A9" s="4">
        <f>0*(B6-0.9)*(B6-0.8)/((1-0.9)*(1-0.8))+7.7*(B6-1)*(B6-0.8)/((0.9-1)*(0.9-0.8))+16.19*(B6-1)*(B6-0.9)/((0.8-1)*(0.8-0.9))+B1</f>
        <v>258.43625000000003</v>
      </c>
      <c r="D9" s="107">
        <v>100</v>
      </c>
      <c r="E9" s="107">
        <f>K3</f>
        <v>321.37</v>
      </c>
      <c r="F9" s="107">
        <v>322.14</v>
      </c>
      <c r="G9" s="107">
        <v>320.16000000000003</v>
      </c>
      <c r="J9" s="188">
        <v>95</v>
      </c>
      <c r="K9" s="188">
        <v>315.77</v>
      </c>
      <c r="L9" s="188">
        <f>(630-47)/7*4.75/1.2</f>
        <v>329.67261904761909</v>
      </c>
      <c r="M9" s="188">
        <v>329.01</v>
      </c>
      <c r="N9" s="188">
        <v>301.91000000000003</v>
      </c>
      <c r="O9" s="13"/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07">
        <v>95</v>
      </c>
      <c r="AD9" s="107">
        <v>220.88</v>
      </c>
      <c r="AE9" s="107">
        <v>205</v>
      </c>
      <c r="AF9" s="107">
        <v>237.71</v>
      </c>
      <c r="AG9" s="107">
        <v>210.74</v>
      </c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0">
        <v>95</v>
      </c>
      <c r="E10" s="107">
        <f>K4</f>
        <v>308.14999999999998</v>
      </c>
      <c r="F10" s="107">
        <v>308.99</v>
      </c>
      <c r="G10" s="107">
        <v>306.99</v>
      </c>
      <c r="J10" s="188">
        <v>90</v>
      </c>
      <c r="K10" s="188">
        <v>302.63</v>
      </c>
      <c r="L10" s="188">
        <f>(630-65)/7*4.75/1.2</f>
        <v>319.49404761904759</v>
      </c>
      <c r="M10" s="188">
        <v>315.89</v>
      </c>
      <c r="N10" s="188">
        <v>288.76</v>
      </c>
      <c r="O10" s="13"/>
      <c r="P10" s="107" t="s">
        <v>10</v>
      </c>
      <c r="Q10" s="107">
        <v>0</v>
      </c>
      <c r="R10" s="107">
        <f>K4</f>
        <v>308.14999999999998</v>
      </c>
      <c r="S10" s="107" t="s">
        <v>10</v>
      </c>
      <c r="T10" s="107">
        <v>0</v>
      </c>
      <c r="U10" s="107">
        <f>L4</f>
        <v>318.66762548198346</v>
      </c>
      <c r="V10" s="107" t="s">
        <v>10</v>
      </c>
      <c r="W10" s="107">
        <v>0</v>
      </c>
      <c r="X10" s="107">
        <f>M4</f>
        <v>321.11</v>
      </c>
      <c r="Y10" s="107" t="s">
        <v>10</v>
      </c>
      <c r="Z10" s="107">
        <v>0</v>
      </c>
      <c r="AA10" s="107">
        <f>N4</f>
        <v>294.60000000000002</v>
      </c>
      <c r="AC10" s="107">
        <v>90</v>
      </c>
      <c r="AD10" s="107">
        <v>203.63</v>
      </c>
      <c r="AE10" s="107">
        <v>166</v>
      </c>
      <c r="AF10" s="107">
        <v>211.7</v>
      </c>
      <c r="AG10" s="107">
        <v>195.35</v>
      </c>
      <c r="AI10" s="107" t="s">
        <v>27</v>
      </c>
      <c r="AJ10" s="107">
        <v>0</v>
      </c>
      <c r="AK10" s="107">
        <f>AD4</f>
        <v>308.14999999999998</v>
      </c>
      <c r="AL10" s="107" t="s">
        <v>27</v>
      </c>
      <c r="AM10" s="107">
        <v>0</v>
      </c>
      <c r="AN10" s="107">
        <f>AE4</f>
        <v>318.66762548198346</v>
      </c>
      <c r="AO10" s="107" t="s">
        <v>27</v>
      </c>
      <c r="AP10" s="107">
        <v>0</v>
      </c>
      <c r="AQ10" s="107">
        <f>AF4</f>
        <v>321.11</v>
      </c>
      <c r="AR10" s="107" t="s">
        <v>27</v>
      </c>
      <c r="AS10" s="107">
        <v>0</v>
      </c>
      <c r="AT10" s="107">
        <f>AG4</f>
        <v>294.60000000000002</v>
      </c>
    </row>
    <row r="11" spans="1:46">
      <c r="A11" s="188" t="s">
        <v>23</v>
      </c>
      <c r="B11" s="188">
        <f>Plan1!$B$17</f>
        <v>86</v>
      </c>
      <c r="D11" s="10">
        <v>90</v>
      </c>
      <c r="E11" s="107">
        <f>K5</f>
        <v>294.7</v>
      </c>
      <c r="F11" s="107">
        <v>295.76</v>
      </c>
      <c r="G11" s="107">
        <v>293.60000000000002</v>
      </c>
      <c r="O11" s="13"/>
      <c r="P11" s="107" t="s">
        <v>10</v>
      </c>
      <c r="Q11" s="107">
        <v>-5</v>
      </c>
      <c r="R11" s="107">
        <f>K9</f>
        <v>315.77</v>
      </c>
      <c r="S11" s="107" t="s">
        <v>10</v>
      </c>
      <c r="T11" s="107">
        <v>-5</v>
      </c>
      <c r="U11" s="107">
        <f>L9</f>
        <v>329.67261904761909</v>
      </c>
      <c r="V11" s="107" t="s">
        <v>10</v>
      </c>
      <c r="W11" s="107">
        <v>-5</v>
      </c>
      <c r="X11" s="107">
        <f>M9</f>
        <v>329.01</v>
      </c>
      <c r="Y11" s="107" t="s">
        <v>10</v>
      </c>
      <c r="Z11" s="107">
        <v>-5</v>
      </c>
      <c r="AA11" s="107">
        <f>N9</f>
        <v>301.91000000000003</v>
      </c>
      <c r="AI11" s="107" t="s">
        <v>27</v>
      </c>
      <c r="AJ11" s="107">
        <v>5</v>
      </c>
      <c r="AK11" s="107">
        <f>AD9</f>
        <v>220.88</v>
      </c>
      <c r="AL11" s="107" t="s">
        <v>27</v>
      </c>
      <c r="AM11" s="107">
        <v>5</v>
      </c>
      <c r="AN11" s="107">
        <f>AE9</f>
        <v>205</v>
      </c>
      <c r="AO11" s="107" t="s">
        <v>27</v>
      </c>
      <c r="AP11" s="107">
        <v>5</v>
      </c>
      <c r="AQ11" s="107">
        <f>AF9</f>
        <v>237.71</v>
      </c>
      <c r="AR11" s="107" t="s">
        <v>27</v>
      </c>
      <c r="AS11" s="107">
        <v>5</v>
      </c>
      <c r="AT11" s="107">
        <f>AG9</f>
        <v>210.74</v>
      </c>
    </row>
    <row r="12" spans="1:46">
      <c r="A12" s="188" t="s">
        <v>24</v>
      </c>
      <c r="B12" s="188">
        <f>Plan1!$B$18</f>
        <v>49.06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07" t="s">
        <v>10</v>
      </c>
      <c r="Q12" s="107">
        <v>-10</v>
      </c>
      <c r="R12" s="107">
        <f>K14</f>
        <v>322.47000000000003</v>
      </c>
      <c r="S12" s="107" t="s">
        <v>10</v>
      </c>
      <c r="T12" s="107">
        <v>-10</v>
      </c>
      <c r="U12" s="107">
        <f>L14</f>
        <v>341.07638888888891</v>
      </c>
      <c r="V12" s="107" t="s">
        <v>10</v>
      </c>
      <c r="W12" s="107">
        <v>-10</v>
      </c>
      <c r="X12" s="107">
        <f>M14</f>
        <v>335.95</v>
      </c>
      <c r="Y12" s="107" t="s">
        <v>10</v>
      </c>
      <c r="Z12" s="107">
        <v>-10</v>
      </c>
      <c r="AA12" s="107">
        <f>N14</f>
        <v>308.35000000000002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07" t="s">
        <v>27</v>
      </c>
      <c r="AJ12" s="107">
        <v>10</v>
      </c>
      <c r="AK12" s="107">
        <f>AD14</f>
        <v>216.17</v>
      </c>
      <c r="AL12" s="107" t="s">
        <v>27</v>
      </c>
      <c r="AM12" s="107">
        <v>10</v>
      </c>
      <c r="AN12" s="107">
        <f>AE14</f>
        <v>191</v>
      </c>
      <c r="AO12" s="107" t="s">
        <v>27</v>
      </c>
      <c r="AP12" s="107">
        <v>10</v>
      </c>
      <c r="AQ12" s="107">
        <f>AF14</f>
        <v>225.27</v>
      </c>
      <c r="AR12" s="107" t="s">
        <v>27</v>
      </c>
      <c r="AS12" s="107">
        <v>10</v>
      </c>
      <c r="AT12" s="107">
        <f>AG14</f>
        <v>206.77</v>
      </c>
    </row>
    <row r="13" spans="1:46">
      <c r="A13" s="188" t="s">
        <v>25</v>
      </c>
      <c r="B13" s="188">
        <f>COS(RADIANS(B12))</f>
        <v>0.65526833938609963</v>
      </c>
      <c r="D13" s="107">
        <v>100</v>
      </c>
      <c r="E13" s="107">
        <f>E9</f>
        <v>321.37</v>
      </c>
      <c r="F13" s="11">
        <f>E9*((D9-(100/360))-D10)*((D9-(100/360))-D11)/((D9-D10)*(D9-D11))+E10*((D9-(100/360))-D9)*((D9-(100/360))-D11)/((D10-D9)*(D10-D11))+E11*((D9-(100/360))-D9)*((D9-(100/360))-D10)/((D11-D9)*(D11-D10))</f>
        <v>320.64158950617281</v>
      </c>
      <c r="G13" s="107">
        <v>320.16000000000003</v>
      </c>
      <c r="J13" s="188">
        <v>100</v>
      </c>
      <c r="K13" s="188">
        <v>335.01</v>
      </c>
      <c r="L13" s="188">
        <f>(630-98)/6*4.75/1.2</f>
        <v>350.97222222222223</v>
      </c>
      <c r="M13" s="188">
        <v>348.28</v>
      </c>
      <c r="N13" s="188">
        <v>320.94</v>
      </c>
      <c r="O13" s="17"/>
      <c r="P13" s="107" t="s">
        <v>10</v>
      </c>
      <c r="Q13" s="107">
        <v>-15</v>
      </c>
      <c r="R13" s="107">
        <f>K19</f>
        <v>328.43</v>
      </c>
      <c r="S13" s="107" t="s">
        <v>10</v>
      </c>
      <c r="T13" s="107">
        <v>-15</v>
      </c>
      <c r="U13" s="107">
        <f>L19</f>
        <v>350.97222222222223</v>
      </c>
      <c r="V13" s="107" t="s">
        <v>10</v>
      </c>
      <c r="W13" s="107">
        <v>-15</v>
      </c>
      <c r="X13" s="107">
        <f>M19</f>
        <v>342.13</v>
      </c>
      <c r="Y13" s="107" t="s">
        <v>10</v>
      </c>
      <c r="Z13" s="107">
        <v>-15</v>
      </c>
      <c r="AA13" s="107">
        <f>N19</f>
        <v>314.07</v>
      </c>
      <c r="AC13" s="107">
        <v>100</v>
      </c>
      <c r="AD13" s="107">
        <v>234.49</v>
      </c>
      <c r="AE13" s="107">
        <v>239</v>
      </c>
      <c r="AF13" s="107">
        <v>245.77</v>
      </c>
      <c r="AG13" s="107">
        <v>222.77</v>
      </c>
      <c r="AI13" s="107" t="s">
        <v>27</v>
      </c>
      <c r="AJ13" s="107">
        <v>15</v>
      </c>
      <c r="AK13" s="107">
        <f>AD19</f>
        <v>210.6</v>
      </c>
      <c r="AL13" s="107" t="s">
        <v>27</v>
      </c>
      <c r="AM13" s="107">
        <v>15</v>
      </c>
      <c r="AN13" s="107">
        <f>AE19</f>
        <v>176.5</v>
      </c>
      <c r="AO13" s="107" t="s">
        <v>27</v>
      </c>
      <c r="AP13" s="107">
        <v>15</v>
      </c>
      <c r="AQ13" s="107">
        <f>AF19</f>
        <v>218.89</v>
      </c>
      <c r="AR13" s="107" t="s">
        <v>27</v>
      </c>
      <c r="AS13" s="107">
        <v>15</v>
      </c>
      <c r="AT13" s="107">
        <f>AG19</f>
        <v>201.93</v>
      </c>
    </row>
    <row r="14" spans="1:46">
      <c r="A14" s="188" t="s">
        <v>26</v>
      </c>
      <c r="B14" s="188">
        <f>B5</f>
        <v>-1.8784359062401523</v>
      </c>
      <c r="D14" s="10">
        <v>95</v>
      </c>
      <c r="E14" s="107">
        <f>E10</f>
        <v>308.14999999999998</v>
      </c>
      <c r="F14" s="11">
        <f>E9*((D10-(100/360))-D10)*((D10-(100/360))-D11)/((D9-D10)*(D9-D11))+E10*((D10-(100/360))-D9)*((D10-(100/360))-D11)/((D10-D9)*(D10-D11))+E11*((D10-(100/360))-D9)*((D10-(100/360))-D10)/((D11-D9)*(D11-D10))</f>
        <v>307.40881172839505</v>
      </c>
      <c r="G14" s="107">
        <v>306.99</v>
      </c>
      <c r="J14" s="188">
        <v>95</v>
      </c>
      <c r="K14" s="188">
        <v>322.47000000000003</v>
      </c>
      <c r="L14" s="188">
        <f>(630-113)/6*4.75/1.2</f>
        <v>341.07638888888891</v>
      </c>
      <c r="M14" s="188">
        <v>335.95</v>
      </c>
      <c r="N14" s="188">
        <v>308.35000000000002</v>
      </c>
      <c r="O14" s="17"/>
      <c r="P14" s="107" t="s">
        <v>10</v>
      </c>
      <c r="Q14" s="107">
        <v>-20</v>
      </c>
      <c r="R14" s="107">
        <f>K24</f>
        <v>333.78</v>
      </c>
      <c r="S14" s="107" t="s">
        <v>10</v>
      </c>
      <c r="T14" s="107">
        <v>-20</v>
      </c>
      <c r="U14" s="107">
        <f>L24</f>
        <v>361.19444382922319</v>
      </c>
      <c r="V14" s="107" t="s">
        <v>10</v>
      </c>
      <c r="W14" s="107">
        <v>-20</v>
      </c>
      <c r="X14" s="107">
        <f>M24</f>
        <v>347.68</v>
      </c>
      <c r="Y14" s="107" t="s">
        <v>10</v>
      </c>
      <c r="Z14" s="107">
        <v>-20</v>
      </c>
      <c r="AA14" s="107">
        <f>N24</f>
        <v>319.2</v>
      </c>
      <c r="AC14" s="107">
        <v>95</v>
      </c>
      <c r="AD14" s="107">
        <v>216.17</v>
      </c>
      <c r="AE14" s="107">
        <v>191</v>
      </c>
      <c r="AF14" s="107">
        <v>225.27</v>
      </c>
      <c r="AG14" s="107">
        <v>206.77</v>
      </c>
      <c r="AI14" s="107" t="s">
        <v>27</v>
      </c>
      <c r="AJ14" s="107">
        <v>20</v>
      </c>
      <c r="AK14" s="107">
        <f>AD24</f>
        <v>203.72</v>
      </c>
      <c r="AL14" s="107" t="s">
        <v>27</v>
      </c>
      <c r="AM14" s="107">
        <v>20</v>
      </c>
      <c r="AN14" s="107">
        <f>AE24</f>
        <v>159.5</v>
      </c>
      <c r="AO14" s="107" t="s">
        <v>27</v>
      </c>
      <c r="AP14" s="107">
        <v>20</v>
      </c>
      <c r="AQ14" s="107">
        <f>AF24</f>
        <v>211.06</v>
      </c>
      <c r="AR14" s="107" t="s">
        <v>27</v>
      </c>
      <c r="AS14" s="107">
        <v>20</v>
      </c>
      <c r="AT14" s="107">
        <f>AG24</f>
        <v>196.08</v>
      </c>
    </row>
    <row r="15" spans="1:46">
      <c r="D15" s="10">
        <v>90</v>
      </c>
      <c r="E15" s="107">
        <f>E11</f>
        <v>294.7</v>
      </c>
      <c r="F15" s="11">
        <f>E9*((D11-(100/360))-D10)*((D11-(100/360))-D11)/((D9-D10)*(D9-D11))+E10*((D11-(100/360))-D9)*((D11-(100/360))-D11)/((D10-D9)*(D10-D11))+E11*((D11-(100/360))-D9)*((D11-(100/360))-D10)/((D11-D9)*(D11-D10))</f>
        <v>293.94603395061728</v>
      </c>
      <c r="G15" s="107">
        <v>293.60000000000002</v>
      </c>
      <c r="J15" s="188">
        <v>90</v>
      </c>
      <c r="K15" s="188">
        <v>309.62</v>
      </c>
      <c r="L15" s="188">
        <f>(630-128)/6*4.75/1.2</f>
        <v>331.1805555555556</v>
      </c>
      <c r="M15" s="188">
        <v>323.14</v>
      </c>
      <c r="N15" s="188">
        <v>295.44</v>
      </c>
      <c r="O15" s="13"/>
      <c r="P15" s="107" t="s">
        <v>10</v>
      </c>
      <c r="Q15" s="107">
        <v>-25</v>
      </c>
      <c r="R15" s="107">
        <f>K29</f>
        <v>338.62</v>
      </c>
      <c r="S15" s="107" t="s">
        <v>10</v>
      </c>
      <c r="T15" s="107">
        <v>-25</v>
      </c>
      <c r="U15" s="107">
        <f>L29</f>
        <v>369.13278325404127</v>
      </c>
      <c r="V15" s="107" t="s">
        <v>10</v>
      </c>
      <c r="W15" s="107">
        <v>-25</v>
      </c>
      <c r="X15" s="107">
        <f>M29</f>
        <v>352.7</v>
      </c>
      <c r="Y15" s="107" t="s">
        <v>10</v>
      </c>
      <c r="Z15" s="107">
        <v>-25</v>
      </c>
      <c r="AA15" s="107">
        <f>N29</f>
        <v>323.83999999999997</v>
      </c>
      <c r="AC15" s="107">
        <v>90</v>
      </c>
      <c r="AD15" s="107">
        <v>197.63</v>
      </c>
      <c r="AE15" s="107">
        <v>152</v>
      </c>
      <c r="AF15" s="107">
        <v>204.92</v>
      </c>
      <c r="AG15" s="107">
        <v>190.11</v>
      </c>
      <c r="AI15" s="107" t="s">
        <v>28</v>
      </c>
      <c r="AJ15" s="9">
        <f>$B$2</f>
        <v>6.0220000000000002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217.1432174128137</v>
      </c>
      <c r="AL15" s="107" t="s">
        <v>28</v>
      </c>
      <c r="AM15" s="9">
        <f>$B$2</f>
        <v>6.0220000000000002</v>
      </c>
      <c r="AN15" s="11">
        <f t="shared" ref="AN15:AT15" si="3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198.7427142136722</v>
      </c>
      <c r="AO15" s="107" t="s">
        <v>28</v>
      </c>
      <c r="AP15" s="9">
        <f>$B$2</f>
        <v>6.0220000000000002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232.35701020537118</v>
      </c>
      <c r="AR15" s="107" t="s">
        <v>28</v>
      </c>
      <c r="AS15" s="9">
        <f>$B$2</f>
        <v>6.0220000000000002</v>
      </c>
      <c r="AT15" s="11">
        <f t="shared" si="3"/>
        <v>207.25030457355101</v>
      </c>
    </row>
    <row r="16" spans="1:46">
      <c r="A16" s="188" t="s">
        <v>32</v>
      </c>
      <c r="B16" s="23">
        <f>$B$3*SIN(RADIANS($B$4))</f>
        <v>0.95798784374570456</v>
      </c>
      <c r="D16" s="190"/>
      <c r="O16" s="13"/>
      <c r="P16" s="107" t="s">
        <v>11</v>
      </c>
      <c r="Q16" s="9">
        <f>$B$2</f>
        <v>6.0220000000000002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297.39040699828388</v>
      </c>
      <c r="S16" s="107" t="s">
        <v>11</v>
      </c>
      <c r="T16" s="9">
        <f>$B$2</f>
        <v>6.0220000000000002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326.92032746486871</v>
      </c>
      <c r="V16" s="107" t="s">
        <v>11</v>
      </c>
      <c r="W16" s="9">
        <f>$B$2</f>
        <v>6.0220000000000002</v>
      </c>
      <c r="X16" s="107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309.87088244641984</v>
      </c>
      <c r="Y16" s="107" t="s">
        <v>11</v>
      </c>
      <c r="Z16" s="9">
        <f>$B$2</f>
        <v>6.0220000000000002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284.4139349292775</v>
      </c>
    </row>
    <row r="17" spans="1:46">
      <c r="A17" s="188" t="s">
        <v>33</v>
      </c>
      <c r="B17" s="23">
        <f>$B$3*COS(RADIANS($B$4))</f>
        <v>-0.28680880606329973</v>
      </c>
      <c r="D17" s="190"/>
      <c r="E17" s="240" t="s">
        <v>40</v>
      </c>
      <c r="F17" s="241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D18" s="190"/>
      <c r="E18" s="188">
        <v>100</v>
      </c>
      <c r="F18" s="11">
        <f>E23*(B24-9)*(B24--9)/((0-9)*(0--9))+G23*(B24-0)*(B24--9)/((9-0)*(9--9))+H23*(B24-0)*(B24-9)/((-9-0)*(-9-9))</f>
        <v>234.33726329282649</v>
      </c>
      <c r="J18" s="188">
        <v>100</v>
      </c>
      <c r="K18" s="188">
        <v>340.7</v>
      </c>
      <c r="L18" s="188">
        <f>(630-84)/6*4.75/1.2</f>
        <v>360.20833333333337</v>
      </c>
      <c r="M18" s="188">
        <v>354.18</v>
      </c>
      <c r="N18" s="188">
        <v>326.41000000000003</v>
      </c>
      <c r="O18" s="13"/>
      <c r="P18" s="107" t="s">
        <v>10</v>
      </c>
      <c r="Q18" s="107">
        <v>0</v>
      </c>
      <c r="R18" s="107">
        <f>K5</f>
        <v>294.7</v>
      </c>
      <c r="S18" s="107" t="s">
        <v>10</v>
      </c>
      <c r="T18" s="107">
        <v>0</v>
      </c>
      <c r="U18" s="107">
        <f>L5</f>
        <v>307.32714058938615</v>
      </c>
      <c r="V18" s="107" t="s">
        <v>10</v>
      </c>
      <c r="W18" s="107">
        <v>0</v>
      </c>
      <c r="X18" s="107">
        <f>M5</f>
        <v>307.64999999999998</v>
      </c>
      <c r="Y18" s="107" t="s">
        <v>10</v>
      </c>
      <c r="Z18" s="107">
        <v>0</v>
      </c>
      <c r="AA18" s="107">
        <f>N5</f>
        <v>281.17</v>
      </c>
      <c r="AC18" s="107">
        <v>100</v>
      </c>
      <c r="AD18" s="107">
        <v>230.33</v>
      </c>
      <c r="AE18" s="107">
        <v>226</v>
      </c>
      <c r="AF18" s="107">
        <v>240.81</v>
      </c>
      <c r="AG18" s="107">
        <v>219.25</v>
      </c>
      <c r="AI18" s="107" t="s">
        <v>27</v>
      </c>
      <c r="AJ18" s="107">
        <v>0</v>
      </c>
      <c r="AK18" s="107">
        <f>AD5</f>
        <v>294.7</v>
      </c>
      <c r="AL18" s="107" t="s">
        <v>27</v>
      </c>
      <c r="AM18" s="107">
        <v>0</v>
      </c>
      <c r="AN18" s="107">
        <f>AE5</f>
        <v>307.32714058938615</v>
      </c>
      <c r="AO18" s="107" t="s">
        <v>27</v>
      </c>
      <c r="AP18" s="107">
        <v>0</v>
      </c>
      <c r="AQ18" s="107">
        <f>AF5</f>
        <v>307.64999999999998</v>
      </c>
      <c r="AR18" s="107" t="s">
        <v>27</v>
      </c>
      <c r="AS18" s="107">
        <v>0</v>
      </c>
      <c r="AT18" s="107">
        <f>AG5</f>
        <v>281.17</v>
      </c>
    </row>
    <row r="19" spans="1:46">
      <c r="A19" s="188" t="s">
        <v>31</v>
      </c>
      <c r="B19" s="188" t="s">
        <v>35</v>
      </c>
      <c r="D19" s="190"/>
      <c r="E19" s="188">
        <v>95</v>
      </c>
      <c r="F19" s="11">
        <f>E24*(B24-9)*(B24--9)/((0-9)*(0--9))+G24*(B24-0)*(B24--9)/((9-0)*(9--9))+H24*(B24-0)*(B24-9)/((-9-0)*(-9-9))</f>
        <v>216.75073733417182</v>
      </c>
      <c r="J19" s="188">
        <v>95</v>
      </c>
      <c r="K19" s="188">
        <v>328.43</v>
      </c>
      <c r="L19" s="188">
        <f>(630-98)/6*4.75/1.2</f>
        <v>350.97222222222223</v>
      </c>
      <c r="M19" s="188">
        <v>342.13</v>
      </c>
      <c r="N19" s="188">
        <v>314.07</v>
      </c>
      <c r="O19" s="13"/>
      <c r="P19" s="107" t="s">
        <v>10</v>
      </c>
      <c r="Q19" s="107">
        <v>-5</v>
      </c>
      <c r="R19" s="107">
        <f>K10</f>
        <v>302.63</v>
      </c>
      <c r="S19" s="107" t="s">
        <v>10</v>
      </c>
      <c r="T19" s="107">
        <v>-5</v>
      </c>
      <c r="U19" s="107">
        <f>L10</f>
        <v>319.49404761904759</v>
      </c>
      <c r="V19" s="107" t="s">
        <v>10</v>
      </c>
      <c r="W19" s="107">
        <v>-5</v>
      </c>
      <c r="X19" s="107">
        <f>M10</f>
        <v>315.89</v>
      </c>
      <c r="Y19" s="107" t="s">
        <v>10</v>
      </c>
      <c r="Z19" s="107">
        <v>-5</v>
      </c>
      <c r="AA19" s="107">
        <f>N10</f>
        <v>288.76</v>
      </c>
      <c r="AC19" s="107">
        <v>95</v>
      </c>
      <c r="AD19" s="107">
        <v>210.6</v>
      </c>
      <c r="AE19" s="107">
        <v>176.5</v>
      </c>
      <c r="AF19" s="107">
        <v>218.89</v>
      </c>
      <c r="AG19" s="107">
        <v>201.93</v>
      </c>
      <c r="AI19" s="107" t="s">
        <v>27</v>
      </c>
      <c r="AJ19" s="107">
        <v>5</v>
      </c>
      <c r="AK19" s="107">
        <f>AD10</f>
        <v>203.63</v>
      </c>
      <c r="AL19" s="107" t="s">
        <v>27</v>
      </c>
      <c r="AM19" s="107">
        <v>5</v>
      </c>
      <c r="AN19" s="107">
        <f>AE10</f>
        <v>166</v>
      </c>
      <c r="AO19" s="107" t="s">
        <v>27</v>
      </c>
      <c r="AP19" s="107">
        <v>5</v>
      </c>
      <c r="AQ19" s="107">
        <f>AF10</f>
        <v>211.7</v>
      </c>
      <c r="AR19" s="107" t="s">
        <v>27</v>
      </c>
      <c r="AS19" s="107">
        <v>5</v>
      </c>
      <c r="AT19" s="107">
        <f>AG10</f>
        <v>195.35</v>
      </c>
    </row>
    <row r="20" spans="1:46">
      <c r="A20" s="22">
        <f>(F23*(D2-E24)*(D2-E25)/((E23-E24)*(E23-E25))+F24*(D2-E23)*(D2-E25)/((E24-E23)*(E24-E25))+F25*(D2-E23)*(D2-E24)/((E25-E23)*(E25-E24)))</f>
        <v>284.6314211806033</v>
      </c>
      <c r="B20" s="23">
        <f>(B16*A20+(A21*B14))/(D2*(44/17.5))</f>
        <v>-0.42256355808111085</v>
      </c>
      <c r="D20" s="190"/>
      <c r="E20" s="188">
        <v>90</v>
      </c>
      <c r="F20" s="11">
        <f>E25*(B24-9)*(B24--9)/((0-9)*(0--9))+G25*(B24-0)*(B24--9)/((9-0)*(9--9))+H25*(B24-0)*(B24-9)/((-9-0)*(-9-9))</f>
        <v>199.31355961364719</v>
      </c>
      <c r="J20" s="188">
        <v>90</v>
      </c>
      <c r="K20" s="188">
        <v>315.82</v>
      </c>
      <c r="L20" s="188">
        <f>(630-113)/6*4.75/1.2</f>
        <v>341.07638888888891</v>
      </c>
      <c r="M20" s="188">
        <v>329.58</v>
      </c>
      <c r="N20" s="188">
        <v>301.39</v>
      </c>
      <c r="O20" s="16"/>
      <c r="P20" s="107" t="s">
        <v>10</v>
      </c>
      <c r="Q20" s="107">
        <v>-10</v>
      </c>
      <c r="R20" s="107">
        <f>K15</f>
        <v>309.62</v>
      </c>
      <c r="S20" s="107" t="s">
        <v>10</v>
      </c>
      <c r="T20" s="107">
        <v>-10</v>
      </c>
      <c r="U20" s="107">
        <f>L15</f>
        <v>331.1805555555556</v>
      </c>
      <c r="V20" s="107" t="s">
        <v>10</v>
      </c>
      <c r="W20" s="107">
        <v>-10</v>
      </c>
      <c r="X20" s="107">
        <f>M15</f>
        <v>323.14</v>
      </c>
      <c r="Y20" s="107" t="s">
        <v>10</v>
      </c>
      <c r="Z20" s="107">
        <v>-10</v>
      </c>
      <c r="AA20" s="107">
        <f>N15</f>
        <v>295.44</v>
      </c>
      <c r="AC20" s="107">
        <v>90</v>
      </c>
      <c r="AD20" s="107">
        <v>190.15</v>
      </c>
      <c r="AE20" s="107">
        <v>135.5</v>
      </c>
      <c r="AF20" s="107">
        <v>196.53</v>
      </c>
      <c r="AG20" s="107">
        <v>183.58</v>
      </c>
      <c r="AI20" s="107" t="s">
        <v>27</v>
      </c>
      <c r="AJ20" s="107">
        <v>10</v>
      </c>
      <c r="AK20" s="107">
        <f>AD15</f>
        <v>197.63</v>
      </c>
      <c r="AL20" s="107" t="s">
        <v>27</v>
      </c>
      <c r="AM20" s="107">
        <v>10</v>
      </c>
      <c r="AN20" s="107">
        <f>AE15</f>
        <v>152</v>
      </c>
      <c r="AO20" s="107" t="s">
        <v>27</v>
      </c>
      <c r="AP20" s="107">
        <v>10</v>
      </c>
      <c r="AQ20" s="107">
        <f>AF15</f>
        <v>204.92</v>
      </c>
      <c r="AR20" s="107" t="s">
        <v>27</v>
      </c>
      <c r="AS20" s="107">
        <v>10</v>
      </c>
      <c r="AT20" s="107">
        <f>AG15</f>
        <v>190.11</v>
      </c>
    </row>
    <row r="21" spans="1:46">
      <c r="A21" s="22">
        <f>A20*1</f>
        <v>284.6314211806033</v>
      </c>
      <c r="D21" s="190"/>
      <c r="O21" s="16"/>
      <c r="P21" s="107" t="s">
        <v>10</v>
      </c>
      <c r="Q21" s="107">
        <v>-15</v>
      </c>
      <c r="R21" s="107">
        <f>K20</f>
        <v>315.82</v>
      </c>
      <c r="S21" s="107" t="s">
        <v>10</v>
      </c>
      <c r="T21" s="107">
        <v>-15</v>
      </c>
      <c r="U21" s="107">
        <f>L20</f>
        <v>341.07638888888891</v>
      </c>
      <c r="V21" s="107" t="s">
        <v>10</v>
      </c>
      <c r="W21" s="107">
        <v>-15</v>
      </c>
      <c r="X21" s="107">
        <f>M20</f>
        <v>329.58</v>
      </c>
      <c r="Y21" s="107" t="s">
        <v>10</v>
      </c>
      <c r="Z21" s="107">
        <v>-15</v>
      </c>
      <c r="AA21" s="107">
        <f>N20</f>
        <v>301.39</v>
      </c>
      <c r="AI21" s="107" t="s">
        <v>27</v>
      </c>
      <c r="AJ21" s="107">
        <v>15</v>
      </c>
      <c r="AK21" s="107">
        <f>AD20</f>
        <v>190.15</v>
      </c>
      <c r="AL21" s="107" t="s">
        <v>27</v>
      </c>
      <c r="AM21" s="107">
        <v>15</v>
      </c>
      <c r="AN21" s="107">
        <f>AE20</f>
        <v>135.5</v>
      </c>
      <c r="AO21" s="107" t="s">
        <v>27</v>
      </c>
      <c r="AP21" s="107">
        <v>15</v>
      </c>
      <c r="AQ21" s="107">
        <f>AF20</f>
        <v>196.53</v>
      </c>
      <c r="AR21" s="107" t="s">
        <v>27</v>
      </c>
      <c r="AS21" s="107">
        <v>15</v>
      </c>
      <c r="AT21" s="107">
        <f>AG20</f>
        <v>183.58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07" t="s">
        <v>10</v>
      </c>
      <c r="Q22" s="107">
        <v>-20</v>
      </c>
      <c r="R22" s="107">
        <f>K25</f>
        <v>321.39</v>
      </c>
      <c r="S22" s="107" t="s">
        <v>10</v>
      </c>
      <c r="T22" s="107">
        <v>-20</v>
      </c>
      <c r="U22" s="107">
        <f>L25</f>
        <v>351.93304783360213</v>
      </c>
      <c r="V22" s="107" t="s">
        <v>10</v>
      </c>
      <c r="W22" s="107">
        <v>-20</v>
      </c>
      <c r="X22" s="107">
        <f>M25</f>
        <v>335.36</v>
      </c>
      <c r="Y22" s="107" t="s">
        <v>10</v>
      </c>
      <c r="Z22" s="107">
        <v>-20</v>
      </c>
      <c r="AA22" s="107">
        <f>N25</f>
        <v>306.72000000000003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07" t="s">
        <v>27</v>
      </c>
      <c r="AJ22" s="107">
        <v>20</v>
      </c>
      <c r="AK22" s="107">
        <f>AD25</f>
        <v>179.93</v>
      </c>
      <c r="AL22" s="107" t="s">
        <v>27</v>
      </c>
      <c r="AM22" s="107">
        <v>20</v>
      </c>
      <c r="AN22" s="107">
        <f>AE25</f>
        <v>114.5</v>
      </c>
      <c r="AO22" s="107" t="s">
        <v>27</v>
      </c>
      <c r="AP22" s="107">
        <v>20</v>
      </c>
      <c r="AQ22" s="107">
        <f>AF25</f>
        <v>185.15</v>
      </c>
      <c r="AR22" s="107" t="s">
        <v>27</v>
      </c>
      <c r="AS22" s="107">
        <v>20</v>
      </c>
      <c r="AT22" s="107">
        <f>AG25</f>
        <v>174.52</v>
      </c>
    </row>
    <row r="23" spans="1:46">
      <c r="A23" s="188" t="s">
        <v>36</v>
      </c>
      <c r="B23" s="23">
        <f>$B$3*SIN(RADIANS($B$4+B20*0.707))</f>
        <v>0.95947029649166093</v>
      </c>
      <c r="D23" s="142">
        <v>100</v>
      </c>
      <c r="E23" s="142">
        <f>IF($B$2&gt;0,E28,E33)</f>
        <v>234.71666039993849</v>
      </c>
      <c r="F23" s="142">
        <f t="shared" ref="F23:H25" si="4">IF($B$2&gt;0,F28,F33)</f>
        <v>247.11431053947902</v>
      </c>
      <c r="G23" s="142">
        <f t="shared" si="4"/>
        <v>246.5395138057456</v>
      </c>
      <c r="H23" s="142">
        <f t="shared" si="4"/>
        <v>222.44571304826019</v>
      </c>
      <c r="J23" s="188">
        <v>100</v>
      </c>
      <c r="K23" s="188">
        <v>345.81</v>
      </c>
      <c r="L23" s="188">
        <v>368.78472222222223</v>
      </c>
      <c r="M23" s="188">
        <v>359.48</v>
      </c>
      <c r="N23" s="188">
        <v>331.33</v>
      </c>
      <c r="P23" s="107" t="s">
        <v>10</v>
      </c>
      <c r="Q23" s="107">
        <v>-25</v>
      </c>
      <c r="R23" s="107">
        <f>K30</f>
        <v>326.41000000000003</v>
      </c>
      <c r="S23" s="107" t="s">
        <v>10</v>
      </c>
      <c r="T23" s="107">
        <v>-25</v>
      </c>
      <c r="U23" s="107">
        <f>L30</f>
        <v>360.53291554382167</v>
      </c>
      <c r="V23" s="107" t="s">
        <v>10</v>
      </c>
      <c r="W23" s="107">
        <v>-25</v>
      </c>
      <c r="X23" s="107">
        <f>M30</f>
        <v>340.59</v>
      </c>
      <c r="Y23" s="107" t="s">
        <v>10</v>
      </c>
      <c r="Z23" s="107">
        <v>-25</v>
      </c>
      <c r="AA23" s="107">
        <f>N30</f>
        <v>311.52999999999997</v>
      </c>
      <c r="AC23" s="107">
        <v>100</v>
      </c>
      <c r="AD23" s="107">
        <v>225.48</v>
      </c>
      <c r="AE23" s="107">
        <v>210.5</v>
      </c>
      <c r="AF23" s="107">
        <v>235.15</v>
      </c>
      <c r="AG23" s="107">
        <v>215.29</v>
      </c>
      <c r="AI23" s="107" t="s">
        <v>28</v>
      </c>
      <c r="AJ23" s="9">
        <f>$B$2</f>
        <v>6.0220000000000002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199.56162268490959</v>
      </c>
      <c r="AL23" s="107" t="s">
        <v>28</v>
      </c>
      <c r="AM23" s="9">
        <f>$B$2</f>
        <v>6.0220000000000002</v>
      </c>
      <c r="AN23" s="11">
        <f t="shared" ref="AN23:AT23" si="5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158.89651621079213</v>
      </c>
      <c r="AO23" s="107" t="s">
        <v>28</v>
      </c>
      <c r="AP23" s="9">
        <f>$B$2</f>
        <v>6.0220000000000002</v>
      </c>
      <c r="AQ23" s="11">
        <f t="shared" si="5"/>
        <v>207.33712623994973</v>
      </c>
      <c r="AR23" s="107" t="s">
        <v>28</v>
      </c>
      <c r="AS23" s="9">
        <f>$B$2</f>
        <v>6.0220000000000002</v>
      </c>
      <c r="AT23" s="11">
        <f t="shared" si="5"/>
        <v>191.58099314417888</v>
      </c>
    </row>
    <row r="24" spans="1:46">
      <c r="A24" s="188" t="s">
        <v>37</v>
      </c>
      <c r="B24" s="23">
        <f>$B$3*COS(RADIANS($B$4+B20*0.5))</f>
        <v>-0.28327422380798856</v>
      </c>
      <c r="D24" s="142">
        <v>95</v>
      </c>
      <c r="E24" s="142">
        <f>IF($B$2&gt;0,E29,E34)</f>
        <v>217.1432174128137</v>
      </c>
      <c r="F24" s="142">
        <f t="shared" si="4"/>
        <v>198.7427142136722</v>
      </c>
      <c r="G24" s="142">
        <f t="shared" si="4"/>
        <v>232.35701020537118</v>
      </c>
      <c r="H24" s="142">
        <f t="shared" si="4"/>
        <v>207.25030457355101</v>
      </c>
      <c r="J24" s="188">
        <v>95</v>
      </c>
      <c r="K24" s="188">
        <v>333.78</v>
      </c>
      <c r="L24" s="188">
        <v>361.19444382922319</v>
      </c>
      <c r="M24" s="188">
        <v>347.68</v>
      </c>
      <c r="N24" s="188">
        <v>319.2</v>
      </c>
      <c r="P24" s="107" t="s">
        <v>11</v>
      </c>
      <c r="Q24" s="9">
        <f>$B$2</f>
        <v>6.0220000000000002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283.8431000069063</v>
      </c>
      <c r="S24" s="107" t="s">
        <v>11</v>
      </c>
      <c r="T24" s="9">
        <f>$B$2</f>
        <v>6.0220000000000002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315.50824190423918</v>
      </c>
      <c r="V24" s="107" t="s">
        <v>11</v>
      </c>
      <c r="W24" s="9">
        <f>$B$2</f>
        <v>6.0220000000000002</v>
      </c>
      <c r="X24" s="107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296.12710216331379</v>
      </c>
      <c r="Y24" s="107" t="s">
        <v>11</v>
      </c>
      <c r="Z24" s="9">
        <f>$B$2</f>
        <v>6.0220000000000002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270.36795325494649</v>
      </c>
      <c r="AC24" s="107">
        <v>95</v>
      </c>
      <c r="AD24" s="107">
        <v>203.72</v>
      </c>
      <c r="AE24" s="107">
        <v>159.5</v>
      </c>
      <c r="AF24" s="107">
        <v>211.06</v>
      </c>
      <c r="AG24" s="107">
        <v>196.08</v>
      </c>
    </row>
    <row r="25" spans="1:46">
      <c r="D25" s="142">
        <v>90</v>
      </c>
      <c r="E25" s="142">
        <f>IF($B$2&gt;0,E30,E35)</f>
        <v>199.56162268490959</v>
      </c>
      <c r="F25" s="142">
        <f t="shared" si="4"/>
        <v>158.89651621079213</v>
      </c>
      <c r="G25" s="142">
        <f t="shared" si="4"/>
        <v>207.33712623994973</v>
      </c>
      <c r="H25" s="142">
        <f t="shared" si="4"/>
        <v>191.58099314417888</v>
      </c>
      <c r="J25" s="188">
        <v>90</v>
      </c>
      <c r="K25" s="188">
        <v>321.39</v>
      </c>
      <c r="L25" s="188">
        <v>351.93304783360213</v>
      </c>
      <c r="M25" s="188">
        <v>335.36</v>
      </c>
      <c r="N25" s="188">
        <v>306.72000000000003</v>
      </c>
      <c r="AC25" s="107">
        <v>90</v>
      </c>
      <c r="AD25" s="107">
        <v>179.93</v>
      </c>
      <c r="AE25" s="107">
        <v>114.5</v>
      </c>
      <c r="AF25" s="107">
        <v>185.15</v>
      </c>
      <c r="AG25" s="107">
        <v>174.52</v>
      </c>
    </row>
    <row r="26" spans="1:46">
      <c r="A26" s="240" t="s">
        <v>39</v>
      </c>
      <c r="B26" s="241"/>
      <c r="D26"/>
      <c r="E26" s="12"/>
      <c r="F26" s="12"/>
      <c r="G26" s="12"/>
      <c r="H26" s="12"/>
      <c r="R26" s="190" t="s">
        <v>12</v>
      </c>
      <c r="S26" s="190"/>
      <c r="T26" s="190"/>
      <c r="U26" s="190" t="s">
        <v>13</v>
      </c>
      <c r="V26" s="190"/>
      <c r="W26" s="190"/>
      <c r="X26" s="190" t="s">
        <v>8</v>
      </c>
      <c r="Y26" s="190"/>
      <c r="Z26" s="190"/>
      <c r="AA26" s="190" t="s">
        <v>9</v>
      </c>
    </row>
    <row r="27" spans="1:46">
      <c r="A27" s="188">
        <f>F13*(D4-E14)*(D4-E15)/((E13-E14)*(E13-E15))+F14*(D4-E13)*(D4-E15)/((E14-E13)*(E14-E15))+F15*(D4-E13)*(D4-E14)/((E15-E13)*(E15-E14))</f>
        <v>254.84413275810221</v>
      </c>
      <c r="B27" s="188">
        <f>G13*(D4-E14)*(D4-E15)/((E13-E14)*(E13-E15))+G14*(D4-E13)*(D4-E15)/((E14-E13)*(E14-E15))+G15*(D4-E13)*(D4-E14)/((E15-E13)*(E15-E14))</f>
        <v>254.76043154814806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88" t="s">
        <v>10</v>
      </c>
      <c r="Q27" s="188">
        <v>-25</v>
      </c>
      <c r="R27" s="188">
        <f>K28</f>
        <v>350.45</v>
      </c>
      <c r="S27" s="188" t="s">
        <v>10</v>
      </c>
      <c r="T27" s="188">
        <v>-25</v>
      </c>
      <c r="U27" s="188">
        <f>L28</f>
        <v>377.73265096426087</v>
      </c>
      <c r="V27" s="188" t="s">
        <v>10</v>
      </c>
      <c r="W27" s="188">
        <v>-25</v>
      </c>
      <c r="X27" s="188">
        <f>M28</f>
        <v>364.29</v>
      </c>
      <c r="Y27" s="188" t="s">
        <v>10</v>
      </c>
      <c r="Z27" s="188">
        <v>-25</v>
      </c>
      <c r="AA27" s="188">
        <f>N28</f>
        <v>335.78</v>
      </c>
      <c r="AB27" s="1"/>
      <c r="AC27" s="1"/>
      <c r="AD27" s="1"/>
      <c r="AE27" s="1"/>
      <c r="AF27" s="1"/>
      <c r="AG27" s="1"/>
      <c r="AH27" s="1"/>
    </row>
    <row r="28" spans="1:46">
      <c r="D28" s="188">
        <v>100</v>
      </c>
      <c r="E28" s="11">
        <f>AK7</f>
        <v>234.71666039993849</v>
      </c>
      <c r="F28" s="11">
        <f>AN7</f>
        <v>247.11431053947902</v>
      </c>
      <c r="G28" s="11">
        <f>AQ7</f>
        <v>246.5395138057456</v>
      </c>
      <c r="H28" s="145">
        <f>AT7</f>
        <v>222.44571304826019</v>
      </c>
      <c r="J28" s="107">
        <v>100</v>
      </c>
      <c r="K28" s="107">
        <v>350.45</v>
      </c>
      <c r="L28" s="107">
        <v>377.73265096426087</v>
      </c>
      <c r="M28" s="107">
        <v>364.29</v>
      </c>
      <c r="N28" s="107">
        <v>335.78</v>
      </c>
      <c r="P28" s="188" t="s">
        <v>10</v>
      </c>
      <c r="Q28" s="188">
        <v>-30</v>
      </c>
      <c r="R28" s="188">
        <f>K33</f>
        <v>354.68</v>
      </c>
      <c r="S28" s="188" t="s">
        <v>10</v>
      </c>
      <c r="T28" s="188">
        <v>-30</v>
      </c>
      <c r="U28" s="188">
        <f>L33</f>
        <v>384.6180555555556</v>
      </c>
      <c r="V28" s="188" t="s">
        <v>10</v>
      </c>
      <c r="W28" s="188">
        <v>-30</v>
      </c>
      <c r="X28" s="188">
        <f>M33</f>
        <v>368.69</v>
      </c>
      <c r="Y28" s="188" t="s">
        <v>10</v>
      </c>
      <c r="Z28" s="188">
        <v>-30</v>
      </c>
      <c r="AA28" s="188">
        <f>N33</f>
        <v>339.83</v>
      </c>
      <c r="AB28" s="97"/>
      <c r="AC28" s="1"/>
      <c r="AD28" s="1"/>
      <c r="AE28" s="1"/>
      <c r="AF28" s="1"/>
      <c r="AG28" s="1"/>
      <c r="AH28" s="1"/>
    </row>
    <row r="29" spans="1:46">
      <c r="A29" s="188" t="s">
        <v>41</v>
      </c>
      <c r="B29" s="188" t="s">
        <v>42</v>
      </c>
      <c r="D29" s="188">
        <v>95</v>
      </c>
      <c r="E29" s="11">
        <f>AK15</f>
        <v>217.1432174128137</v>
      </c>
      <c r="F29" s="11">
        <f>AN15</f>
        <v>198.7427142136722</v>
      </c>
      <c r="G29" s="11">
        <f>AQ15</f>
        <v>232.35701020537118</v>
      </c>
      <c r="H29" s="145">
        <f>AT15</f>
        <v>207.25030457355101</v>
      </c>
      <c r="J29" s="107">
        <v>95</v>
      </c>
      <c r="K29" s="107">
        <v>338.62</v>
      </c>
      <c r="L29" s="107">
        <v>369.13278325404127</v>
      </c>
      <c r="M29" s="107">
        <v>352.7</v>
      </c>
      <c r="N29" s="107">
        <v>323.83999999999997</v>
      </c>
      <c r="P29" s="188" t="s">
        <v>10</v>
      </c>
      <c r="Q29" s="188">
        <v>-35</v>
      </c>
      <c r="R29" s="188">
        <f>K38</f>
        <v>358.57</v>
      </c>
      <c r="S29" s="188" t="s">
        <v>10</v>
      </c>
      <c r="T29" s="188">
        <v>-35</v>
      </c>
      <c r="U29" s="188">
        <f>L38</f>
        <v>391.21527777777777</v>
      </c>
      <c r="V29" s="188" t="s">
        <v>10</v>
      </c>
      <c r="W29" s="188">
        <v>-35</v>
      </c>
      <c r="X29" s="188">
        <f>M38</f>
        <v>372.73</v>
      </c>
      <c r="Y29" s="188" t="s">
        <v>10</v>
      </c>
      <c r="Z29" s="188">
        <v>-35</v>
      </c>
      <c r="AA29" s="188">
        <f>N38</f>
        <v>343.55</v>
      </c>
      <c r="AB29" s="97"/>
      <c r="AC29" s="1"/>
      <c r="AD29" s="1"/>
      <c r="AE29" s="1"/>
      <c r="AF29" s="1"/>
      <c r="AG29" s="1"/>
      <c r="AH29" s="1"/>
    </row>
    <row r="30" spans="1:46">
      <c r="A30" s="11">
        <f>E18*(D4-F19)*(D4-F20)/((F18-F19)*(F18-F20))+E19*(D4-F18)*(D4-F20)/((F19-F18)*(F19-F20))+E20*(D4-F18)*(D4-F19)/((F20-F18)*(F20-F19))</f>
        <v>105.99725400211932</v>
      </c>
      <c r="B30" s="24">
        <f>(F23*(A30-D24)*(A30-D25)/((D23-D24)*(D23-D25))+F24*(A30-D23)*(A30-D25)/((D24-D23)*(D24-D25))+F25*(A30-D23)*(A30-D24)/((D25-D23)*(D25-D24)))*(B23+(B14*(A21/A20))*(A30/100))</f>
        <v>-326.38319676149484</v>
      </c>
      <c r="D30" s="188">
        <v>90</v>
      </c>
      <c r="E30" s="11">
        <f>AK23</f>
        <v>199.56162268490959</v>
      </c>
      <c r="F30" s="11">
        <f>AN23</f>
        <v>158.89651621079213</v>
      </c>
      <c r="G30" s="11">
        <f>AQ23</f>
        <v>207.33712623994973</v>
      </c>
      <c r="H30" s="145">
        <f>AT23</f>
        <v>191.58099314417888</v>
      </c>
      <c r="J30" s="107">
        <v>90</v>
      </c>
      <c r="K30" s="107">
        <v>326.41000000000003</v>
      </c>
      <c r="L30" s="107">
        <v>360.53291554382167</v>
      </c>
      <c r="M30" s="107">
        <v>340.59</v>
      </c>
      <c r="N30" s="107">
        <v>311.52999999999997</v>
      </c>
      <c r="P30" s="188" t="s">
        <v>10</v>
      </c>
      <c r="Q30" s="188">
        <v>-40</v>
      </c>
      <c r="R30" s="188">
        <f>K43</f>
        <v>362.15</v>
      </c>
      <c r="S30" s="188" t="s">
        <v>10</v>
      </c>
      <c r="T30" s="188">
        <v>-40</v>
      </c>
      <c r="U30" s="188">
        <f>L43</f>
        <v>397.8125</v>
      </c>
      <c r="V30" s="188" t="s">
        <v>10</v>
      </c>
      <c r="W30" s="188">
        <v>-40</v>
      </c>
      <c r="X30" s="188">
        <f>M43</f>
        <v>376.45</v>
      </c>
      <c r="Y30" s="188" t="s">
        <v>10</v>
      </c>
      <c r="Z30" s="188">
        <v>-40</v>
      </c>
      <c r="AA30" s="188">
        <f>N43</f>
        <v>346.97</v>
      </c>
      <c r="AB30" s="97"/>
      <c r="AC30" s="1"/>
      <c r="AD30" s="1"/>
      <c r="AE30" s="1"/>
      <c r="AF30" s="1"/>
      <c r="AG30" s="1"/>
      <c r="AH30" s="1"/>
    </row>
    <row r="31" spans="1:46">
      <c r="A31" s="188" t="s">
        <v>44</v>
      </c>
      <c r="B31" s="188" t="s">
        <v>43</v>
      </c>
      <c r="D31"/>
      <c r="E31" s="12"/>
      <c r="F31" s="12"/>
      <c r="G31" s="12"/>
      <c r="H31" s="12"/>
      <c r="P31" s="188" t="s">
        <v>10</v>
      </c>
      <c r="Q31" s="188">
        <v>-45</v>
      </c>
      <c r="R31" s="188">
        <f>K48</f>
        <v>365.46</v>
      </c>
      <c r="S31" s="188" t="s">
        <v>10</v>
      </c>
      <c r="T31" s="188">
        <v>-45</v>
      </c>
      <c r="U31" s="188">
        <f>L48</f>
        <v>403.75</v>
      </c>
      <c r="V31" s="188" t="s">
        <v>10</v>
      </c>
      <c r="W31" s="188">
        <v>-45</v>
      </c>
      <c r="X31" s="188">
        <f>M48</f>
        <v>379.91</v>
      </c>
      <c r="Y31" s="188" t="s">
        <v>10</v>
      </c>
      <c r="Z31" s="188">
        <v>-45</v>
      </c>
      <c r="AA31" s="188">
        <f>N48</f>
        <v>350.14</v>
      </c>
      <c r="AB31" s="97"/>
      <c r="AC31" s="1"/>
      <c r="AD31" s="1"/>
      <c r="AE31" s="1"/>
      <c r="AF31" s="1"/>
      <c r="AG31" s="1"/>
      <c r="AH31" s="1"/>
    </row>
    <row r="32" spans="1:46">
      <c r="A32" s="25">
        <f>(360-ROUNDDOWN((1-(A30/100))*360,0))*292/360</f>
        <v>309.03333333333336</v>
      </c>
      <c r="B32" s="11">
        <f>MOD((A30/100)*-360,1)*-((D4-A27)/(D4-B27))+30</f>
        <v>29.629390368462474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88" t="s">
        <v>10</v>
      </c>
      <c r="Q32" s="188">
        <v>-50</v>
      </c>
      <c r="R32" s="188">
        <f>K53</f>
        <v>368.55</v>
      </c>
      <c r="S32" s="188" t="s">
        <v>10</v>
      </c>
      <c r="T32" s="188">
        <v>-50</v>
      </c>
      <c r="U32" s="188">
        <f>L53</f>
        <v>409.6875</v>
      </c>
      <c r="V32" s="188" t="s">
        <v>10</v>
      </c>
      <c r="W32" s="188">
        <v>-50</v>
      </c>
      <c r="X32" s="188">
        <f>M53</f>
        <v>383.13</v>
      </c>
      <c r="Y32" s="188" t="s">
        <v>10</v>
      </c>
      <c r="Z32" s="188">
        <v>-50</v>
      </c>
      <c r="AA32" s="188">
        <f>N53</f>
        <v>353.08</v>
      </c>
      <c r="AB32" s="97"/>
      <c r="AC32" s="1"/>
      <c r="AD32" s="1"/>
      <c r="AE32" s="1"/>
      <c r="AF32" s="1"/>
      <c r="AG32" s="1"/>
      <c r="AH32" s="1"/>
    </row>
    <row r="33" spans="4:28">
      <c r="D33" s="188">
        <v>100</v>
      </c>
      <c r="E33" s="188">
        <f>IF($B$2&gt;0,Q1,IF($B$2&gt;-25,R8,IF($B$2&gt;-50,R33,IF($B$2&gt;-75,R58))))</f>
        <v>0</v>
      </c>
      <c r="F33" s="188">
        <f>IF($B$2&gt;0,Q1,IF($B$2&gt;-25,U8,IF($B$2&gt;-50,U33,IF($B$2&gt;-75,U58))))</f>
        <v>0</v>
      </c>
      <c r="G33" s="188">
        <f>IF($B$2&gt;0,Q1,IF($B$2&gt;-25,X8,IF($B$2&gt;-50,X33,IF($B$2&gt;-75,X58))))</f>
        <v>0</v>
      </c>
      <c r="H33" s="22">
        <f>IF($B$2&gt;0,Q1,IF($B$2&gt;-25,AA8,IF($B$2&gt;-50,AA33,IF($B$2&gt;-75,AA58))))</f>
        <v>0</v>
      </c>
      <c r="J33" s="188">
        <v>100</v>
      </c>
      <c r="K33" s="188">
        <v>354.68</v>
      </c>
      <c r="L33" s="188">
        <f>(630-47)/6*4.75/1.2</f>
        <v>384.6180555555556</v>
      </c>
      <c r="M33" s="188">
        <v>368.69</v>
      </c>
      <c r="N33" s="188">
        <v>339.83</v>
      </c>
      <c r="P33" s="188" t="s">
        <v>11</v>
      </c>
      <c r="Q33" s="9">
        <f>$B$2</f>
        <v>6.0220000000000002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316.17938415361277</v>
      </c>
      <c r="S33" s="188" t="s">
        <v>11</v>
      </c>
      <c r="T33" s="9">
        <f>$B$2</f>
        <v>6.0220000000000002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-473.18681905150879</v>
      </c>
      <c r="V33" s="188" t="s">
        <v>11</v>
      </c>
      <c r="W33" s="9">
        <f>$B$2</f>
        <v>6.0220000000000002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346.53544433621573</v>
      </c>
      <c r="Y33" s="188" t="s">
        <v>11</v>
      </c>
      <c r="Z33" s="9">
        <f>$B$2</f>
        <v>6.0220000000000002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318.60825826240762</v>
      </c>
      <c r="AB33" s="97"/>
    </row>
    <row r="34" spans="4:28">
      <c r="D34" s="188">
        <v>95</v>
      </c>
      <c r="E34" s="188">
        <f>IF($B$2&gt;0,Q1,IF($B$2&gt;-25,R16,IF($B$2&gt;-50,R41,IF($B$2&gt;-75,R66))))</f>
        <v>0</v>
      </c>
      <c r="F34" s="188">
        <f>IF($B$2&gt;0,Q1,IF($B$2&gt;-25,U16,IF($B$2&gt;-50,U41,IF($B$2&gt;-75,U66))))</f>
        <v>0</v>
      </c>
      <c r="G34" s="188">
        <f>IF($B$2&gt;0,Q1,IF($B$2&gt;-25,X16,IF($B$2&gt;-50,X41,IF($B$2&gt;-75,X66))))</f>
        <v>0</v>
      </c>
      <c r="H34" s="22">
        <f>IF($B$2&gt;0,Q1,IF($B$2&gt;-25,AA16,IF($B$2&gt;-50,AA41,IF($B$2&gt;-75,AA66))))</f>
        <v>0</v>
      </c>
      <c r="J34" s="188">
        <v>95</v>
      </c>
      <c r="K34" s="188">
        <v>343.03</v>
      </c>
      <c r="L34" s="188">
        <f>(630-60)/6*4.75/1.2</f>
        <v>376.04166666666669</v>
      </c>
      <c r="M34" s="188">
        <v>357.28</v>
      </c>
      <c r="N34" s="188">
        <v>328.07</v>
      </c>
      <c r="R34" s="190" t="s">
        <v>12</v>
      </c>
      <c r="S34" s="190"/>
      <c r="T34" s="190"/>
      <c r="U34" s="190" t="s">
        <v>13</v>
      </c>
      <c r="V34" s="190"/>
      <c r="W34" s="190"/>
      <c r="X34" s="190" t="s">
        <v>8</v>
      </c>
      <c r="Y34" s="190"/>
      <c r="Z34" s="190"/>
      <c r="AA34" s="190" t="s">
        <v>9</v>
      </c>
    </row>
    <row r="35" spans="4:28">
      <c r="D35" s="188">
        <v>90</v>
      </c>
      <c r="E35" s="188">
        <f>IF($B$2&gt;0,Q1,IF($B$2&gt;-25,R24,IF($B$2&gt;-50,R49,IF($B$2&gt;-75,R74))))</f>
        <v>0</v>
      </c>
      <c r="F35" s="188">
        <f>IF($B$2&gt;0,Q1,IF($B$2&gt;-25,U24,IF($B$2&gt;-50,U49,IF($B$2&gt;-75,U74))))</f>
        <v>0</v>
      </c>
      <c r="G35" s="188">
        <f>IF($B$2&gt;0,Q1,IF($B$2&gt;-25,X24,IF($B$2&gt;-50,X49,IF($B$2&gt;-75,X74))))</f>
        <v>0</v>
      </c>
      <c r="H35" s="22">
        <f>IF($B$2&gt;0,Q1,IF($B$2&gt;-25,AA24,IF($B$2&gt;-50,AA49,IF($B$2&gt;-75,AA74))))</f>
        <v>0</v>
      </c>
      <c r="J35" s="188">
        <v>90</v>
      </c>
      <c r="K35" s="188">
        <v>330.99</v>
      </c>
      <c r="L35" s="188">
        <f>(630-73)/6*4.75/1.2</f>
        <v>367.46527777777777</v>
      </c>
      <c r="M35" s="188">
        <v>345.34</v>
      </c>
      <c r="N35" s="188">
        <v>315.89999999999998</v>
      </c>
      <c r="P35" s="188" t="s">
        <v>10</v>
      </c>
      <c r="Q35" s="188">
        <v>-25</v>
      </c>
      <c r="R35" s="188">
        <f>K29</f>
        <v>338.62</v>
      </c>
      <c r="S35" s="188" t="s">
        <v>10</v>
      </c>
      <c r="T35" s="188">
        <v>-25</v>
      </c>
      <c r="U35" s="188">
        <f>L29</f>
        <v>369.13278325404127</v>
      </c>
      <c r="V35" s="188" t="s">
        <v>10</v>
      </c>
      <c r="W35" s="188">
        <v>-25</v>
      </c>
      <c r="X35" s="188">
        <f>M29</f>
        <v>352.7</v>
      </c>
      <c r="Y35" s="188" t="s">
        <v>10</v>
      </c>
      <c r="Z35" s="188">
        <v>-25</v>
      </c>
      <c r="AA35" s="188">
        <f>N29</f>
        <v>323.83999999999997</v>
      </c>
    </row>
    <row r="36" spans="4:28">
      <c r="D36"/>
      <c r="E36" s="12"/>
      <c r="F36" s="12"/>
      <c r="G36" s="12"/>
      <c r="H36" s="12"/>
      <c r="P36" s="188" t="s">
        <v>10</v>
      </c>
      <c r="Q36" s="188">
        <v>-30</v>
      </c>
      <c r="R36" s="188">
        <f>K34</f>
        <v>343.03</v>
      </c>
      <c r="S36" s="188" t="s">
        <v>10</v>
      </c>
      <c r="T36" s="188">
        <v>-30</v>
      </c>
      <c r="U36" s="188">
        <f>L34</f>
        <v>376.04166666666669</v>
      </c>
      <c r="V36" s="188" t="s">
        <v>10</v>
      </c>
      <c r="W36" s="188">
        <v>-30</v>
      </c>
      <c r="X36" s="188">
        <f>M34</f>
        <v>357.28</v>
      </c>
      <c r="Y36" s="188" t="s">
        <v>10</v>
      </c>
      <c r="Z36" s="188">
        <v>-30</v>
      </c>
      <c r="AA36" s="188">
        <f>N34</f>
        <v>328.07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88" t="s">
        <v>10</v>
      </c>
      <c r="Q37" s="188">
        <v>-35</v>
      </c>
      <c r="R37" s="188">
        <f>K39</f>
        <v>347.07</v>
      </c>
      <c r="S37" s="188" t="s">
        <v>10</v>
      </c>
      <c r="T37" s="188">
        <v>-35</v>
      </c>
      <c r="U37" s="188">
        <f>L39</f>
        <v>383.29861111111109</v>
      </c>
      <c r="V37" s="188" t="s">
        <v>10</v>
      </c>
      <c r="W37" s="188">
        <v>-35</v>
      </c>
      <c r="X37" s="188">
        <f>M39</f>
        <v>361.48</v>
      </c>
      <c r="Y37" s="188" t="s">
        <v>10</v>
      </c>
      <c r="Z37" s="188">
        <v>-35</v>
      </c>
      <c r="AA37" s="188">
        <f>N39</f>
        <v>331.93</v>
      </c>
    </row>
    <row r="38" spans="4:28">
      <c r="D38"/>
      <c r="J38" s="188">
        <v>100</v>
      </c>
      <c r="K38" s="188">
        <v>358.57</v>
      </c>
      <c r="L38" s="188">
        <f>(630-37)/6*4.75/1.2</f>
        <v>391.21527777777777</v>
      </c>
      <c r="M38" s="188">
        <v>372.73</v>
      </c>
      <c r="N38" s="188">
        <v>343.55</v>
      </c>
      <c r="P38" s="188" t="s">
        <v>10</v>
      </c>
      <c r="Q38" s="188">
        <v>-40</v>
      </c>
      <c r="R38" s="188">
        <f>K44</f>
        <v>350.78</v>
      </c>
      <c r="S38" s="188" t="s">
        <v>10</v>
      </c>
      <c r="T38" s="188">
        <v>-40</v>
      </c>
      <c r="U38" s="188">
        <f>L44</f>
        <v>389.89583333333337</v>
      </c>
      <c r="V38" s="188" t="s">
        <v>10</v>
      </c>
      <c r="W38" s="188">
        <v>-40</v>
      </c>
      <c r="X38" s="188">
        <f>M44</f>
        <v>365.35</v>
      </c>
      <c r="Y38" s="188" t="s">
        <v>10</v>
      </c>
      <c r="Z38" s="188">
        <v>-40</v>
      </c>
      <c r="AA38" s="188">
        <f>N44</f>
        <v>335.48</v>
      </c>
    </row>
    <row r="39" spans="4:28">
      <c r="D39"/>
      <c r="J39" s="188">
        <v>95</v>
      </c>
      <c r="K39" s="188">
        <v>347.07</v>
      </c>
      <c r="L39" s="188">
        <f>(630-49)/6*4.75/1.2</f>
        <v>383.29861111111109</v>
      </c>
      <c r="M39" s="188">
        <v>361.48</v>
      </c>
      <c r="N39" s="188">
        <v>331.93</v>
      </c>
      <c r="P39" s="188" t="s">
        <v>10</v>
      </c>
      <c r="Q39" s="188">
        <v>-45</v>
      </c>
      <c r="R39" s="188">
        <f>K49</f>
        <v>354.22</v>
      </c>
      <c r="S39" s="188" t="s">
        <v>10</v>
      </c>
      <c r="T39" s="188">
        <v>-45</v>
      </c>
      <c r="U39" s="188">
        <f>L49</f>
        <v>396.4930555555556</v>
      </c>
      <c r="V39" s="188" t="s">
        <v>10</v>
      </c>
      <c r="W39" s="188">
        <v>-45</v>
      </c>
      <c r="X39" s="188">
        <f>M49</f>
        <v>368.94</v>
      </c>
      <c r="Y39" s="188" t="s">
        <v>10</v>
      </c>
      <c r="Z39" s="188">
        <v>-45</v>
      </c>
      <c r="AA39" s="188">
        <f>N49</f>
        <v>338.76</v>
      </c>
    </row>
    <row r="40" spans="4:28">
      <c r="D40"/>
      <c r="J40" s="188">
        <v>90</v>
      </c>
      <c r="K40" s="188">
        <v>335.17</v>
      </c>
      <c r="L40" s="188">
        <f>(630-61)/6*4.75/1.2</f>
        <v>375.38194444444446</v>
      </c>
      <c r="M40" s="188">
        <v>349.7</v>
      </c>
      <c r="N40" s="188">
        <v>319.89999999999998</v>
      </c>
      <c r="P40" s="188" t="s">
        <v>10</v>
      </c>
      <c r="Q40" s="188">
        <v>-50</v>
      </c>
      <c r="R40" s="188">
        <f>K54</f>
        <v>357.41</v>
      </c>
      <c r="S40" s="188" t="s">
        <v>10</v>
      </c>
      <c r="T40" s="188">
        <v>-50</v>
      </c>
      <c r="U40" s="188">
        <f>L54</f>
        <v>402.4305555555556</v>
      </c>
      <c r="V40" s="188" t="s">
        <v>10</v>
      </c>
      <c r="W40" s="188">
        <v>-50</v>
      </c>
      <c r="X40" s="188">
        <f>M54</f>
        <v>372.27</v>
      </c>
      <c r="Y40" s="188" t="s">
        <v>10</v>
      </c>
      <c r="Z40" s="188">
        <v>-50</v>
      </c>
      <c r="AA40" s="188">
        <f>N54</f>
        <v>341.81</v>
      </c>
    </row>
    <row r="41" spans="4:28">
      <c r="D41"/>
      <c r="P41" s="188" t="s">
        <v>11</v>
      </c>
      <c r="Q41" s="9">
        <f>$B$2</f>
        <v>6.0220000000000002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320.57990543897904</v>
      </c>
      <c r="S41" s="188" t="s">
        <v>11</v>
      </c>
      <c r="T41" s="9">
        <f>$B$2</f>
        <v>6.0220000000000002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1487.5535279512842</v>
      </c>
      <c r="V41" s="188" t="s">
        <v>11</v>
      </c>
      <c r="W41" s="9">
        <f>$B$2</f>
        <v>6.0220000000000002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321.34624652500497</v>
      </c>
      <c r="Y41" s="188" t="s">
        <v>11</v>
      </c>
      <c r="Z41" s="9">
        <f>$B$2</f>
        <v>6.0220000000000002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277.105016189249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90" t="s">
        <v>12</v>
      </c>
      <c r="S42" s="190"/>
      <c r="T42" s="190"/>
      <c r="U42" s="190" t="s">
        <v>13</v>
      </c>
      <c r="V42" s="190"/>
      <c r="W42" s="190"/>
      <c r="X42" s="190" t="s">
        <v>8</v>
      </c>
      <c r="Y42" s="190"/>
      <c r="Z42" s="190"/>
      <c r="AA42" s="190" t="s">
        <v>9</v>
      </c>
    </row>
    <row r="43" spans="4:28">
      <c r="J43" s="188">
        <v>100</v>
      </c>
      <c r="K43" s="188">
        <v>362.15</v>
      </c>
      <c r="L43" s="188">
        <f>(630-27)/6*4.75/1.2</f>
        <v>397.8125</v>
      </c>
      <c r="M43" s="188">
        <v>376.45</v>
      </c>
      <c r="N43" s="188">
        <v>346.97</v>
      </c>
      <c r="P43" s="188" t="s">
        <v>10</v>
      </c>
      <c r="Q43" s="188">
        <v>-25</v>
      </c>
      <c r="R43" s="188">
        <f>K30</f>
        <v>326.41000000000003</v>
      </c>
      <c r="S43" s="188" t="s">
        <v>10</v>
      </c>
      <c r="T43" s="188">
        <v>-25</v>
      </c>
      <c r="U43" s="188">
        <f>L30</f>
        <v>360.53291554382167</v>
      </c>
      <c r="V43" s="188" t="s">
        <v>10</v>
      </c>
      <c r="W43" s="188">
        <v>-25</v>
      </c>
      <c r="X43" s="188">
        <f>M30</f>
        <v>340.59</v>
      </c>
      <c r="Y43" s="188" t="s">
        <v>10</v>
      </c>
      <c r="Z43" s="188">
        <v>-25</v>
      </c>
      <c r="AA43" s="188">
        <f>N30</f>
        <v>311.52999999999997</v>
      </c>
    </row>
    <row r="44" spans="4:28">
      <c r="J44" s="188">
        <v>95</v>
      </c>
      <c r="K44" s="188">
        <v>350.78</v>
      </c>
      <c r="L44" s="188">
        <f>(630-39)/6*4.75/1.2</f>
        <v>389.89583333333337</v>
      </c>
      <c r="M44" s="188">
        <v>365.35</v>
      </c>
      <c r="N44" s="188">
        <v>335.48</v>
      </c>
      <c r="P44" s="188" t="s">
        <v>10</v>
      </c>
      <c r="Q44" s="188">
        <v>-30</v>
      </c>
      <c r="R44" s="188">
        <f>K35</f>
        <v>330.99</v>
      </c>
      <c r="S44" s="188" t="s">
        <v>10</v>
      </c>
      <c r="T44" s="188">
        <v>-30</v>
      </c>
      <c r="U44" s="188">
        <f>L35</f>
        <v>367.46527777777777</v>
      </c>
      <c r="V44" s="188" t="s">
        <v>10</v>
      </c>
      <c r="W44" s="188">
        <v>-30</v>
      </c>
      <c r="X44" s="188">
        <f>M35</f>
        <v>345.34</v>
      </c>
      <c r="Y44" s="188" t="s">
        <v>10</v>
      </c>
      <c r="Z44" s="188">
        <v>-30</v>
      </c>
      <c r="AA44" s="188">
        <f>N35</f>
        <v>315.89999999999998</v>
      </c>
    </row>
    <row r="45" spans="4:28">
      <c r="J45" s="188">
        <v>90</v>
      </c>
      <c r="K45" s="188">
        <v>339.02</v>
      </c>
      <c r="L45" s="188">
        <f>(630-51)/6*4.75/1.2</f>
        <v>381.97916666666669</v>
      </c>
      <c r="M45" s="188">
        <v>353.71</v>
      </c>
      <c r="N45" s="188">
        <v>323.58</v>
      </c>
      <c r="P45" s="188" t="s">
        <v>10</v>
      </c>
      <c r="Q45" s="188">
        <v>-35</v>
      </c>
      <c r="R45" s="188">
        <f>K40</f>
        <v>335.17</v>
      </c>
      <c r="S45" s="188" t="s">
        <v>10</v>
      </c>
      <c r="T45" s="188">
        <v>-35</v>
      </c>
      <c r="U45" s="188">
        <f>L40</f>
        <v>375.38194444444446</v>
      </c>
      <c r="V45" s="188" t="s">
        <v>10</v>
      </c>
      <c r="W45" s="188">
        <v>-35</v>
      </c>
      <c r="X45" s="188">
        <f>M40</f>
        <v>349.7</v>
      </c>
      <c r="Y45" s="188" t="s">
        <v>10</v>
      </c>
      <c r="Z45" s="188">
        <v>-35</v>
      </c>
      <c r="AA45" s="188">
        <f>N40</f>
        <v>319.89999999999998</v>
      </c>
    </row>
    <row r="46" spans="4:28">
      <c r="P46" s="188" t="s">
        <v>10</v>
      </c>
      <c r="Q46" s="188">
        <v>-40</v>
      </c>
      <c r="R46" s="188">
        <f>K45</f>
        <v>339.02</v>
      </c>
      <c r="S46" s="188" t="s">
        <v>10</v>
      </c>
      <c r="T46" s="188">
        <v>-40</v>
      </c>
      <c r="U46" s="188">
        <f>L45</f>
        <v>381.97916666666669</v>
      </c>
      <c r="V46" s="188" t="s">
        <v>10</v>
      </c>
      <c r="W46" s="188">
        <v>-40</v>
      </c>
      <c r="X46" s="188">
        <f>M45</f>
        <v>353.71</v>
      </c>
      <c r="Y46" s="188" t="s">
        <v>10</v>
      </c>
      <c r="Z46" s="188">
        <v>-40</v>
      </c>
      <c r="AA46" s="188">
        <f>N45</f>
        <v>323.58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88" t="s">
        <v>10</v>
      </c>
      <c r="Q47" s="188">
        <v>-45</v>
      </c>
      <c r="R47" s="188">
        <f>K50</f>
        <v>342.58</v>
      </c>
      <c r="S47" s="188" t="s">
        <v>10</v>
      </c>
      <c r="T47" s="188">
        <v>-45</v>
      </c>
      <c r="U47" s="188">
        <f>L50</f>
        <v>389.23611111111109</v>
      </c>
      <c r="V47" s="188" t="s">
        <v>10</v>
      </c>
      <c r="W47" s="188">
        <v>-45</v>
      </c>
      <c r="X47" s="188">
        <f>M50</f>
        <v>357.41</v>
      </c>
      <c r="Y47" s="188" t="s">
        <v>10</v>
      </c>
      <c r="Z47" s="188">
        <v>-45</v>
      </c>
      <c r="AA47" s="188">
        <f>N50</f>
        <v>326.97000000000003</v>
      </c>
    </row>
    <row r="48" spans="4:28">
      <c r="J48" s="188">
        <v>100</v>
      </c>
      <c r="K48" s="188">
        <v>365.46</v>
      </c>
      <c r="L48" s="188">
        <f>(630-18)/6*4.75/1.2</f>
        <v>403.75</v>
      </c>
      <c r="M48" s="188">
        <v>379.91</v>
      </c>
      <c r="N48" s="188">
        <v>350.14</v>
      </c>
      <c r="P48" s="188" t="s">
        <v>10</v>
      </c>
      <c r="Q48" s="188">
        <v>-50</v>
      </c>
      <c r="R48" s="188">
        <f>K55</f>
        <v>345.87</v>
      </c>
      <c r="S48" s="188" t="s">
        <v>10</v>
      </c>
      <c r="T48" s="188">
        <v>-50</v>
      </c>
      <c r="U48" s="188">
        <f>L55</f>
        <v>395.17361111111109</v>
      </c>
      <c r="V48" s="188" t="s">
        <v>10</v>
      </c>
      <c r="W48" s="188">
        <v>-50</v>
      </c>
      <c r="X48" s="188">
        <f>M55</f>
        <v>360.85</v>
      </c>
      <c r="Y48" s="188" t="s">
        <v>10</v>
      </c>
      <c r="Z48" s="188">
        <v>-50</v>
      </c>
      <c r="AA48" s="188">
        <f>N55</f>
        <v>330.11</v>
      </c>
    </row>
    <row r="49" spans="10:27" customFormat="1">
      <c r="J49" s="188">
        <v>95</v>
      </c>
      <c r="K49" s="188">
        <v>354.22</v>
      </c>
      <c r="L49" s="188">
        <f>(630-29)/6*4.75/1.2</f>
        <v>396.4930555555556</v>
      </c>
      <c r="M49" s="188">
        <v>368.94</v>
      </c>
      <c r="N49" s="188">
        <v>338.76</v>
      </c>
      <c r="P49" s="188" t="s">
        <v>11</v>
      </c>
      <c r="Q49" s="9">
        <f>$B$2</f>
        <v>6.0220000000000002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277.68573808681685</v>
      </c>
      <c r="S49" s="188" t="s">
        <v>11</v>
      </c>
      <c r="T49" s="9">
        <f>$B$2</f>
        <v>6.0220000000000002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3448.2938749546156</v>
      </c>
      <c r="V49" s="188" t="s">
        <v>11</v>
      </c>
      <c r="W49" s="9">
        <f>$B$2</f>
        <v>6.0220000000000002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297.0875190423103</v>
      </c>
      <c r="Y49" s="188" t="s">
        <v>11</v>
      </c>
      <c r="Z49" s="9">
        <f>$B$2</f>
        <v>6.0220000000000002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261.66718942602165</v>
      </c>
    </row>
    <row r="50" spans="10:27" customFormat="1">
      <c r="J50" s="188">
        <v>90</v>
      </c>
      <c r="K50" s="188">
        <v>342.58</v>
      </c>
      <c r="L50" s="188">
        <f>(630-40)/6*4.75/1.2</f>
        <v>389.23611111111109</v>
      </c>
      <c r="M50" s="188">
        <v>357.41</v>
      </c>
      <c r="N50" s="188">
        <v>326.97000000000003</v>
      </c>
    </row>
    <row r="51" spans="10:27" customFormat="1">
      <c r="R51" s="190" t="s">
        <v>12</v>
      </c>
      <c r="S51" s="190"/>
      <c r="T51" s="190"/>
      <c r="U51" s="190" t="s">
        <v>13</v>
      </c>
      <c r="V51" s="190"/>
      <c r="W51" s="190"/>
      <c r="X51" s="190" t="s">
        <v>8</v>
      </c>
      <c r="Y51" s="190"/>
      <c r="Z51" s="190"/>
      <c r="AA51" s="190" t="s">
        <v>9</v>
      </c>
    </row>
    <row r="52" spans="10:27" customFormat="1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88" t="s">
        <v>10</v>
      </c>
      <c r="Q52" s="188">
        <v>-50</v>
      </c>
      <c r="R52" s="188">
        <f>K53</f>
        <v>368.55</v>
      </c>
      <c r="S52" s="188" t="s">
        <v>10</v>
      </c>
      <c r="T52" s="188">
        <v>-50</v>
      </c>
      <c r="U52" s="188">
        <f>L53</f>
        <v>409.6875</v>
      </c>
      <c r="V52" s="188" t="s">
        <v>10</v>
      </c>
      <c r="W52" s="188">
        <v>-50</v>
      </c>
      <c r="X52" s="188">
        <f>M53</f>
        <v>383.13</v>
      </c>
      <c r="Y52" s="188" t="s">
        <v>10</v>
      </c>
      <c r="Z52" s="188">
        <v>-50</v>
      </c>
      <c r="AA52" s="188">
        <f>N53</f>
        <v>353.08</v>
      </c>
    </row>
    <row r="53" spans="10:27" customFormat="1">
      <c r="J53" s="188">
        <v>100</v>
      </c>
      <c r="K53" s="188">
        <v>368.55</v>
      </c>
      <c r="L53" s="188">
        <f>(630-9)/6*4.75/1.2</f>
        <v>409.6875</v>
      </c>
      <c r="M53" s="188">
        <v>383.13</v>
      </c>
      <c r="N53" s="188">
        <v>353.08</v>
      </c>
      <c r="P53" s="188" t="s">
        <v>10</v>
      </c>
      <c r="Q53" s="188">
        <v>-55</v>
      </c>
      <c r="R53" s="188">
        <f>K58</f>
        <v>371.42</v>
      </c>
      <c r="S53" s="188" t="s">
        <v>10</v>
      </c>
      <c r="T53" s="188">
        <v>-55</v>
      </c>
      <c r="U53" s="188">
        <f>L58</f>
        <v>414.83333333333337</v>
      </c>
      <c r="V53" s="188" t="s">
        <v>10</v>
      </c>
      <c r="W53" s="188">
        <v>-55</v>
      </c>
      <c r="X53" s="188">
        <f>M58</f>
        <v>386.13</v>
      </c>
      <c r="Y53" s="188" t="s">
        <v>10</v>
      </c>
      <c r="Z53" s="188">
        <v>-55</v>
      </c>
      <c r="AA53" s="188">
        <f>N58</f>
        <v>355.81</v>
      </c>
    </row>
    <row r="54" spans="10:27" customFormat="1">
      <c r="J54" s="188">
        <v>95</v>
      </c>
      <c r="K54" s="188">
        <v>357.41</v>
      </c>
      <c r="L54" s="188">
        <f>(630-20)/6*4.75/1.2</f>
        <v>402.4305555555556</v>
      </c>
      <c r="M54" s="188">
        <v>372.27</v>
      </c>
      <c r="N54" s="188">
        <v>341.81</v>
      </c>
      <c r="P54" s="188" t="s">
        <v>10</v>
      </c>
      <c r="Q54" s="188">
        <v>-60</v>
      </c>
      <c r="R54" s="188">
        <f>K63</f>
        <v>374.11</v>
      </c>
      <c r="S54" s="188" t="s">
        <v>10</v>
      </c>
      <c r="T54" s="188">
        <v>-60</v>
      </c>
      <c r="U54" s="188">
        <f>L63</f>
        <v>420.375</v>
      </c>
      <c r="V54" s="188" t="s">
        <v>10</v>
      </c>
      <c r="W54" s="188">
        <v>-60</v>
      </c>
      <c r="X54" s="188">
        <f>M63</f>
        <v>388.94</v>
      </c>
      <c r="Y54" s="188" t="s">
        <v>10</v>
      </c>
      <c r="Z54" s="188">
        <v>-60</v>
      </c>
      <c r="AA54" s="188">
        <f>N63</f>
        <v>358.36</v>
      </c>
    </row>
    <row r="55" spans="10:27" customFormat="1">
      <c r="J55" s="188">
        <v>90</v>
      </c>
      <c r="K55" s="188">
        <v>345.87</v>
      </c>
      <c r="L55" s="188">
        <f>(630-31)/6*4.75/1.2</f>
        <v>395.17361111111109</v>
      </c>
      <c r="M55" s="188">
        <v>360.85</v>
      </c>
      <c r="N55" s="188">
        <v>330.11</v>
      </c>
      <c r="P55" s="188" t="s">
        <v>10</v>
      </c>
      <c r="Q55" s="188">
        <v>-65</v>
      </c>
      <c r="R55" s="188">
        <f>K68</f>
        <v>376.63</v>
      </c>
      <c r="S55" s="188" t="s">
        <v>10</v>
      </c>
      <c r="T55" s="188">
        <v>-65</v>
      </c>
      <c r="U55" s="188">
        <f>L68</f>
        <v>425.12500000000006</v>
      </c>
      <c r="V55" s="188" t="s">
        <v>10</v>
      </c>
      <c r="W55" s="188">
        <v>-65</v>
      </c>
      <c r="X55" s="188">
        <f>M68</f>
        <v>391.58</v>
      </c>
      <c r="Y55" s="188" t="s">
        <v>10</v>
      </c>
      <c r="Z55" s="188">
        <v>-65</v>
      </c>
      <c r="AA55" s="188">
        <f>N68</f>
        <v>360.76</v>
      </c>
    </row>
    <row r="56" spans="10:27" customFormat="1">
      <c r="P56" s="188" t="s">
        <v>10</v>
      </c>
      <c r="Q56" s="188">
        <v>-70</v>
      </c>
      <c r="R56" s="188">
        <f>K73</f>
        <v>379</v>
      </c>
      <c r="S56" s="188" t="s">
        <v>10</v>
      </c>
      <c r="T56" s="188">
        <v>-70</v>
      </c>
      <c r="U56" s="188">
        <f>L73</f>
        <v>429.87500000000006</v>
      </c>
      <c r="V56" s="188" t="s">
        <v>10</v>
      </c>
      <c r="W56" s="188">
        <v>-70</v>
      </c>
      <c r="X56" s="188">
        <f>M73</f>
        <v>394.07</v>
      </c>
      <c r="Y56" s="188" t="s">
        <v>10</v>
      </c>
      <c r="Z56" s="188">
        <v>-70</v>
      </c>
      <c r="AA56" s="188">
        <f>N73</f>
        <v>363</v>
      </c>
    </row>
    <row r="57" spans="10:27" customFormat="1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88" t="s">
        <v>10</v>
      </c>
      <c r="Q57" s="188">
        <v>-75</v>
      </c>
      <c r="R57" s="188">
        <f>K78</f>
        <v>381.23</v>
      </c>
      <c r="S57" s="188" t="s">
        <v>10</v>
      </c>
      <c r="T57" s="188">
        <v>-75</v>
      </c>
      <c r="U57" s="188">
        <f>L78</f>
        <v>434.625</v>
      </c>
      <c r="V57" s="188" t="s">
        <v>10</v>
      </c>
      <c r="W57" s="188">
        <v>-75</v>
      </c>
      <c r="X57" s="188">
        <f>M78</f>
        <v>396.41</v>
      </c>
      <c r="Y57" s="188" t="s">
        <v>10</v>
      </c>
      <c r="Z57" s="188">
        <v>-75</v>
      </c>
      <c r="AA57" s="188">
        <f>N78</f>
        <v>365.11</v>
      </c>
    </row>
    <row r="58" spans="10:27" customFormat="1">
      <c r="J58" s="188">
        <v>100</v>
      </c>
      <c r="K58" s="188">
        <v>371.42</v>
      </c>
      <c r="L58" s="188">
        <f>(630-106)/5*4.75/1.2</f>
        <v>414.83333333333337</v>
      </c>
      <c r="M58" s="188">
        <v>386.13</v>
      </c>
      <c r="N58" s="188">
        <v>355.81</v>
      </c>
      <c r="P58" s="188" t="s">
        <v>11</v>
      </c>
      <c r="Q58" s="9">
        <f>$B$2</f>
        <v>6.0220000000000002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396.75636143912561</v>
      </c>
      <c r="S58" s="188" t="s">
        <v>11</v>
      </c>
      <c r="T58" s="9">
        <f>$B$2</f>
        <v>6.0220000000000002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11855.689422554802</v>
      </c>
      <c r="V58" s="188" t="s">
        <v>11</v>
      </c>
      <c r="W58" s="9">
        <f>$B$2</f>
        <v>6.0220000000000002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395.50022936891764</v>
      </c>
      <c r="Y58" s="188" t="s">
        <v>11</v>
      </c>
      <c r="Z58" s="9">
        <f>$B$2</f>
        <v>6.0220000000000002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-1.5597487629856914</v>
      </c>
    </row>
    <row r="59" spans="10:27" customFormat="1">
      <c r="J59" s="188">
        <v>95</v>
      </c>
      <c r="K59" s="188">
        <v>360.38</v>
      </c>
      <c r="L59" s="188">
        <f>(630-114)/5*4.75/1.2</f>
        <v>408.5</v>
      </c>
      <c r="M59" s="188">
        <v>375.37</v>
      </c>
      <c r="N59" s="188">
        <v>344.63</v>
      </c>
      <c r="R59" s="190" t="s">
        <v>12</v>
      </c>
      <c r="S59" s="190"/>
      <c r="T59" s="190"/>
      <c r="U59" s="190" t="s">
        <v>13</v>
      </c>
      <c r="V59" s="190"/>
      <c r="W59" s="190"/>
      <c r="X59" s="190" t="s">
        <v>8</v>
      </c>
      <c r="Y59" s="190"/>
      <c r="Z59" s="190"/>
      <c r="AA59" s="190" t="s">
        <v>9</v>
      </c>
    </row>
    <row r="60" spans="10:27" customFormat="1">
      <c r="J60" s="188">
        <v>90</v>
      </c>
      <c r="K60" s="188">
        <v>348.94</v>
      </c>
      <c r="L60" s="188">
        <f>(630-123)/5*4.75/1.2</f>
        <v>401.37500000000006</v>
      </c>
      <c r="M60" s="188">
        <v>364.06</v>
      </c>
      <c r="N60" s="188">
        <v>333.02</v>
      </c>
      <c r="P60" s="188" t="s">
        <v>10</v>
      </c>
      <c r="Q60" s="188">
        <v>-50</v>
      </c>
      <c r="R60" s="188">
        <f>K54</f>
        <v>357.41</v>
      </c>
      <c r="S60" s="188" t="s">
        <v>10</v>
      </c>
      <c r="T60" s="188">
        <v>-50</v>
      </c>
      <c r="U60" s="188">
        <f>L54</f>
        <v>402.4305555555556</v>
      </c>
      <c r="V60" s="188" t="s">
        <v>10</v>
      </c>
      <c r="W60" s="188">
        <v>-50</v>
      </c>
      <c r="X60" s="188">
        <f>M54</f>
        <v>372.27</v>
      </c>
      <c r="Y60" s="188" t="s">
        <v>10</v>
      </c>
      <c r="Z60" s="188">
        <v>-50</v>
      </c>
      <c r="AA60" s="188">
        <f>N54</f>
        <v>341.81</v>
      </c>
    </row>
    <row r="61" spans="10:27" customFormat="1">
      <c r="P61" s="188" t="s">
        <v>10</v>
      </c>
      <c r="Q61" s="188">
        <v>-55</v>
      </c>
      <c r="R61" s="188">
        <f>K59</f>
        <v>360.38</v>
      </c>
      <c r="S61" s="188" t="s">
        <v>10</v>
      </c>
      <c r="T61" s="188">
        <v>-55</v>
      </c>
      <c r="U61" s="188">
        <f>L59</f>
        <v>408.5</v>
      </c>
      <c r="V61" s="188" t="s">
        <v>10</v>
      </c>
      <c r="W61" s="188">
        <v>-55</v>
      </c>
      <c r="X61" s="188">
        <f>M59</f>
        <v>375.37</v>
      </c>
      <c r="Y61" s="188" t="s">
        <v>10</v>
      </c>
      <c r="Z61" s="188">
        <v>-55</v>
      </c>
      <c r="AA61" s="188">
        <f>N59</f>
        <v>344.63</v>
      </c>
    </row>
    <row r="62" spans="10:27" customFormat="1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88" t="s">
        <v>10</v>
      </c>
      <c r="Q62" s="188">
        <v>-60</v>
      </c>
      <c r="R62" s="188">
        <f>K64</f>
        <v>363.16</v>
      </c>
      <c r="S62" s="188" t="s">
        <v>10</v>
      </c>
      <c r="T62" s="188">
        <v>-60</v>
      </c>
      <c r="U62" s="188">
        <f>L64</f>
        <v>414.04166666666663</v>
      </c>
      <c r="V62" s="188" t="s">
        <v>10</v>
      </c>
      <c r="W62" s="188">
        <v>-60</v>
      </c>
      <c r="X62" s="188">
        <f>M64</f>
        <v>378.28</v>
      </c>
      <c r="Y62" s="188" t="s">
        <v>10</v>
      </c>
      <c r="Z62" s="188">
        <v>-60</v>
      </c>
      <c r="AA62" s="188">
        <f>N64</f>
        <v>347.27</v>
      </c>
    </row>
    <row r="63" spans="10:27" customFormat="1">
      <c r="J63" s="188">
        <v>100</v>
      </c>
      <c r="K63" s="188">
        <v>374.11</v>
      </c>
      <c r="L63" s="188">
        <f>(630-99)/5*4.75/1.2</f>
        <v>420.375</v>
      </c>
      <c r="M63" s="188">
        <v>388.94</v>
      </c>
      <c r="N63" s="188">
        <v>358.36</v>
      </c>
      <c r="P63" s="188" t="s">
        <v>10</v>
      </c>
      <c r="Q63" s="188">
        <v>-65</v>
      </c>
      <c r="R63" s="188">
        <f>K69</f>
        <v>365.76</v>
      </c>
      <c r="S63" s="188" t="s">
        <v>10</v>
      </c>
      <c r="T63" s="188">
        <v>-65</v>
      </c>
      <c r="U63" s="188">
        <f>L69</f>
        <v>418.79166666666669</v>
      </c>
      <c r="V63" s="188" t="s">
        <v>10</v>
      </c>
      <c r="W63" s="188">
        <v>-65</v>
      </c>
      <c r="X63" s="188">
        <f>M69</f>
        <v>381</v>
      </c>
      <c r="Y63" s="188" t="s">
        <v>10</v>
      </c>
      <c r="Z63" s="188">
        <v>-65</v>
      </c>
      <c r="AA63" s="188">
        <f>N69</f>
        <v>349.74</v>
      </c>
    </row>
    <row r="64" spans="10:27" customFormat="1">
      <c r="J64" s="188">
        <v>95</v>
      </c>
      <c r="K64" s="188">
        <v>363.16</v>
      </c>
      <c r="L64" s="188">
        <f>(630-107)/5*4.75/1.2</f>
        <v>414.04166666666663</v>
      </c>
      <c r="M64" s="188">
        <v>378.28</v>
      </c>
      <c r="N64" s="188">
        <v>347.27</v>
      </c>
      <c r="P64" s="188" t="s">
        <v>10</v>
      </c>
      <c r="Q64" s="188">
        <v>-70</v>
      </c>
      <c r="R64" s="188">
        <f>K74</f>
        <v>368.2</v>
      </c>
      <c r="S64" s="188" t="s">
        <v>10</v>
      </c>
      <c r="T64" s="188">
        <v>-70</v>
      </c>
      <c r="U64" s="188">
        <f>L74</f>
        <v>423.54166666666669</v>
      </c>
      <c r="V64" s="188" t="s">
        <v>10</v>
      </c>
      <c r="W64" s="188">
        <v>-70</v>
      </c>
      <c r="X64" s="188">
        <f>M74</f>
        <v>383.56</v>
      </c>
      <c r="Y64" s="188" t="s">
        <v>10</v>
      </c>
      <c r="Z64" s="188">
        <v>-70</v>
      </c>
      <c r="AA64" s="188">
        <f>N74</f>
        <v>352.05</v>
      </c>
    </row>
    <row r="65" spans="10:27" customFormat="1">
      <c r="J65" s="188">
        <v>90</v>
      </c>
      <c r="K65" s="188">
        <v>351.8</v>
      </c>
      <c r="L65" s="188">
        <f>(630-116)/5*4.75/1.2</f>
        <v>406.91666666666669</v>
      </c>
      <c r="M65" s="188">
        <v>367.05</v>
      </c>
      <c r="N65" s="188">
        <v>335.73</v>
      </c>
      <c r="P65" s="188" t="s">
        <v>10</v>
      </c>
      <c r="Q65" s="188">
        <v>-75</v>
      </c>
      <c r="R65" s="188">
        <f>K79</f>
        <v>370.5</v>
      </c>
      <c r="S65" s="188" t="s">
        <v>10</v>
      </c>
      <c r="T65" s="188">
        <v>-75</v>
      </c>
      <c r="U65" s="188">
        <f>L79</f>
        <v>428.29166666666674</v>
      </c>
      <c r="V65" s="188" t="s">
        <v>10</v>
      </c>
      <c r="W65" s="188">
        <v>-75</v>
      </c>
      <c r="X65" s="188">
        <f>M79</f>
        <v>385.98</v>
      </c>
      <c r="Y65" s="188" t="s">
        <v>10</v>
      </c>
      <c r="Z65" s="188">
        <v>-75</v>
      </c>
      <c r="AA65" s="188">
        <f>N79</f>
        <v>354.23</v>
      </c>
    </row>
    <row r="66" spans="10:27" customFormat="1">
      <c r="P66" s="188" t="s">
        <v>11</v>
      </c>
      <c r="Q66" s="9">
        <f>$B$2</f>
        <v>6.0220000000000002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351.31585200899281</v>
      </c>
      <c r="S66" s="188" t="s">
        <v>11</v>
      </c>
      <c r="T66" s="9">
        <f>$B$2</f>
        <v>6.0220000000000002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7508.5724127260037</v>
      </c>
      <c r="V66" s="188" t="s">
        <v>11</v>
      </c>
      <c r="W66" s="9">
        <f>$B$2</f>
        <v>6.0220000000000002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486.59068562439643</v>
      </c>
      <c r="Y66" s="188" t="s">
        <v>11</v>
      </c>
      <c r="Z66" s="9">
        <f>$B$2</f>
        <v>6.0220000000000002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229.90466646663845</v>
      </c>
    </row>
    <row r="67" spans="10:27" customFormat="1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90" t="s">
        <v>12</v>
      </c>
      <c r="S67" s="190"/>
      <c r="T67" s="190"/>
      <c r="U67" s="190" t="s">
        <v>13</v>
      </c>
      <c r="V67" s="190"/>
      <c r="W67" s="190"/>
      <c r="X67" s="190" t="s">
        <v>8</v>
      </c>
      <c r="Y67" s="190"/>
      <c r="Z67" s="190"/>
      <c r="AA67" s="190" t="s">
        <v>9</v>
      </c>
    </row>
    <row r="68" spans="10:27" customFormat="1">
      <c r="J68" s="188">
        <v>100</v>
      </c>
      <c r="K68" s="188">
        <v>376.63</v>
      </c>
      <c r="L68" s="188">
        <f>(630-93)/5*4.75/1.2</f>
        <v>425.12500000000006</v>
      </c>
      <c r="M68" s="188">
        <v>391.58</v>
      </c>
      <c r="N68" s="188">
        <v>360.76</v>
      </c>
      <c r="P68" s="188" t="s">
        <v>10</v>
      </c>
      <c r="Q68" s="188">
        <v>-50</v>
      </c>
      <c r="R68" s="188">
        <f>K55</f>
        <v>345.87</v>
      </c>
      <c r="S68" s="188" t="s">
        <v>10</v>
      </c>
      <c r="T68" s="188">
        <v>-50</v>
      </c>
      <c r="U68" s="188">
        <f>L55</f>
        <v>395.17361111111109</v>
      </c>
      <c r="V68" s="188" t="s">
        <v>10</v>
      </c>
      <c r="W68" s="188">
        <v>-50</v>
      </c>
      <c r="X68" s="188">
        <f>M55</f>
        <v>360.85</v>
      </c>
      <c r="Y68" s="188" t="s">
        <v>10</v>
      </c>
      <c r="Z68" s="188">
        <v>-50</v>
      </c>
      <c r="AA68" s="188">
        <f>N55</f>
        <v>330.11</v>
      </c>
    </row>
    <row r="69" spans="10:27" customFormat="1">
      <c r="J69" s="188">
        <v>95</v>
      </c>
      <c r="K69" s="188">
        <v>365.76</v>
      </c>
      <c r="L69" s="188">
        <f>(630-101)/5*4.75/1.2</f>
        <v>418.79166666666669</v>
      </c>
      <c r="M69" s="188">
        <v>381</v>
      </c>
      <c r="N69" s="188">
        <v>349.74</v>
      </c>
      <c r="P69" s="188" t="s">
        <v>10</v>
      </c>
      <c r="Q69" s="188">
        <v>-55</v>
      </c>
      <c r="R69" s="188">
        <f>K60</f>
        <v>348.94</v>
      </c>
      <c r="S69" s="188" t="s">
        <v>10</v>
      </c>
      <c r="T69" s="188">
        <v>-55</v>
      </c>
      <c r="U69" s="188">
        <f>L60</f>
        <v>401.37500000000006</v>
      </c>
      <c r="V69" s="188" t="s">
        <v>10</v>
      </c>
      <c r="W69" s="188">
        <v>-55</v>
      </c>
      <c r="X69" s="188">
        <f>M60</f>
        <v>364.06</v>
      </c>
      <c r="Y69" s="188" t="s">
        <v>10</v>
      </c>
      <c r="Z69" s="188">
        <v>-55</v>
      </c>
      <c r="AA69" s="188">
        <f>N60</f>
        <v>333.02</v>
      </c>
    </row>
    <row r="70" spans="10:27" customFormat="1">
      <c r="J70" s="188">
        <v>90</v>
      </c>
      <c r="K70" s="188">
        <v>354.48</v>
      </c>
      <c r="L70" s="188">
        <f>(630-110)/5*4.75/1.2</f>
        <v>411.66666666666669</v>
      </c>
      <c r="M70" s="188">
        <v>369.86</v>
      </c>
      <c r="N70" s="188">
        <v>338.27</v>
      </c>
      <c r="P70" s="188" t="s">
        <v>10</v>
      </c>
      <c r="Q70" s="188">
        <v>-60</v>
      </c>
      <c r="R70" s="188">
        <f>K65</f>
        <v>351.8</v>
      </c>
      <c r="S70" s="188" t="s">
        <v>10</v>
      </c>
      <c r="T70" s="188">
        <v>-60</v>
      </c>
      <c r="U70" s="188">
        <f>L65</f>
        <v>406.91666666666669</v>
      </c>
      <c r="V70" s="188" t="s">
        <v>10</v>
      </c>
      <c r="W70" s="188">
        <v>-60</v>
      </c>
      <c r="X70" s="188">
        <f>M65</f>
        <v>367.05</v>
      </c>
      <c r="Y70" s="188" t="s">
        <v>10</v>
      </c>
      <c r="Z70" s="188">
        <v>-60</v>
      </c>
      <c r="AA70" s="188">
        <f>N65</f>
        <v>335.73</v>
      </c>
    </row>
    <row r="71" spans="10:27" customFormat="1">
      <c r="P71" s="188" t="s">
        <v>10</v>
      </c>
      <c r="Q71" s="188">
        <v>-65</v>
      </c>
      <c r="R71" s="188">
        <f>K70</f>
        <v>354.48</v>
      </c>
      <c r="S71" s="188" t="s">
        <v>10</v>
      </c>
      <c r="T71" s="188">
        <v>-65</v>
      </c>
      <c r="U71" s="188">
        <f>L70</f>
        <v>411.66666666666669</v>
      </c>
      <c r="V71" s="188" t="s">
        <v>10</v>
      </c>
      <c r="W71" s="188">
        <v>-65</v>
      </c>
      <c r="X71" s="188">
        <f>M70</f>
        <v>369.86</v>
      </c>
      <c r="Y71" s="188" t="s">
        <v>10</v>
      </c>
      <c r="Z71" s="188">
        <v>-65</v>
      </c>
      <c r="AA71" s="188">
        <f>N70</f>
        <v>338.27</v>
      </c>
    </row>
    <row r="72" spans="10:27" customFormat="1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88" t="s">
        <v>10</v>
      </c>
      <c r="Q72" s="188">
        <v>-70</v>
      </c>
      <c r="R72" s="188">
        <f>K75</f>
        <v>356.99</v>
      </c>
      <c r="S72" s="188" t="s">
        <v>10</v>
      </c>
      <c r="T72" s="188">
        <v>-70</v>
      </c>
      <c r="U72" s="188">
        <f>L75</f>
        <v>417.20833333333337</v>
      </c>
      <c r="V72" s="188" t="s">
        <v>10</v>
      </c>
      <c r="W72" s="188">
        <v>-70</v>
      </c>
      <c r="X72" s="188">
        <f>M75</f>
        <v>372.5</v>
      </c>
      <c r="Y72" s="188" t="s">
        <v>10</v>
      </c>
      <c r="Z72" s="188">
        <v>-70</v>
      </c>
      <c r="AA72" s="188">
        <f>N75</f>
        <v>340.65</v>
      </c>
    </row>
    <row r="73" spans="10:27" customFormat="1">
      <c r="J73" s="188">
        <v>100</v>
      </c>
      <c r="K73" s="188">
        <v>379</v>
      </c>
      <c r="L73" s="188">
        <f>(630-87)/5*4.75/1.2</f>
        <v>429.87500000000006</v>
      </c>
      <c r="M73" s="188">
        <v>394.07</v>
      </c>
      <c r="N73" s="188">
        <v>363</v>
      </c>
      <c r="P73" s="188" t="s">
        <v>10</v>
      </c>
      <c r="Q73" s="188">
        <v>-75</v>
      </c>
      <c r="R73" s="188">
        <f>K80</f>
        <v>359.35</v>
      </c>
      <c r="S73" s="188" t="s">
        <v>10</v>
      </c>
      <c r="T73" s="188">
        <v>-75</v>
      </c>
      <c r="U73" s="188">
        <f>L80</f>
        <v>421.95833333333331</v>
      </c>
      <c r="V73" s="188" t="s">
        <v>10</v>
      </c>
      <c r="W73" s="188">
        <v>-75</v>
      </c>
      <c r="X73" s="188">
        <f>M80</f>
        <v>374.98</v>
      </c>
      <c r="Y73" s="188" t="s">
        <v>10</v>
      </c>
      <c r="Z73" s="188">
        <v>-75</v>
      </c>
      <c r="AA73" s="188">
        <f>N80</f>
        <v>342.88</v>
      </c>
    </row>
    <row r="74" spans="10:27" customFormat="1">
      <c r="J74" s="188">
        <v>95</v>
      </c>
      <c r="K74" s="188">
        <v>368.2</v>
      </c>
      <c r="L74" s="188">
        <f>(630-95)/5*4.75/1.2</f>
        <v>423.54166666666669</v>
      </c>
      <c r="M74" s="188">
        <v>383.56</v>
      </c>
      <c r="N74" s="188">
        <v>352.05</v>
      </c>
      <c r="P74" s="188" t="s">
        <v>11</v>
      </c>
      <c r="Q74" s="9">
        <f>$B$2</f>
        <v>6.0220000000000002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169.22437689779326</v>
      </c>
      <c r="S74" s="188" t="s">
        <v>11</v>
      </c>
      <c r="T74" s="9">
        <f>$B$2</f>
        <v>6.0220000000000002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18017.8620608903</v>
      </c>
      <c r="V74" s="188" t="s">
        <v>11</v>
      </c>
      <c r="W74" s="9">
        <f>$B$2</f>
        <v>6.0220000000000002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168.25620082742535</v>
      </c>
      <c r="Y74" s="188" t="s">
        <v>11</v>
      </c>
      <c r="Z74" s="9">
        <f>$B$2</f>
        <v>6.0220000000000002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188.43715032655746</v>
      </c>
    </row>
    <row r="75" spans="10:27" customFormat="1">
      <c r="J75" s="188">
        <v>90</v>
      </c>
      <c r="K75" s="188">
        <v>356.99</v>
      </c>
      <c r="L75" s="188">
        <f>(630-103)/5*4.75/1.2</f>
        <v>417.20833333333337</v>
      </c>
      <c r="M75" s="188">
        <v>372.5</v>
      </c>
      <c r="N75" s="188">
        <v>340.65</v>
      </c>
    </row>
    <row r="76" spans="10:27" customFormat="1"/>
    <row r="77" spans="10:27" customFormat="1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 customFormat="1">
      <c r="J78" s="188">
        <v>100</v>
      </c>
      <c r="K78" s="188">
        <v>381.23</v>
      </c>
      <c r="L78" s="188">
        <f>(630-81)/5*4.75/1.2</f>
        <v>434.625</v>
      </c>
      <c r="M78" s="188">
        <v>396.41</v>
      </c>
      <c r="N78" s="188">
        <v>365.11</v>
      </c>
    </row>
    <row r="79" spans="10:27" customFormat="1">
      <c r="J79" s="188">
        <v>95</v>
      </c>
      <c r="K79" s="188">
        <v>370.5</v>
      </c>
      <c r="L79" s="188">
        <f>(630-89)/5*4.75/1.2</f>
        <v>428.29166666666674</v>
      </c>
      <c r="M79" s="188">
        <v>385.98</v>
      </c>
      <c r="N79" s="188">
        <v>354.23</v>
      </c>
    </row>
    <row r="80" spans="10:27" customFormat="1">
      <c r="J80" s="188">
        <v>90</v>
      </c>
      <c r="K80" s="188">
        <v>359.35</v>
      </c>
      <c r="L80" s="188">
        <f>(630-97)/5*4.75/1.2</f>
        <v>421.95833333333331</v>
      </c>
      <c r="M80" s="188">
        <v>374.98</v>
      </c>
      <c r="N80" s="188">
        <v>342.88</v>
      </c>
    </row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</sheetData>
  <mergeCells count="4">
    <mergeCell ref="C1:E1"/>
    <mergeCell ref="A26:B26"/>
    <mergeCell ref="F2:G2"/>
    <mergeCell ref="E17:F17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T162"/>
  <sheetViews>
    <sheetView topLeftCell="A7" zoomScale="80" zoomScaleNormal="80" workbookViewId="0">
      <selection activeCell="G33" sqref="G33"/>
    </sheetView>
  </sheetViews>
  <sheetFormatPr defaultRowHeight="15"/>
  <cols>
    <col min="1" max="2" width="9.85546875" customWidth="1"/>
    <col min="4" max="4" width="10" style="1" customWidth="1"/>
    <col min="15" max="15" width="9.140625" style="13"/>
  </cols>
  <sheetData>
    <row r="1" spans="1:46">
      <c r="A1" s="7" t="s">
        <v>0</v>
      </c>
      <c r="B1" s="26">
        <f>Plan1!$B$1</f>
        <v>246.59</v>
      </c>
      <c r="C1" s="238" t="s">
        <v>46</v>
      </c>
      <c r="D1" s="238"/>
      <c r="E1" s="238"/>
      <c r="F1" s="115"/>
      <c r="G1" s="115"/>
      <c r="H1" s="138"/>
      <c r="I1" s="138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Plan1!$B$2</f>
        <v>6.0220000000000002</v>
      </c>
      <c r="C2" s="5"/>
      <c r="D2" s="26">
        <f>B1</f>
        <v>246.59</v>
      </c>
      <c r="F2" s="237" t="s">
        <v>139</v>
      </c>
      <c r="G2" s="237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08" t="s">
        <v>10</v>
      </c>
      <c r="Q2" s="108">
        <v>0</v>
      </c>
      <c r="R2" s="108">
        <f>K3</f>
        <v>331.41</v>
      </c>
      <c r="S2" s="108" t="s">
        <v>10</v>
      </c>
      <c r="T2" s="110">
        <v>0</v>
      </c>
      <c r="U2" s="108">
        <f>L3</f>
        <v>345</v>
      </c>
      <c r="V2" s="108" t="s">
        <v>10</v>
      </c>
      <c r="W2" s="110">
        <v>0</v>
      </c>
      <c r="X2" s="108">
        <f>M3</f>
        <v>344.3</v>
      </c>
      <c r="Y2" s="108" t="s">
        <v>10</v>
      </c>
      <c r="Z2" s="110">
        <v>0</v>
      </c>
      <c r="AA2" s="108">
        <f>N3</f>
        <v>317.74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08" t="s">
        <v>27</v>
      </c>
      <c r="AJ2" s="108">
        <v>0</v>
      </c>
      <c r="AK2" s="108">
        <f>AD3</f>
        <v>331.41</v>
      </c>
      <c r="AL2" s="108" t="s">
        <v>27</v>
      </c>
      <c r="AM2" s="108">
        <v>0</v>
      </c>
      <c r="AN2" s="108">
        <f>AE3</f>
        <v>345</v>
      </c>
      <c r="AO2" s="108" t="s">
        <v>27</v>
      </c>
      <c r="AP2" s="108">
        <v>0</v>
      </c>
      <c r="AQ2" s="108">
        <f>AF3</f>
        <v>344.3</v>
      </c>
      <c r="AR2" s="108" t="s">
        <v>27</v>
      </c>
      <c r="AS2" s="108">
        <v>0</v>
      </c>
      <c r="AT2" s="108">
        <f>AG3</f>
        <v>317.74</v>
      </c>
    </row>
    <row r="3" spans="1:46">
      <c r="A3" s="7" t="s">
        <v>2</v>
      </c>
      <c r="B3" s="27">
        <f>Plan1!$B$3</f>
        <v>1</v>
      </c>
      <c r="C3" s="5"/>
      <c r="D3" s="26">
        <f>A9</f>
        <v>258.43625000000003</v>
      </c>
      <c r="F3" s="114" t="s">
        <v>45</v>
      </c>
      <c r="G3" s="23">
        <f>A30</f>
        <v>183849.37426617369</v>
      </c>
      <c r="J3" s="143">
        <v>100</v>
      </c>
      <c r="K3" s="143">
        <v>331.41</v>
      </c>
      <c r="L3" s="143">
        <v>345</v>
      </c>
      <c r="M3" s="143">
        <v>344.3</v>
      </c>
      <c r="N3" s="143">
        <v>317.74</v>
      </c>
      <c r="O3" s="139"/>
      <c r="P3" s="108" t="s">
        <v>10</v>
      </c>
      <c r="Q3" s="108">
        <v>-5</v>
      </c>
      <c r="R3" s="108">
        <f>K8</f>
        <v>337.83</v>
      </c>
      <c r="S3" s="108" t="s">
        <v>10</v>
      </c>
      <c r="T3" s="110">
        <v>-5</v>
      </c>
      <c r="U3" s="108">
        <f>L8</f>
        <v>355</v>
      </c>
      <c r="V3" s="108" t="s">
        <v>10</v>
      </c>
      <c r="W3" s="110">
        <v>-5</v>
      </c>
      <c r="X3" s="108">
        <f>M8</f>
        <v>350.94</v>
      </c>
      <c r="Y3" s="108" t="s">
        <v>10</v>
      </c>
      <c r="Z3" s="110">
        <v>-5</v>
      </c>
      <c r="AA3" s="108">
        <f>N8</f>
        <v>323.89999999999998</v>
      </c>
      <c r="AC3" s="114">
        <v>100</v>
      </c>
      <c r="AD3" s="108">
        <f>K3</f>
        <v>331.41</v>
      </c>
      <c r="AE3" s="108">
        <f t="shared" ref="AE3:AG5" si="0">L3</f>
        <v>345</v>
      </c>
      <c r="AF3" s="108">
        <f t="shared" si="0"/>
        <v>344.3</v>
      </c>
      <c r="AG3" s="108">
        <f t="shared" si="0"/>
        <v>317.74</v>
      </c>
      <c r="AI3" s="108" t="s">
        <v>27</v>
      </c>
      <c r="AJ3" s="108">
        <v>5</v>
      </c>
      <c r="AK3" s="108">
        <f>AD8</f>
        <v>0</v>
      </c>
      <c r="AL3" s="108" t="s">
        <v>27</v>
      </c>
      <c r="AM3" s="108">
        <v>5</v>
      </c>
      <c r="AN3" s="108">
        <f>AE8</f>
        <v>0</v>
      </c>
      <c r="AO3" s="108" t="s">
        <v>27</v>
      </c>
      <c r="AP3" s="108">
        <v>5</v>
      </c>
      <c r="AQ3" s="108">
        <f>AF8</f>
        <v>0</v>
      </c>
      <c r="AR3" s="108" t="s">
        <v>27</v>
      </c>
      <c r="AS3" s="108">
        <v>5</v>
      </c>
      <c r="AT3" s="108">
        <f>AG8</f>
        <v>0</v>
      </c>
    </row>
    <row r="4" spans="1:46">
      <c r="A4" s="7" t="s">
        <v>3</v>
      </c>
      <c r="B4" s="28">
        <f>Plan1!$B$4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246.14463852561485</v>
      </c>
      <c r="F4" s="114" t="s">
        <v>140</v>
      </c>
      <c r="G4" s="24">
        <f>B30</f>
        <v>-330412392010.32251</v>
      </c>
      <c r="J4" s="143">
        <v>95</v>
      </c>
      <c r="K4" s="143">
        <v>320.19</v>
      </c>
      <c r="L4" s="143">
        <v>337.5</v>
      </c>
      <c r="M4" s="143">
        <v>333.29</v>
      </c>
      <c r="N4" s="143">
        <v>306.45</v>
      </c>
      <c r="O4" s="140"/>
      <c r="P4" s="108" t="s">
        <v>10</v>
      </c>
      <c r="Q4" s="108">
        <v>-10</v>
      </c>
      <c r="R4" s="108">
        <f>K13</f>
        <v>343.52</v>
      </c>
      <c r="S4" s="108" t="s">
        <v>10</v>
      </c>
      <c r="T4" s="110">
        <v>-10</v>
      </c>
      <c r="U4" s="108">
        <f>L13</f>
        <v>365</v>
      </c>
      <c r="V4" s="108" t="s">
        <v>10</v>
      </c>
      <c r="W4" s="110">
        <v>-10</v>
      </c>
      <c r="X4" s="108">
        <f>M13</f>
        <v>356.85</v>
      </c>
      <c r="Y4" s="108" t="s">
        <v>10</v>
      </c>
      <c r="Z4" s="110">
        <v>-10</v>
      </c>
      <c r="AA4" s="108">
        <f>N13</f>
        <v>329.36</v>
      </c>
      <c r="AC4" s="114">
        <v>97.5</v>
      </c>
      <c r="AD4" s="108">
        <f t="shared" ref="AD4:AD5" si="1">K4</f>
        <v>320.19</v>
      </c>
      <c r="AE4" s="108">
        <f t="shared" si="0"/>
        <v>337.5</v>
      </c>
      <c r="AF4" s="108">
        <f t="shared" si="0"/>
        <v>333.29</v>
      </c>
      <c r="AG4" s="108">
        <f t="shared" si="0"/>
        <v>306.45</v>
      </c>
      <c r="AI4" s="108" t="s">
        <v>27</v>
      </c>
      <c r="AJ4" s="108">
        <v>10</v>
      </c>
      <c r="AK4" s="108">
        <f>AD13</f>
        <v>0</v>
      </c>
      <c r="AL4" s="108" t="s">
        <v>27</v>
      </c>
      <c r="AM4" s="108">
        <v>10</v>
      </c>
      <c r="AN4" s="108">
        <f>AE13</f>
        <v>0</v>
      </c>
      <c r="AO4" s="108" t="s">
        <v>27</v>
      </c>
      <c r="AP4" s="108">
        <v>10</v>
      </c>
      <c r="AQ4" s="108">
        <f>AF13</f>
        <v>0</v>
      </c>
      <c r="AR4" s="108" t="s">
        <v>27</v>
      </c>
      <c r="AS4" s="108">
        <v>10</v>
      </c>
      <c r="AT4" s="108">
        <f>AG13</f>
        <v>0</v>
      </c>
    </row>
    <row r="5" spans="1:46">
      <c r="A5" s="7" t="s">
        <v>4</v>
      </c>
      <c r="B5" s="7">
        <f>Plan1!$B$5</f>
        <v>-1.8784359062401523</v>
      </c>
      <c r="C5" s="2"/>
      <c r="F5" s="114" t="s">
        <v>127</v>
      </c>
      <c r="G5" s="25">
        <f>A32</f>
        <v>555224.48333333328</v>
      </c>
      <c r="J5" s="143">
        <v>90</v>
      </c>
      <c r="K5" s="143">
        <v>306.45</v>
      </c>
      <c r="L5" s="143">
        <v>325.83300000000003</v>
      </c>
      <c r="M5" s="143">
        <v>319.58</v>
      </c>
      <c r="N5" s="143">
        <v>292.69</v>
      </c>
      <c r="O5" s="140"/>
      <c r="P5" s="108" t="s">
        <v>10</v>
      </c>
      <c r="Q5" s="108">
        <v>-15</v>
      </c>
      <c r="R5" s="108">
        <f>K18</f>
        <v>348.62</v>
      </c>
      <c r="S5" s="108" t="s">
        <v>10</v>
      </c>
      <c r="T5" s="110">
        <v>-15</v>
      </c>
      <c r="U5" s="108">
        <f>L18</f>
        <v>373.33333333333337</v>
      </c>
      <c r="V5" s="108" t="s">
        <v>10</v>
      </c>
      <c r="W5" s="110">
        <v>-15</v>
      </c>
      <c r="X5" s="108">
        <f>M18</f>
        <v>362.14</v>
      </c>
      <c r="Y5" s="108" t="s">
        <v>10</v>
      </c>
      <c r="Z5" s="110">
        <v>-15</v>
      </c>
      <c r="AA5" s="108">
        <f>N18</f>
        <v>334.26</v>
      </c>
      <c r="AC5" s="114">
        <v>95</v>
      </c>
      <c r="AD5" s="108">
        <f t="shared" si="1"/>
        <v>306.45</v>
      </c>
      <c r="AE5" s="108">
        <f t="shared" si="0"/>
        <v>325.83300000000003</v>
      </c>
      <c r="AF5" s="108">
        <f t="shared" si="0"/>
        <v>319.58</v>
      </c>
      <c r="AG5" s="108">
        <f t="shared" si="0"/>
        <v>292.69</v>
      </c>
      <c r="AI5" s="108" t="s">
        <v>27</v>
      </c>
      <c r="AJ5" s="108">
        <v>15</v>
      </c>
      <c r="AK5" s="108">
        <f>AD18</f>
        <v>0</v>
      </c>
      <c r="AL5" s="108" t="s">
        <v>27</v>
      </c>
      <c r="AM5" s="108">
        <v>15</v>
      </c>
      <c r="AN5" s="108">
        <f>AE18</f>
        <v>0</v>
      </c>
      <c r="AO5" s="108" t="s">
        <v>27</v>
      </c>
      <c r="AP5" s="108">
        <v>15</v>
      </c>
      <c r="AQ5" s="108">
        <f>AF18</f>
        <v>0</v>
      </c>
      <c r="AR5" s="108" t="s">
        <v>27</v>
      </c>
      <c r="AS5" s="108">
        <v>15</v>
      </c>
      <c r="AT5" s="108">
        <f>AG18</f>
        <v>0</v>
      </c>
    </row>
    <row r="6" spans="1:46">
      <c r="A6" s="7" t="s">
        <v>5</v>
      </c>
      <c r="B6" s="29">
        <f>Plan1!$B$6</f>
        <v>0.85</v>
      </c>
      <c r="C6" s="6"/>
      <c r="F6" s="114" t="s">
        <v>128</v>
      </c>
      <c r="G6" s="11">
        <f>B32</f>
        <v>29.574204024932158</v>
      </c>
      <c r="O6" s="140"/>
      <c r="P6" s="108" t="s">
        <v>10</v>
      </c>
      <c r="Q6" s="108">
        <v>-20</v>
      </c>
      <c r="R6" s="108">
        <f>K23</f>
        <v>353.23</v>
      </c>
      <c r="S6" s="108" t="s">
        <v>10</v>
      </c>
      <c r="T6" s="110">
        <v>-20</v>
      </c>
      <c r="U6" s="108">
        <f>L23</f>
        <v>381.31944444444446</v>
      </c>
      <c r="V6" s="108" t="s">
        <v>10</v>
      </c>
      <c r="W6" s="110">
        <v>-20</v>
      </c>
      <c r="X6" s="108">
        <f>M23</f>
        <v>366.93</v>
      </c>
      <c r="Y6" s="108" t="s">
        <v>10</v>
      </c>
      <c r="Z6" s="110">
        <v>-20</v>
      </c>
      <c r="AA6" s="108">
        <f>N23</f>
        <v>338.67</v>
      </c>
      <c r="AI6" s="108" t="s">
        <v>27</v>
      </c>
      <c r="AJ6" s="108">
        <v>20</v>
      </c>
      <c r="AK6" s="108">
        <f>AD23</f>
        <v>0</v>
      </c>
      <c r="AL6" s="108" t="s">
        <v>27</v>
      </c>
      <c r="AM6" s="108">
        <v>20</v>
      </c>
      <c r="AN6" s="108">
        <f>AE23</f>
        <v>0</v>
      </c>
      <c r="AO6" s="108" t="s">
        <v>27</v>
      </c>
      <c r="AP6" s="108">
        <v>20</v>
      </c>
      <c r="AQ6" s="108">
        <f>AF23</f>
        <v>0</v>
      </c>
      <c r="AR6" s="108" t="s">
        <v>27</v>
      </c>
      <c r="AS6" s="108">
        <v>20</v>
      </c>
      <c r="AT6" s="108">
        <f>AG23</f>
        <v>0</v>
      </c>
    </row>
    <row r="7" spans="1:46">
      <c r="D7"/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P7" s="108" t="s">
        <v>10</v>
      </c>
      <c r="Q7" s="108">
        <v>-25</v>
      </c>
      <c r="R7" s="108">
        <f>K28</f>
        <v>357.43</v>
      </c>
      <c r="S7" s="108" t="s">
        <v>10</v>
      </c>
      <c r="T7" s="110">
        <v>-25</v>
      </c>
      <c r="U7" s="108">
        <f>L28</f>
        <v>388.57638888888891</v>
      </c>
      <c r="V7" s="108" t="s">
        <v>10</v>
      </c>
      <c r="W7" s="110">
        <v>-25</v>
      </c>
      <c r="X7" s="108">
        <f>M28</f>
        <v>371.3</v>
      </c>
      <c r="Y7" s="108" t="s">
        <v>10</v>
      </c>
      <c r="Z7" s="110">
        <v>-25</v>
      </c>
      <c r="AA7" s="108">
        <f>N28</f>
        <v>342.69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08" t="s">
        <v>28</v>
      </c>
      <c r="AJ7" s="9">
        <f>$B$2</f>
        <v>6.0220000000000002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-11.272355101768062</v>
      </c>
      <c r="AL7" s="108" t="s">
        <v>28</v>
      </c>
      <c r="AM7" s="9">
        <f>$B$2</f>
        <v>6.0220000000000002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-11.734596150116115</v>
      </c>
      <c r="AO7" s="108" t="s">
        <v>28</v>
      </c>
      <c r="AP7" s="9">
        <f>$B$2</f>
        <v>6.0220000000000002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-11.710786824594139</v>
      </c>
      <c r="AR7" s="108" t="s">
        <v>28</v>
      </c>
      <c r="AS7" s="9">
        <f>$B$2</f>
        <v>6.0220000000000002</v>
      </c>
      <c r="AT7" s="11">
        <f t="shared" si="2"/>
        <v>-10.80739298764607</v>
      </c>
    </row>
    <row r="8" spans="1:46">
      <c r="A8" s="98" t="s">
        <v>138</v>
      </c>
      <c r="D8"/>
      <c r="E8" s="1" t="s">
        <v>6</v>
      </c>
      <c r="F8" s="1" t="s">
        <v>14</v>
      </c>
      <c r="G8" s="14" t="s">
        <v>15</v>
      </c>
      <c r="J8" s="143">
        <v>100</v>
      </c>
      <c r="K8" s="143">
        <v>337.83</v>
      </c>
      <c r="L8" s="143">
        <v>355</v>
      </c>
      <c r="M8" s="143">
        <v>350.94</v>
      </c>
      <c r="N8" s="143">
        <v>323.89999999999998</v>
      </c>
      <c r="P8" s="108" t="s">
        <v>11</v>
      </c>
      <c r="Q8" s="9">
        <f>$B$2</f>
        <v>6.0220000000000002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322.41953140160945</v>
      </c>
      <c r="S8" s="108" t="s">
        <v>11</v>
      </c>
      <c r="T8" s="9">
        <f>$B$2</f>
        <v>6.0220000000000002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347.04151558037699</v>
      </c>
      <c r="V8" s="108" t="s">
        <v>11</v>
      </c>
      <c r="W8" s="9">
        <f>$B$2</f>
        <v>6.0220000000000002</v>
      </c>
      <c r="X8" s="11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335.27021348874393</v>
      </c>
      <c r="Y8" s="108" t="s">
        <v>11</v>
      </c>
      <c r="Z8" s="9">
        <f>$B$2</f>
        <v>6.0220000000000002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308.93368273678266</v>
      </c>
      <c r="AC8" s="114">
        <v>100</v>
      </c>
      <c r="AD8" s="108"/>
      <c r="AE8" s="108"/>
      <c r="AF8" s="108"/>
      <c r="AG8" s="108"/>
    </row>
    <row r="9" spans="1:46">
      <c r="A9" s="4">
        <f>0*(B6-0.9)*(B6-0.8)/((1-0.9)*(1-0.8))+7.7*(B6-1)*(B6-0.8)/((0.9-1)*(0.9-0.8))+16.19*(B6-1)*(B6-0.9)/((0.8-1)*(0.8-0.9))+B1</f>
        <v>258.43625000000003</v>
      </c>
      <c r="D9" s="143">
        <v>100</v>
      </c>
      <c r="E9" s="116">
        <f>K3</f>
        <v>331.41</v>
      </c>
      <c r="F9" s="147">
        <v>332.34</v>
      </c>
      <c r="G9" s="147">
        <v>330.17</v>
      </c>
      <c r="J9" s="143">
        <v>95</v>
      </c>
      <c r="K9" s="143">
        <v>326.82</v>
      </c>
      <c r="L9" s="143">
        <v>348.33333333333337</v>
      </c>
      <c r="M9" s="143">
        <v>340.17</v>
      </c>
      <c r="N9" s="143">
        <v>312.81</v>
      </c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14">
        <v>97.5</v>
      </c>
      <c r="AD9" s="108"/>
      <c r="AE9" s="108"/>
      <c r="AF9" s="108"/>
      <c r="AG9" s="108"/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43">
        <v>95</v>
      </c>
      <c r="E10" s="147">
        <f t="shared" ref="E10:E11" si="3">K4</f>
        <v>320.19</v>
      </c>
      <c r="F10" s="147">
        <v>321.23</v>
      </c>
      <c r="G10" s="147">
        <v>318.97000000000003</v>
      </c>
      <c r="J10" s="143">
        <v>90</v>
      </c>
      <c r="K10" s="143">
        <v>313.45999999999998</v>
      </c>
      <c r="L10" s="143">
        <v>336.66666666666669</v>
      </c>
      <c r="M10" s="143">
        <v>326.86</v>
      </c>
      <c r="N10" s="143">
        <v>299.39999999999998</v>
      </c>
      <c r="P10" s="108" t="s">
        <v>10</v>
      </c>
      <c r="Q10" s="110">
        <v>0</v>
      </c>
      <c r="R10" s="108">
        <f>K4</f>
        <v>320.19</v>
      </c>
      <c r="S10" s="108" t="s">
        <v>10</v>
      </c>
      <c r="T10" s="110">
        <v>0</v>
      </c>
      <c r="U10" s="108">
        <f>L4</f>
        <v>337.5</v>
      </c>
      <c r="V10" s="108" t="s">
        <v>10</v>
      </c>
      <c r="W10" s="110">
        <v>0</v>
      </c>
      <c r="X10" s="108">
        <f>M4</f>
        <v>333.29</v>
      </c>
      <c r="Y10" s="108" t="s">
        <v>10</v>
      </c>
      <c r="Z10" s="110">
        <v>0</v>
      </c>
      <c r="AA10" s="108">
        <f>N4</f>
        <v>306.45</v>
      </c>
      <c r="AC10" s="114">
        <v>95</v>
      </c>
      <c r="AD10" s="108"/>
      <c r="AE10" s="108"/>
      <c r="AF10" s="108"/>
      <c r="AG10" s="108"/>
      <c r="AI10" s="108" t="s">
        <v>27</v>
      </c>
      <c r="AJ10" s="108">
        <v>0</v>
      </c>
      <c r="AK10" s="108">
        <f>AD4</f>
        <v>320.19</v>
      </c>
      <c r="AL10" s="108" t="s">
        <v>27</v>
      </c>
      <c r="AM10" s="108">
        <v>0</v>
      </c>
      <c r="AN10" s="108">
        <f>AE4</f>
        <v>337.5</v>
      </c>
      <c r="AO10" s="108" t="s">
        <v>27</v>
      </c>
      <c r="AP10" s="108">
        <v>0</v>
      </c>
      <c r="AQ10" s="108">
        <f>AF4</f>
        <v>333.29</v>
      </c>
      <c r="AR10" s="108" t="s">
        <v>27</v>
      </c>
      <c r="AS10" s="108">
        <v>0</v>
      </c>
      <c r="AT10" s="108">
        <f>AG4</f>
        <v>306.45</v>
      </c>
    </row>
    <row r="11" spans="1:46">
      <c r="A11" s="108" t="s">
        <v>23</v>
      </c>
      <c r="B11" s="108">
        <f>Plan1!$B$17</f>
        <v>86</v>
      </c>
      <c r="D11" s="143">
        <v>90</v>
      </c>
      <c r="E11" s="147">
        <f t="shared" si="3"/>
        <v>306.45</v>
      </c>
      <c r="F11" s="147">
        <v>308.31</v>
      </c>
      <c r="G11" s="147">
        <v>305.27999999999997</v>
      </c>
      <c r="P11" s="108" t="s">
        <v>10</v>
      </c>
      <c r="Q11" s="110">
        <v>-5</v>
      </c>
      <c r="R11" s="108">
        <f>K9</f>
        <v>326.82</v>
      </c>
      <c r="S11" s="108" t="s">
        <v>10</v>
      </c>
      <c r="T11" s="110">
        <v>-5</v>
      </c>
      <c r="U11" s="108">
        <f>L9</f>
        <v>348.33333333333337</v>
      </c>
      <c r="V11" s="108" t="s">
        <v>10</v>
      </c>
      <c r="W11" s="110">
        <v>-5</v>
      </c>
      <c r="X11" s="108">
        <f>M9</f>
        <v>340.17</v>
      </c>
      <c r="Y11" s="108" t="s">
        <v>10</v>
      </c>
      <c r="Z11" s="110">
        <v>-5</v>
      </c>
      <c r="AA11" s="108">
        <f>N9</f>
        <v>312.81</v>
      </c>
      <c r="AI11" s="108" t="s">
        <v>27</v>
      </c>
      <c r="AJ11" s="108">
        <v>5</v>
      </c>
      <c r="AK11" s="108">
        <f>AD9</f>
        <v>0</v>
      </c>
      <c r="AL11" s="108" t="s">
        <v>27</v>
      </c>
      <c r="AM11" s="108">
        <v>5</v>
      </c>
      <c r="AN11" s="108">
        <f>AE9</f>
        <v>0</v>
      </c>
      <c r="AO11" s="108" t="s">
        <v>27</v>
      </c>
      <c r="AP11" s="108">
        <v>5</v>
      </c>
      <c r="AQ11" s="108">
        <f>AF9</f>
        <v>0</v>
      </c>
      <c r="AR11" s="108" t="s">
        <v>27</v>
      </c>
      <c r="AS11" s="108">
        <v>5</v>
      </c>
      <c r="AT11" s="108">
        <f>AG9</f>
        <v>0</v>
      </c>
    </row>
    <row r="12" spans="1:46">
      <c r="A12" s="108" t="s">
        <v>24</v>
      </c>
      <c r="B12" s="108">
        <f>Plan1!$B$18</f>
        <v>49.06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41"/>
      <c r="P12" s="108" t="s">
        <v>10</v>
      </c>
      <c r="Q12" s="110">
        <v>-10</v>
      </c>
      <c r="R12" s="108">
        <f>K14</f>
        <v>332.69</v>
      </c>
      <c r="S12" s="108" t="s">
        <v>10</v>
      </c>
      <c r="T12" s="110">
        <v>-10</v>
      </c>
      <c r="U12" s="108">
        <f>L14</f>
        <v>357.5</v>
      </c>
      <c r="V12" s="108" t="s">
        <v>10</v>
      </c>
      <c r="W12" s="110">
        <v>-10</v>
      </c>
      <c r="X12" s="108">
        <f>M14</f>
        <v>346.26</v>
      </c>
      <c r="Y12" s="108" t="s">
        <v>10</v>
      </c>
      <c r="Z12" s="110">
        <v>-10</v>
      </c>
      <c r="AA12" s="108">
        <f>N14</f>
        <v>318.44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08" t="s">
        <v>27</v>
      </c>
      <c r="AJ12" s="108">
        <v>10</v>
      </c>
      <c r="AK12" s="108">
        <f>AD14</f>
        <v>0</v>
      </c>
      <c r="AL12" s="108" t="s">
        <v>27</v>
      </c>
      <c r="AM12" s="108">
        <v>10</v>
      </c>
      <c r="AN12" s="108">
        <f>AE14</f>
        <v>0</v>
      </c>
      <c r="AO12" s="108" t="s">
        <v>27</v>
      </c>
      <c r="AP12" s="108">
        <v>10</v>
      </c>
      <c r="AQ12" s="108">
        <f>AF14</f>
        <v>0</v>
      </c>
      <c r="AR12" s="108" t="s">
        <v>27</v>
      </c>
      <c r="AS12" s="108">
        <v>10</v>
      </c>
      <c r="AT12" s="108">
        <f>AG14</f>
        <v>0</v>
      </c>
    </row>
    <row r="13" spans="1:46">
      <c r="A13" s="108" t="s">
        <v>25</v>
      </c>
      <c r="B13" s="108">
        <f>COS(RADIANS(B12))</f>
        <v>0.65526833938609963</v>
      </c>
      <c r="D13" s="143">
        <v>100</v>
      </c>
      <c r="E13" s="116">
        <f>E9</f>
        <v>331.41</v>
      </c>
      <c r="F13" s="11">
        <f>E9*((D9-(100/360))-D10)*((D9-(100/360))-D11)/((D9-D10)*(D9-D11))+E10*((D9-(100/360))-D9)*((D9-(100/360))-D11)/((D10-D9)*(D10-D11))+E11*((D9-(100/360))-D9)*((D9-(100/360))-D10)/((D11-D9)*(D11-D10))</f>
        <v>330.85277777777782</v>
      </c>
      <c r="G13" s="108">
        <f>G9</f>
        <v>330.17</v>
      </c>
      <c r="J13" s="143">
        <v>100</v>
      </c>
      <c r="K13" s="143">
        <v>343.52</v>
      </c>
      <c r="L13" s="143">
        <v>365</v>
      </c>
      <c r="M13" s="143">
        <v>356.85</v>
      </c>
      <c r="N13" s="143">
        <v>329.36</v>
      </c>
      <c r="O13" s="141"/>
      <c r="P13" s="108" t="s">
        <v>10</v>
      </c>
      <c r="Q13" s="110">
        <v>-15</v>
      </c>
      <c r="R13" s="108">
        <f>K19</f>
        <v>337.94</v>
      </c>
      <c r="S13" s="108" t="s">
        <v>10</v>
      </c>
      <c r="T13" s="110">
        <v>-15</v>
      </c>
      <c r="U13" s="108">
        <f>L19</f>
        <v>366.66666666666669</v>
      </c>
      <c r="V13" s="108" t="s">
        <v>10</v>
      </c>
      <c r="W13" s="110">
        <v>-15</v>
      </c>
      <c r="X13" s="108">
        <f>M19</f>
        <v>351.72</v>
      </c>
      <c r="Y13" s="108" t="s">
        <v>10</v>
      </c>
      <c r="Z13" s="110">
        <v>-15</v>
      </c>
      <c r="AA13" s="108">
        <f>N19</f>
        <v>323.47000000000003</v>
      </c>
      <c r="AC13" s="114">
        <v>100</v>
      </c>
      <c r="AD13" s="108"/>
      <c r="AE13" s="108"/>
      <c r="AF13" s="108"/>
      <c r="AG13" s="108"/>
      <c r="AI13" s="108" t="s">
        <v>27</v>
      </c>
      <c r="AJ13" s="108">
        <v>15</v>
      </c>
      <c r="AK13" s="108">
        <f>AD19</f>
        <v>0</v>
      </c>
      <c r="AL13" s="108" t="s">
        <v>27</v>
      </c>
      <c r="AM13" s="108">
        <v>15</v>
      </c>
      <c r="AN13" s="108">
        <f>AE19</f>
        <v>0</v>
      </c>
      <c r="AO13" s="108" t="s">
        <v>27</v>
      </c>
      <c r="AP13" s="108">
        <v>15</v>
      </c>
      <c r="AQ13" s="108">
        <f>AF19</f>
        <v>0</v>
      </c>
      <c r="AR13" s="108" t="s">
        <v>27</v>
      </c>
      <c r="AS13" s="108">
        <v>15</v>
      </c>
      <c r="AT13" s="108">
        <f>AG19</f>
        <v>0</v>
      </c>
    </row>
    <row r="14" spans="1:46">
      <c r="A14" s="108" t="s">
        <v>26</v>
      </c>
      <c r="B14" s="121">
        <f>B5</f>
        <v>-1.8784359062401523</v>
      </c>
      <c r="D14" s="143">
        <v>95</v>
      </c>
      <c r="E14" s="116">
        <f>E10</f>
        <v>320.19</v>
      </c>
      <c r="F14" s="11">
        <f>E9*((D10-(100/360))-D10)*((D10-(100/360))-D11)/((D9-D10)*(D9-D11))+E10*((D10-(100/360))-D9)*((D10-(100/360))-D11)/((D10-D9)*(D10-D11))+E11*((D10-(100/360))-D9)*((D10-(100/360))-D10)/((D11-D9)*(D11-D10))</f>
        <v>319.49277777777775</v>
      </c>
      <c r="G14" s="118">
        <f>G10</f>
        <v>318.97000000000003</v>
      </c>
      <c r="J14" s="143">
        <v>95</v>
      </c>
      <c r="K14" s="143">
        <v>332.69</v>
      </c>
      <c r="L14" s="143">
        <v>357.5</v>
      </c>
      <c r="M14" s="143">
        <v>346.26</v>
      </c>
      <c r="N14" s="143">
        <v>318.44</v>
      </c>
      <c r="O14" s="141"/>
      <c r="P14" s="108" t="s">
        <v>10</v>
      </c>
      <c r="Q14" s="110">
        <v>-20</v>
      </c>
      <c r="R14" s="108">
        <f>K24</f>
        <v>342.69</v>
      </c>
      <c r="S14" s="108" t="s">
        <v>10</v>
      </c>
      <c r="T14" s="110">
        <v>-20</v>
      </c>
      <c r="U14" s="108">
        <f>L24</f>
        <v>374.72222222222223</v>
      </c>
      <c r="V14" s="108" t="s">
        <v>10</v>
      </c>
      <c r="W14" s="110">
        <v>-20</v>
      </c>
      <c r="X14" s="108">
        <f>M24</f>
        <v>356.65</v>
      </c>
      <c r="Y14" s="108" t="s">
        <v>10</v>
      </c>
      <c r="Z14" s="110">
        <v>-20</v>
      </c>
      <c r="AA14" s="108">
        <f>N24</f>
        <v>328.01</v>
      </c>
      <c r="AC14" s="114">
        <v>97.5</v>
      </c>
      <c r="AD14" s="108"/>
      <c r="AE14" s="108"/>
      <c r="AF14" s="108"/>
      <c r="AG14" s="108"/>
      <c r="AI14" s="108" t="s">
        <v>27</v>
      </c>
      <c r="AJ14" s="108">
        <v>20</v>
      </c>
      <c r="AK14" s="108">
        <f>AD24</f>
        <v>0</v>
      </c>
      <c r="AL14" s="108" t="s">
        <v>27</v>
      </c>
      <c r="AM14" s="108">
        <v>20</v>
      </c>
      <c r="AN14" s="108">
        <f>AE24</f>
        <v>0</v>
      </c>
      <c r="AO14" s="108" t="s">
        <v>27</v>
      </c>
      <c r="AP14" s="108">
        <v>20</v>
      </c>
      <c r="AQ14" s="108">
        <f>AF24</f>
        <v>0</v>
      </c>
      <c r="AR14" s="108" t="s">
        <v>27</v>
      </c>
      <c r="AS14" s="108">
        <v>20</v>
      </c>
      <c r="AT14" s="108">
        <f>AG24</f>
        <v>0</v>
      </c>
    </row>
    <row r="15" spans="1:46">
      <c r="D15" s="143">
        <v>90</v>
      </c>
      <c r="E15" s="116">
        <f>E11</f>
        <v>306.45</v>
      </c>
      <c r="F15" s="11">
        <f>E9*((D11-(100/360))-D10)*((D11-(100/360))-D11)/((D9-D10)*(D9-D11))+E10*((D11-(100/360))-D9)*((D11-(100/360))-D11)/((D10-D9)*(D10-D11))+E11*((D11-(100/360))-D9)*((D11-(100/360))-D10)/((D11-D9)*(D11-D10))</f>
        <v>305.61277777777781</v>
      </c>
      <c r="G15" s="118">
        <f>G11</f>
        <v>305.27999999999997</v>
      </c>
      <c r="J15" s="143">
        <v>90</v>
      </c>
      <c r="K15" s="143">
        <v>319.64999999999998</v>
      </c>
      <c r="L15" s="143">
        <v>347.5</v>
      </c>
      <c r="M15" s="143">
        <v>333.29</v>
      </c>
      <c r="N15" s="143">
        <v>305.32</v>
      </c>
      <c r="P15" s="108" t="s">
        <v>10</v>
      </c>
      <c r="Q15" s="110">
        <v>-25</v>
      </c>
      <c r="R15" s="108">
        <f>K29</f>
        <v>347</v>
      </c>
      <c r="S15" s="108" t="s">
        <v>10</v>
      </c>
      <c r="T15" s="110">
        <v>-25</v>
      </c>
      <c r="U15" s="108">
        <f>L29</f>
        <v>382.63888888888891</v>
      </c>
      <c r="V15" s="108" t="s">
        <v>10</v>
      </c>
      <c r="W15" s="110">
        <v>-25</v>
      </c>
      <c r="X15" s="108">
        <f>M29</f>
        <v>361.14</v>
      </c>
      <c r="Y15" s="108" t="s">
        <v>10</v>
      </c>
      <c r="Z15" s="110">
        <v>-25</v>
      </c>
      <c r="AA15" s="108">
        <f>N29</f>
        <v>332.14</v>
      </c>
      <c r="AC15" s="114">
        <v>95</v>
      </c>
      <c r="AD15" s="108"/>
      <c r="AE15" s="108"/>
      <c r="AF15" s="108"/>
      <c r="AG15" s="108"/>
      <c r="AI15" s="108" t="s">
        <v>28</v>
      </c>
      <c r="AJ15" s="9">
        <f>$B$2</f>
        <v>6.0220000000000002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-10.890725626972982</v>
      </c>
      <c r="AL15" s="108" t="s">
        <v>28</v>
      </c>
      <c r="AM15" s="9">
        <f>$B$2</f>
        <v>6.0220000000000002</v>
      </c>
      <c r="AN15" s="11">
        <f t="shared" ref="AN15:AT15" si="4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-11.479496233809243</v>
      </c>
      <c r="AO15" s="108" t="s">
        <v>28</v>
      </c>
      <c r="AP15" s="9">
        <f>$B$2</f>
        <v>6.0220000000000002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-11.336300147455651</v>
      </c>
      <c r="AR15" s="108" t="s">
        <v>28</v>
      </c>
      <c r="AS15" s="9">
        <f>$B$2</f>
        <v>6.0220000000000002</v>
      </c>
      <c r="AT15" s="11">
        <f t="shared" si="4"/>
        <v>-10.423382580298792</v>
      </c>
    </row>
    <row r="16" spans="1:46">
      <c r="A16" s="108" t="s">
        <v>32</v>
      </c>
      <c r="B16" s="23">
        <f>$B$3*SIN(RADIANS($B$4))</f>
        <v>0.95798784374570456</v>
      </c>
      <c r="P16" s="108" t="s">
        <v>11</v>
      </c>
      <c r="Q16" s="9">
        <f>$B$2</f>
        <v>6.0220000000000002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311.02966974636888</v>
      </c>
      <c r="S16" s="108" t="s">
        <v>11</v>
      </c>
      <c r="T16" s="9">
        <f>$B$2</f>
        <v>6.0220000000000002</v>
      </c>
      <c r="U16" s="11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308.19550704591188</v>
      </c>
      <c r="V16" s="108" t="s">
        <v>11</v>
      </c>
      <c r="W16" s="9">
        <f>$B$2</f>
        <v>6.0220000000000002</v>
      </c>
      <c r="X16" s="11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323.56115185863848</v>
      </c>
      <c r="Y16" s="108" t="s">
        <v>11</v>
      </c>
      <c r="Z16" s="9">
        <f>$B$2</f>
        <v>6.0220000000000002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297.6223222040104</v>
      </c>
    </row>
    <row r="17" spans="1:46">
      <c r="A17" s="108" t="s">
        <v>33</v>
      </c>
      <c r="B17" s="23">
        <f>$B$3*COS(RADIANS($B$4))</f>
        <v>-0.28680880606329973</v>
      </c>
      <c r="E17" s="240" t="s">
        <v>40</v>
      </c>
      <c r="F17" s="241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E18" s="143">
        <v>100</v>
      </c>
      <c r="F18" s="11">
        <f>E23*(B24-9)*(B24--9)/((0-9)*(0--9))+G23*(B24-0)*(B24--9)/((9-0)*(9--9))+H23*(B24-0)*(B24-9)/((-9-0)*(-9-9))</f>
        <v>-11.267055706642843</v>
      </c>
      <c r="J18" s="143">
        <v>100</v>
      </c>
      <c r="K18" s="143">
        <v>348.62</v>
      </c>
      <c r="L18" s="143">
        <v>373.33333333333337</v>
      </c>
      <c r="M18" s="143">
        <v>362.14</v>
      </c>
      <c r="N18" s="143">
        <v>334.26</v>
      </c>
      <c r="P18" s="108" t="s">
        <v>10</v>
      </c>
      <c r="Q18" s="110">
        <v>0</v>
      </c>
      <c r="R18" s="108">
        <f>K5</f>
        <v>306.45</v>
      </c>
      <c r="S18" s="108" t="s">
        <v>10</v>
      </c>
      <c r="T18" s="110">
        <v>0</v>
      </c>
      <c r="U18" s="108">
        <f>L5</f>
        <v>325.83300000000003</v>
      </c>
      <c r="V18" s="108" t="s">
        <v>10</v>
      </c>
      <c r="W18" s="110">
        <v>0</v>
      </c>
      <c r="X18" s="108">
        <f>M5</f>
        <v>319.58</v>
      </c>
      <c r="Y18" s="108" t="s">
        <v>10</v>
      </c>
      <c r="Z18" s="110">
        <v>0</v>
      </c>
      <c r="AA18" s="108">
        <f>N5</f>
        <v>292.69</v>
      </c>
      <c r="AC18" s="114">
        <v>100</v>
      </c>
      <c r="AD18" s="108"/>
      <c r="AE18" s="108"/>
      <c r="AF18" s="108"/>
      <c r="AG18" s="108"/>
      <c r="AI18" s="108" t="s">
        <v>27</v>
      </c>
      <c r="AJ18" s="108">
        <v>0</v>
      </c>
      <c r="AK18" s="108">
        <f>AD5</f>
        <v>306.45</v>
      </c>
      <c r="AL18" s="108" t="s">
        <v>27</v>
      </c>
      <c r="AM18" s="108">
        <v>0</v>
      </c>
      <c r="AN18" s="108">
        <f>AE5</f>
        <v>325.83300000000003</v>
      </c>
      <c r="AO18" s="108" t="s">
        <v>27</v>
      </c>
      <c r="AP18" s="108">
        <v>0</v>
      </c>
      <c r="AQ18" s="108">
        <f>AF5</f>
        <v>319.58</v>
      </c>
      <c r="AR18" s="108" t="s">
        <v>27</v>
      </c>
      <c r="AS18" s="108">
        <v>0</v>
      </c>
      <c r="AT18" s="108">
        <f>AG5</f>
        <v>292.69</v>
      </c>
    </row>
    <row r="19" spans="1:46">
      <c r="A19" s="108" t="s">
        <v>31</v>
      </c>
      <c r="B19" s="108" t="s">
        <v>35</v>
      </c>
      <c r="E19" s="143">
        <v>95</v>
      </c>
      <c r="F19" s="11">
        <f>E24*(B24-9)*(B24--9)/((0-9)*(0--9))+G24*(B24-0)*(B24--9)/((9-0)*(9--9))+H24*(B24-0)*(B24-9)/((-9-0)*(-9-9))</f>
        <v>-10.885370711462198</v>
      </c>
      <c r="J19" s="143">
        <v>95</v>
      </c>
      <c r="K19" s="143">
        <v>337.94</v>
      </c>
      <c r="L19" s="143">
        <v>366.66666666666669</v>
      </c>
      <c r="M19" s="143">
        <v>351.72</v>
      </c>
      <c r="N19" s="143">
        <v>323.47000000000003</v>
      </c>
      <c r="P19" s="108" t="s">
        <v>10</v>
      </c>
      <c r="Q19" s="110">
        <v>-5</v>
      </c>
      <c r="R19" s="108">
        <f>K10</f>
        <v>313.45999999999998</v>
      </c>
      <c r="S19" s="108" t="s">
        <v>10</v>
      </c>
      <c r="T19" s="110">
        <v>-5</v>
      </c>
      <c r="U19" s="108">
        <f>L10</f>
        <v>336.66666666666669</v>
      </c>
      <c r="V19" s="108" t="s">
        <v>10</v>
      </c>
      <c r="W19" s="110">
        <v>-5</v>
      </c>
      <c r="X19" s="108">
        <f>M10</f>
        <v>326.86</v>
      </c>
      <c r="Y19" s="108" t="s">
        <v>10</v>
      </c>
      <c r="Z19" s="110">
        <v>-5</v>
      </c>
      <c r="AA19" s="108">
        <f>N10</f>
        <v>299.39999999999998</v>
      </c>
      <c r="AC19" s="114">
        <v>97.5</v>
      </c>
      <c r="AD19" s="108"/>
      <c r="AE19" s="108"/>
      <c r="AF19" s="108"/>
      <c r="AG19" s="108"/>
      <c r="AI19" s="108" t="s">
        <v>27</v>
      </c>
      <c r="AJ19" s="108">
        <v>5</v>
      </c>
      <c r="AK19" s="108">
        <f>AD10</f>
        <v>0</v>
      </c>
      <c r="AL19" s="108" t="s">
        <v>27</v>
      </c>
      <c r="AM19" s="108">
        <v>5</v>
      </c>
      <c r="AN19" s="108">
        <f>AE10</f>
        <v>0</v>
      </c>
      <c r="AO19" s="108" t="s">
        <v>27</v>
      </c>
      <c r="AP19" s="108">
        <v>5</v>
      </c>
      <c r="AQ19" s="108">
        <f>AF10</f>
        <v>0</v>
      </c>
      <c r="AR19" s="108" t="s">
        <v>27</v>
      </c>
      <c r="AS19" s="108">
        <v>5</v>
      </c>
      <c r="AT19" s="108">
        <f>AG10</f>
        <v>0</v>
      </c>
    </row>
    <row r="20" spans="1:46">
      <c r="A20" s="22">
        <f>(F23*(D2-E24)*(D2-E25)/((E23-E24)*(E23-E25))+F24*(D2-E23)*(D2-E25)/((E24-E23)*(E24-E25))+F25*(D2-E23)*(D2-E24)/((E25-E23)*(E25-E24)))</f>
        <v>14290.659360345453</v>
      </c>
      <c r="B20" s="23">
        <f>(B16*A20+(A21*B14))/(D2*(44/17.5))</f>
        <v>-21.215900344330024</v>
      </c>
      <c r="E20" s="143">
        <v>90</v>
      </c>
      <c r="F20" s="11">
        <f>E25*(B24-9)*(B24--9)/((0-9)*(0--9))+G25*(B24-0)*(B24--9)/((9-0)*(9--9))+H25*(B24-0)*(B24-9)/((-9-0)*(-9-9))</f>
        <v>-10.418017715344559</v>
      </c>
      <c r="J20" s="143">
        <v>90</v>
      </c>
      <c r="K20" s="143">
        <v>325.17</v>
      </c>
      <c r="L20" s="143">
        <v>357.5</v>
      </c>
      <c r="M20" s="143">
        <v>339.03</v>
      </c>
      <c r="N20" s="143">
        <v>310.61</v>
      </c>
      <c r="O20" s="140"/>
      <c r="P20" s="108" t="s">
        <v>10</v>
      </c>
      <c r="Q20" s="110">
        <v>-10</v>
      </c>
      <c r="R20" s="108">
        <f>K15</f>
        <v>319.64999999999998</v>
      </c>
      <c r="S20" s="108" t="s">
        <v>10</v>
      </c>
      <c r="T20" s="110">
        <v>-10</v>
      </c>
      <c r="U20" s="108">
        <f>L15</f>
        <v>347.5</v>
      </c>
      <c r="V20" s="108" t="s">
        <v>10</v>
      </c>
      <c r="W20" s="110">
        <v>-10</v>
      </c>
      <c r="X20" s="108">
        <f>M15</f>
        <v>333.29</v>
      </c>
      <c r="Y20" s="108" t="s">
        <v>10</v>
      </c>
      <c r="Z20" s="110">
        <v>-10</v>
      </c>
      <c r="AA20" s="108">
        <f>N15</f>
        <v>305.32</v>
      </c>
      <c r="AC20" s="114">
        <v>95</v>
      </c>
      <c r="AD20" s="108"/>
      <c r="AE20" s="108"/>
      <c r="AF20" s="108"/>
      <c r="AG20" s="108"/>
      <c r="AI20" s="108" t="s">
        <v>27</v>
      </c>
      <c r="AJ20" s="108">
        <v>10</v>
      </c>
      <c r="AK20" s="108">
        <f>AD15</f>
        <v>0</v>
      </c>
      <c r="AL20" s="108" t="s">
        <v>27</v>
      </c>
      <c r="AM20" s="108">
        <v>10</v>
      </c>
      <c r="AN20" s="108">
        <f>AE15</f>
        <v>0</v>
      </c>
      <c r="AO20" s="108" t="s">
        <v>27</v>
      </c>
      <c r="AP20" s="108">
        <v>10</v>
      </c>
      <c r="AQ20" s="108">
        <f>AF15</f>
        <v>0</v>
      </c>
      <c r="AR20" s="108" t="s">
        <v>27</v>
      </c>
      <c r="AS20" s="108">
        <v>10</v>
      </c>
      <c r="AT20" s="108">
        <f>AG15</f>
        <v>0</v>
      </c>
    </row>
    <row r="21" spans="1:46">
      <c r="A21" s="22">
        <f>A20*1</f>
        <v>14290.659360345453</v>
      </c>
      <c r="O21" s="140"/>
      <c r="P21" s="108" t="s">
        <v>10</v>
      </c>
      <c r="Q21" s="110">
        <v>-15</v>
      </c>
      <c r="R21" s="108">
        <f>K20</f>
        <v>325.17</v>
      </c>
      <c r="S21" s="108" t="s">
        <v>10</v>
      </c>
      <c r="T21" s="110">
        <v>-15</v>
      </c>
      <c r="U21" s="108">
        <f>L20</f>
        <v>357.5</v>
      </c>
      <c r="V21" s="108" t="s">
        <v>10</v>
      </c>
      <c r="W21" s="110">
        <v>-15</v>
      </c>
      <c r="X21" s="108">
        <f>M20</f>
        <v>339.03</v>
      </c>
      <c r="Y21" s="108" t="s">
        <v>10</v>
      </c>
      <c r="Z21" s="110">
        <v>-15</v>
      </c>
      <c r="AA21" s="108">
        <f>N20</f>
        <v>310.61</v>
      </c>
      <c r="AI21" s="108" t="s">
        <v>27</v>
      </c>
      <c r="AJ21" s="108">
        <v>15</v>
      </c>
      <c r="AK21" s="108">
        <f>AD20</f>
        <v>0</v>
      </c>
      <c r="AL21" s="108" t="s">
        <v>27</v>
      </c>
      <c r="AM21" s="108">
        <v>15</v>
      </c>
      <c r="AN21" s="108">
        <f>AE20</f>
        <v>0</v>
      </c>
      <c r="AO21" s="108" t="s">
        <v>27</v>
      </c>
      <c r="AP21" s="108">
        <v>15</v>
      </c>
      <c r="AQ21" s="108">
        <f>AF20</f>
        <v>0</v>
      </c>
      <c r="AR21" s="108" t="s">
        <v>27</v>
      </c>
      <c r="AS21" s="108">
        <v>15</v>
      </c>
      <c r="AT21" s="108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40"/>
      <c r="P22" s="108" t="s">
        <v>10</v>
      </c>
      <c r="Q22" s="110">
        <v>-20</v>
      </c>
      <c r="R22" s="108">
        <f>K25</f>
        <v>330.15</v>
      </c>
      <c r="S22" s="108" t="s">
        <v>10</v>
      </c>
      <c r="T22" s="110">
        <v>-20</v>
      </c>
      <c r="U22" s="108">
        <f>L25</f>
        <v>365.48611111111109</v>
      </c>
      <c r="V22" s="108" t="s">
        <v>10</v>
      </c>
      <c r="W22" s="110">
        <v>-20</v>
      </c>
      <c r="X22" s="108">
        <f>M25</f>
        <v>344.21</v>
      </c>
      <c r="Y22" s="108" t="s">
        <v>10</v>
      </c>
      <c r="Z22" s="110">
        <v>-20</v>
      </c>
      <c r="AA22" s="108">
        <f>N25</f>
        <v>315.37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08" t="s">
        <v>27</v>
      </c>
      <c r="AJ22" s="108">
        <v>20</v>
      </c>
      <c r="AK22" s="108">
        <f>AD25</f>
        <v>0</v>
      </c>
      <c r="AL22" s="108" t="s">
        <v>27</v>
      </c>
      <c r="AM22" s="108">
        <v>20</v>
      </c>
      <c r="AN22" s="108">
        <f>AE25</f>
        <v>0</v>
      </c>
      <c r="AO22" s="108" t="s">
        <v>27</v>
      </c>
      <c r="AP22" s="108">
        <v>20</v>
      </c>
      <c r="AQ22" s="108">
        <f>AF25</f>
        <v>0</v>
      </c>
      <c r="AR22" s="108" t="s">
        <v>27</v>
      </c>
      <c r="AS22" s="108">
        <v>20</v>
      </c>
      <c r="AT22" s="108">
        <f>AG25</f>
        <v>0</v>
      </c>
    </row>
    <row r="23" spans="1:46">
      <c r="A23" s="108" t="s">
        <v>36</v>
      </c>
      <c r="B23" s="23">
        <f>$B$3*SIN(RADIANS($B$4+B20*0.707))</f>
        <v>0.9995765988401164</v>
      </c>
      <c r="D23" s="142">
        <v>100</v>
      </c>
      <c r="E23" s="142">
        <f>IF($B$2&gt;0,E28,E33)</f>
        <v>-11.272355101768062</v>
      </c>
      <c r="F23" s="142">
        <f t="shared" ref="F23:H23" si="5">IF($B$2&gt;0,F28,F33)</f>
        <v>-11.734596150116115</v>
      </c>
      <c r="G23" s="142">
        <f t="shared" si="5"/>
        <v>-11.710786824594139</v>
      </c>
      <c r="H23" s="142">
        <f t="shared" si="5"/>
        <v>-10.80739298764607</v>
      </c>
      <c r="J23" s="143">
        <v>100</v>
      </c>
      <c r="K23" s="143">
        <v>353.23</v>
      </c>
      <c r="L23" s="143">
        <f>(630-52)/6*4.75/1.2</f>
        <v>381.31944444444446</v>
      </c>
      <c r="M23" s="143">
        <v>366.93</v>
      </c>
      <c r="N23" s="143">
        <v>338.67</v>
      </c>
      <c r="P23" s="108" t="s">
        <v>10</v>
      </c>
      <c r="Q23" s="110">
        <v>-25</v>
      </c>
      <c r="R23" s="108">
        <f>K30</f>
        <v>334.66</v>
      </c>
      <c r="S23" s="108" t="s">
        <v>10</v>
      </c>
      <c r="T23" s="110">
        <v>-25</v>
      </c>
      <c r="U23" s="108">
        <f>L30</f>
        <v>373.40277777777777</v>
      </c>
      <c r="V23" s="108" t="s">
        <v>10</v>
      </c>
      <c r="W23" s="110">
        <v>-25</v>
      </c>
      <c r="X23" s="108">
        <f>M30</f>
        <v>348.91</v>
      </c>
      <c r="Y23" s="108" t="s">
        <v>10</v>
      </c>
      <c r="Z23" s="110">
        <v>-25</v>
      </c>
      <c r="AA23" s="108">
        <f>N30</f>
        <v>319.68</v>
      </c>
      <c r="AC23" s="114">
        <v>100</v>
      </c>
      <c r="AD23" s="108"/>
      <c r="AE23" s="108"/>
      <c r="AF23" s="108"/>
      <c r="AG23" s="108"/>
      <c r="AI23" s="108" t="s">
        <v>28</v>
      </c>
      <c r="AJ23" s="9">
        <f>$B$2</f>
        <v>6.0220000000000002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-10.423382580298792</v>
      </c>
      <c r="AL23" s="108" t="s">
        <v>28</v>
      </c>
      <c r="AM23" s="9">
        <f>$B$2</f>
        <v>6.0220000000000002</v>
      </c>
      <c r="AN23" s="11">
        <f t="shared" ref="AN23:AT23" si="6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-11.082662804002272</v>
      </c>
      <c r="AO23" s="108" t="s">
        <v>28</v>
      </c>
      <c r="AP23" s="9">
        <f>$B$2</f>
        <v>6.0220000000000002</v>
      </c>
      <c r="AQ23" s="11">
        <f t="shared" si="6"/>
        <v>-10.869977500446687</v>
      </c>
      <c r="AR23" s="108" t="s">
        <v>28</v>
      </c>
      <c r="AS23" s="9">
        <f>$B$2</f>
        <v>6.0220000000000002</v>
      </c>
      <c r="AT23" s="11">
        <f t="shared" si="6"/>
        <v>-9.9553592671811177</v>
      </c>
    </row>
    <row r="24" spans="1:46">
      <c r="A24" s="108" t="s">
        <v>37</v>
      </c>
      <c r="B24" s="23">
        <f>$B$3*COS(RADIANS($B$4+B20*0.5))</f>
        <v>-0.10555337568054694</v>
      </c>
      <c r="D24" s="142">
        <v>95</v>
      </c>
      <c r="E24" s="142">
        <f>IF($B$2&gt;0,E29,E34)</f>
        <v>-10.890725626972982</v>
      </c>
      <c r="F24" s="142">
        <f t="shared" ref="F24:H24" si="7">IF($B$2&gt;0,F29,F34)</f>
        <v>-11.479496233809243</v>
      </c>
      <c r="G24" s="142">
        <f t="shared" si="7"/>
        <v>-11.336300147455651</v>
      </c>
      <c r="H24" s="142">
        <f t="shared" si="7"/>
        <v>-10.423382580298792</v>
      </c>
      <c r="J24" s="143">
        <v>95</v>
      </c>
      <c r="K24" s="143">
        <v>342.69</v>
      </c>
      <c r="L24" s="143">
        <f>(630-62)/6*4.75/1.2</f>
        <v>374.72222222222223</v>
      </c>
      <c r="M24" s="143">
        <v>356.65</v>
      </c>
      <c r="N24" s="143">
        <v>328.01</v>
      </c>
      <c r="O24" s="139"/>
      <c r="P24" s="108" t="s">
        <v>11</v>
      </c>
      <c r="Q24" s="9">
        <f>$B$2</f>
        <v>6.0220000000000002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296.73816900580096</v>
      </c>
      <c r="S24" s="108" t="s">
        <v>11</v>
      </c>
      <c r="T24" s="9">
        <f>$B$2</f>
        <v>6.0220000000000002</v>
      </c>
      <c r="U24" s="11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308.0605918242403</v>
      </c>
      <c r="V24" s="108" t="s">
        <v>11</v>
      </c>
      <c r="W24" s="9">
        <f>$B$2</f>
        <v>6.0220000000000002</v>
      </c>
      <c r="X24" s="11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309.44304663556306</v>
      </c>
      <c r="Y24" s="108" t="s">
        <v>11</v>
      </c>
      <c r="Z24" s="9">
        <f>$B$2</f>
        <v>6.0220000000000002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283.18141305614711</v>
      </c>
      <c r="AC24" s="114">
        <v>97.5</v>
      </c>
      <c r="AD24" s="108"/>
      <c r="AE24" s="108"/>
      <c r="AF24" s="108"/>
      <c r="AG24" s="108"/>
    </row>
    <row r="25" spans="1:46">
      <c r="D25" s="142">
        <v>90</v>
      </c>
      <c r="E25" s="142">
        <f>IF($B$2&gt;0,E30,E35)</f>
        <v>-10.423382580298792</v>
      </c>
      <c r="F25" s="142">
        <f t="shared" ref="F25:H25" si="8">IF($B$2&gt;0,F30,F35)</f>
        <v>-11.082662804002272</v>
      </c>
      <c r="G25" s="142">
        <f t="shared" si="8"/>
        <v>-10.869977500446687</v>
      </c>
      <c r="H25" s="142">
        <f t="shared" si="8"/>
        <v>-9.9553592671811177</v>
      </c>
      <c r="I25" s="12"/>
      <c r="J25" s="143">
        <v>90</v>
      </c>
      <c r="K25" s="143">
        <v>330.15</v>
      </c>
      <c r="L25" s="143">
        <f>(630-76)/6*4.75/1.2</f>
        <v>365.48611111111109</v>
      </c>
      <c r="M25" s="143">
        <v>344.21</v>
      </c>
      <c r="N25" s="143">
        <v>315.37</v>
      </c>
      <c r="AC25" s="114">
        <v>95</v>
      </c>
      <c r="AD25" s="108"/>
      <c r="AE25" s="108"/>
      <c r="AF25" s="108"/>
      <c r="AG25" s="108"/>
      <c r="AO25" s="1" t="s">
        <v>160</v>
      </c>
      <c r="AP25" s="1" t="s">
        <v>159</v>
      </c>
    </row>
    <row r="26" spans="1:46">
      <c r="A26" s="240" t="s">
        <v>39</v>
      </c>
      <c r="B26" s="241"/>
      <c r="D26"/>
      <c r="E26" s="12"/>
      <c r="F26" s="12"/>
      <c r="G26" s="12"/>
      <c r="H26" s="12"/>
      <c r="I26" s="12"/>
      <c r="R26" s="1" t="s">
        <v>12</v>
      </c>
      <c r="S26" s="1"/>
      <c r="T26" s="1"/>
      <c r="U26" s="1" t="s">
        <v>13</v>
      </c>
      <c r="V26" s="1"/>
      <c r="W26" s="1"/>
      <c r="X26" s="1" t="s">
        <v>8</v>
      </c>
      <c r="Y26" s="1"/>
      <c r="Z26" s="1"/>
      <c r="AA26" s="1" t="s">
        <v>9</v>
      </c>
      <c r="AN26" s="116">
        <v>100</v>
      </c>
      <c r="AO26" s="116">
        <v>330.17</v>
      </c>
      <c r="AP26" s="116">
        <v>332.34</v>
      </c>
    </row>
    <row r="27" spans="1:46">
      <c r="A27" s="108">
        <f>F13*(D4-E14)*(D4-E15)/((E13-E14)*(E13-E15))+F14*(D4-E13)*(D4-E15)/((E14-E13)*(E14-E15))+F15*(D4-E13)*(D4-E14)/((E15-E13)*(E15-E14))</f>
        <v>245.10236095066921</v>
      </c>
      <c r="B27" s="108">
        <f>G13*(D4-E14)*(D4-E15)/((E13-E14)*(E13-E15))+G14*(D4-E13)*(D4-E15)/((E14-E13)*(E14-E15))+G15*(D4-E13)*(D4-E14)/((E15-E13)*(E15-E14))</f>
        <v>245.52621357165208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I27" s="12"/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37" t="s">
        <v>10</v>
      </c>
      <c r="Q27" s="137">
        <v>-25</v>
      </c>
      <c r="R27" s="137">
        <f>K28</f>
        <v>357.43</v>
      </c>
      <c r="S27" s="137" t="s">
        <v>10</v>
      </c>
      <c r="T27" s="137">
        <v>-25</v>
      </c>
      <c r="U27" s="137">
        <f>L28</f>
        <v>388.57638888888891</v>
      </c>
      <c r="V27" s="137" t="s">
        <v>10</v>
      </c>
      <c r="W27" s="137">
        <v>-25</v>
      </c>
      <c r="X27" s="137">
        <f>M28</f>
        <v>371.3</v>
      </c>
      <c r="Y27" s="137" t="s">
        <v>10</v>
      </c>
      <c r="Z27" s="137">
        <v>-25</v>
      </c>
      <c r="AA27" s="137">
        <f>N28</f>
        <v>342.69</v>
      </c>
      <c r="AB27" s="1"/>
      <c r="AC27" s="1"/>
      <c r="AD27" s="1"/>
      <c r="AE27" s="1"/>
      <c r="AF27" s="1"/>
      <c r="AG27" s="1"/>
      <c r="AH27" s="1"/>
      <c r="AN27" s="116">
        <v>97.5</v>
      </c>
      <c r="AO27" s="116">
        <v>325.68</v>
      </c>
      <c r="AP27" s="116">
        <v>328.06</v>
      </c>
    </row>
    <row r="28" spans="1:46">
      <c r="D28" s="143">
        <v>100</v>
      </c>
      <c r="E28" s="11">
        <f>AK7</f>
        <v>-11.272355101768062</v>
      </c>
      <c r="F28" s="11">
        <f>AN7</f>
        <v>-11.734596150116115</v>
      </c>
      <c r="G28" s="11">
        <f>AQ7</f>
        <v>-11.710786824594139</v>
      </c>
      <c r="H28" s="145">
        <f>AT7</f>
        <v>-10.80739298764607</v>
      </c>
      <c r="I28" s="12"/>
      <c r="J28" s="143">
        <v>100</v>
      </c>
      <c r="K28" s="143">
        <v>357.43</v>
      </c>
      <c r="L28" s="143">
        <f>(630-41)/6*4.75/1.2</f>
        <v>388.57638888888891</v>
      </c>
      <c r="M28" s="143">
        <v>371.3</v>
      </c>
      <c r="N28" s="143">
        <v>342.69</v>
      </c>
      <c r="O28" s="139"/>
      <c r="P28" s="137" t="s">
        <v>10</v>
      </c>
      <c r="Q28" s="137">
        <v>-30</v>
      </c>
      <c r="R28" s="137">
        <f>K33</f>
        <v>361.27</v>
      </c>
      <c r="S28" s="137" t="s">
        <v>10</v>
      </c>
      <c r="T28" s="137">
        <v>-30</v>
      </c>
      <c r="U28" s="137">
        <f>L33</f>
        <v>395.83333333333337</v>
      </c>
      <c r="V28" s="137" t="s">
        <v>10</v>
      </c>
      <c r="W28" s="137">
        <v>-30</v>
      </c>
      <c r="X28" s="137">
        <f>M33</f>
        <v>375.31</v>
      </c>
      <c r="Y28" s="137" t="s">
        <v>10</v>
      </c>
      <c r="Z28" s="137">
        <v>-30</v>
      </c>
      <c r="AA28" s="137">
        <f>N33</f>
        <v>346.36</v>
      </c>
      <c r="AE28" s="1"/>
      <c r="AF28" s="1"/>
      <c r="AG28" s="1"/>
      <c r="AH28" s="1"/>
      <c r="AN28" s="116">
        <v>95</v>
      </c>
      <c r="AO28" s="116">
        <v>318.97000000000003</v>
      </c>
      <c r="AP28" s="116">
        <v>321.23</v>
      </c>
    </row>
    <row r="29" spans="1:46">
      <c r="A29" s="108" t="s">
        <v>41</v>
      </c>
      <c r="B29" s="108" t="s">
        <v>42</v>
      </c>
      <c r="D29" s="143">
        <v>95</v>
      </c>
      <c r="E29" s="11">
        <f>AK15</f>
        <v>-10.890725626972982</v>
      </c>
      <c r="F29" s="11">
        <f>AN15</f>
        <v>-11.479496233809243</v>
      </c>
      <c r="G29" s="11">
        <f>AQ15</f>
        <v>-11.336300147455651</v>
      </c>
      <c r="H29" s="145">
        <f>AT15</f>
        <v>-10.423382580298792</v>
      </c>
      <c r="I29" s="13"/>
      <c r="J29" s="143">
        <v>95</v>
      </c>
      <c r="K29" s="143">
        <v>347</v>
      </c>
      <c r="L29" s="143">
        <f>(630-50)/6*4.75/1.2</f>
        <v>382.63888888888891</v>
      </c>
      <c r="M29" s="143">
        <v>361.14</v>
      </c>
      <c r="N29" s="143">
        <v>332.14</v>
      </c>
      <c r="O29" s="140"/>
      <c r="P29" s="137" t="s">
        <v>10</v>
      </c>
      <c r="Q29" s="137">
        <v>-35</v>
      </c>
      <c r="R29" s="137">
        <f>K38</f>
        <v>364.82</v>
      </c>
      <c r="S29" s="137" t="s">
        <v>10</v>
      </c>
      <c r="T29" s="137">
        <v>-35</v>
      </c>
      <c r="U29" s="137">
        <f>L38</f>
        <v>401.77083333333337</v>
      </c>
      <c r="V29" s="137" t="s">
        <v>10</v>
      </c>
      <c r="W29" s="137">
        <v>-35</v>
      </c>
      <c r="X29" s="137">
        <f>M38</f>
        <v>379.01</v>
      </c>
      <c r="Y29" s="137" t="s">
        <v>10</v>
      </c>
      <c r="Z29" s="137">
        <v>-35</v>
      </c>
      <c r="AA29" s="137">
        <f>N38</f>
        <v>349.75</v>
      </c>
      <c r="AE29" s="1"/>
      <c r="AF29" s="1"/>
      <c r="AG29" s="1"/>
      <c r="AH29" s="1"/>
      <c r="AN29" s="116">
        <v>92.5</v>
      </c>
      <c r="AO29" s="116">
        <v>312.17</v>
      </c>
      <c r="AP29" s="116">
        <v>314.18</v>
      </c>
    </row>
    <row r="30" spans="1:46">
      <c r="A30" s="11">
        <f>E18*(D4-F19)*(D4-F20)/((F18-F19)*(F18-F20))+E19*(D4-F18)*(D4-F20)/((F19-F18)*(F19-F20))+E20*(D4-F18)*(D4-F19)/((F20-F18)*(F20-F19))</f>
        <v>183849.37426617369</v>
      </c>
      <c r="B30" s="24">
        <f>(F23*(A30-D24)*(A30-D25)/((D23-D24)*(D23-D25))+F24*(A30-D23)*(A30-D25)/((D24-D23)*(D24-D25))+F25*(A30-D23)*(A30-D24)/((D25-D23)*(D25-D24)))*(B23+(B14*(A21/A20))*(A30/100))</f>
        <v>-330412392010.32251</v>
      </c>
      <c r="D30" s="143">
        <v>90</v>
      </c>
      <c r="E30" s="11">
        <f>AK23</f>
        <v>-10.423382580298792</v>
      </c>
      <c r="F30" s="11">
        <f>AN23</f>
        <v>-11.082662804002272</v>
      </c>
      <c r="G30" s="11">
        <f>AQ23</f>
        <v>-10.869977500446687</v>
      </c>
      <c r="H30" s="145">
        <f>AT23</f>
        <v>-9.9553592671811177</v>
      </c>
      <c r="I30" s="12"/>
      <c r="J30" s="143">
        <v>90</v>
      </c>
      <c r="K30" s="143">
        <v>334.66</v>
      </c>
      <c r="L30" s="143">
        <f>(630-64)/6*4.75/1.2</f>
        <v>373.40277777777777</v>
      </c>
      <c r="M30" s="143">
        <v>348.91</v>
      </c>
      <c r="N30" s="143">
        <v>319.68</v>
      </c>
      <c r="O30" s="140"/>
      <c r="P30" s="137" t="s">
        <v>10</v>
      </c>
      <c r="Q30" s="137">
        <v>-40</v>
      </c>
      <c r="R30" s="137">
        <f>K43</f>
        <v>368.1</v>
      </c>
      <c r="S30" s="137" t="s">
        <v>10</v>
      </c>
      <c r="T30" s="137">
        <v>-40</v>
      </c>
      <c r="U30" s="137">
        <f>L43</f>
        <v>408.3680555555556</v>
      </c>
      <c r="V30" s="137" t="s">
        <v>10</v>
      </c>
      <c r="W30" s="137">
        <v>-40</v>
      </c>
      <c r="X30" s="137">
        <f>M43</f>
        <v>382.43</v>
      </c>
      <c r="Y30" s="137" t="s">
        <v>10</v>
      </c>
      <c r="Z30" s="137">
        <v>-40</v>
      </c>
      <c r="AA30" s="137">
        <f>N43</f>
        <v>352.87</v>
      </c>
      <c r="AE30" s="1"/>
      <c r="AF30" s="1"/>
      <c r="AG30" s="1"/>
      <c r="AH30" s="1"/>
      <c r="AN30" s="116">
        <v>90</v>
      </c>
      <c r="AO30" s="116">
        <v>305.27999999999997</v>
      </c>
      <c r="AP30" s="116">
        <v>308.31</v>
      </c>
    </row>
    <row r="31" spans="1:46">
      <c r="A31" s="108" t="s">
        <v>44</v>
      </c>
      <c r="B31" s="108" t="s">
        <v>43</v>
      </c>
      <c r="D31"/>
      <c r="E31" s="12"/>
      <c r="F31" s="12"/>
      <c r="G31" s="12"/>
      <c r="H31" s="12"/>
      <c r="O31" s="140"/>
      <c r="P31" s="137" t="s">
        <v>10</v>
      </c>
      <c r="Q31" s="137">
        <v>-45</v>
      </c>
      <c r="R31" s="137">
        <f>K48</f>
        <v>371.15</v>
      </c>
      <c r="S31" s="137" t="s">
        <v>10</v>
      </c>
      <c r="T31" s="137">
        <v>-45</v>
      </c>
      <c r="U31" s="137">
        <f>L48</f>
        <v>413.64583333333337</v>
      </c>
      <c r="V31" s="137" t="s">
        <v>10</v>
      </c>
      <c r="W31" s="137">
        <v>-45</v>
      </c>
      <c r="X31" s="137">
        <f>M48</f>
        <v>385.62</v>
      </c>
      <c r="Y31" s="137" t="s">
        <v>10</v>
      </c>
      <c r="Z31" s="137">
        <v>-45</v>
      </c>
      <c r="AA31" s="137">
        <f>N48</f>
        <v>355.77</v>
      </c>
      <c r="AE31" s="1"/>
      <c r="AF31" s="1"/>
      <c r="AG31" s="1"/>
      <c r="AH31" s="1"/>
    </row>
    <row r="32" spans="1:46">
      <c r="A32" s="25">
        <f>(360-ROUNDDOWN((1-(A30/100))*360,0))*302/360</f>
        <v>555224.48333333328</v>
      </c>
      <c r="B32" s="11">
        <f>MOD((A30/100)*-360,1)*-((D4-A27)/(D4-B27))+30</f>
        <v>29.574204024932158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37" t="s">
        <v>10</v>
      </c>
      <c r="Q32" s="137">
        <v>-50</v>
      </c>
      <c r="R32" s="137">
        <f>K53</f>
        <v>373.99</v>
      </c>
      <c r="S32" s="137" t="s">
        <v>10</v>
      </c>
      <c r="T32" s="137">
        <v>-50</v>
      </c>
      <c r="U32" s="137">
        <f>L53</f>
        <v>419.58333333333337</v>
      </c>
      <c r="V32" s="137" t="s">
        <v>10</v>
      </c>
      <c r="W32" s="137">
        <v>-50</v>
      </c>
      <c r="X32" s="137">
        <f>M53</f>
        <v>388.59</v>
      </c>
      <c r="Y32" s="137" t="s">
        <v>10</v>
      </c>
      <c r="Z32" s="137">
        <v>-50</v>
      </c>
      <c r="AA32" s="137">
        <f>N53</f>
        <v>358.48</v>
      </c>
      <c r="AE32" s="1"/>
      <c r="AF32" s="1"/>
      <c r="AG32" s="1"/>
      <c r="AH32" s="1"/>
    </row>
    <row r="33" spans="4:27">
      <c r="D33" s="143">
        <v>100</v>
      </c>
      <c r="E33" s="143">
        <f>IF($B$2&gt;0,Q1,IF($B$2&gt;-25,R8,IF($B$2&gt;-50,R33,IF($B$2&gt;-75,R58))))</f>
        <v>0</v>
      </c>
      <c r="F33" s="143">
        <f>IF($B$2&gt;0,Q1,IF($B$2&gt;-25,U8,IF($B$2&gt;-50,U33,IF($B$2&gt;-75,U58))))</f>
        <v>0</v>
      </c>
      <c r="G33" s="143">
        <f>IF($B$2&gt;0,Q1,IF($B$2&gt;-25,X8,IF($B$2&gt;-50,X33,IF($B$2&gt;-75,X58))))</f>
        <v>0</v>
      </c>
      <c r="H33" s="22">
        <f>IF($B$2&gt;0,Q1,IF($B$2&gt;-25,AA8,IF($B$2&gt;-50,AA33,IF($B$2&gt;-75,AA58))))</f>
        <v>0</v>
      </c>
      <c r="J33" s="143">
        <v>100</v>
      </c>
      <c r="K33" s="143">
        <v>361.27</v>
      </c>
      <c r="L33" s="143">
        <f>(630-30)/6*4.75/1.2</f>
        <v>395.83333333333337</v>
      </c>
      <c r="M33" s="143">
        <v>375.31</v>
      </c>
      <c r="N33" s="143">
        <v>346.36</v>
      </c>
      <c r="P33" s="137" t="s">
        <v>11</v>
      </c>
      <c r="Q33" s="9">
        <f>$B$2</f>
        <v>6.0220000000000002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340.19595108622161</v>
      </c>
      <c r="S33" s="137" t="s">
        <v>11</v>
      </c>
      <c r="T33" s="9">
        <f>$B$2</f>
        <v>6.0220000000000002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-2636.0517975358816</v>
      </c>
      <c r="V33" s="137" t="s">
        <v>11</v>
      </c>
      <c r="W33" s="9">
        <f>$B$2</f>
        <v>6.0220000000000002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357.69384866335895</v>
      </c>
      <c r="Y33" s="137" t="s">
        <v>11</v>
      </c>
      <c r="Z33" s="9">
        <f>$B$2</f>
        <v>6.0220000000000002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335.89918539283099</v>
      </c>
    </row>
    <row r="34" spans="4:27">
      <c r="D34" s="143">
        <v>95</v>
      </c>
      <c r="E34" s="143">
        <f>IF($B$2&gt;0,Q1,IF($B$2&gt;-25,R16,IF($B$2&gt;-50,R41,IF($B$2&gt;-75,R66))))</f>
        <v>0</v>
      </c>
      <c r="F34" s="143">
        <f>IF($B$2&gt;0,Q1,IF($B$2&gt;-25,U16,IF($B$2&gt;-50,U41,IF($B$2&gt;-75,U66))))</f>
        <v>0</v>
      </c>
      <c r="G34" s="143">
        <f>IF($B$2&gt;0,Q1,IF($B$2&gt;-25,X16,IF($B$2&gt;-50,X41,IF($B$2&gt;-75,X66))))</f>
        <v>0</v>
      </c>
      <c r="H34" s="22">
        <f>IF($B$2&gt;0,Q1,IF($B$2&gt;-25,AA16,IF($B$2&gt;-50,AA41,IF($B$2&gt;-75,AA66))))</f>
        <v>0</v>
      </c>
      <c r="J34" s="143">
        <v>95</v>
      </c>
      <c r="K34" s="143">
        <v>350.95</v>
      </c>
      <c r="L34" s="143">
        <f>(630-39)/6*4.75/1.2</f>
        <v>389.89583333333337</v>
      </c>
      <c r="M34" s="143">
        <v>365.26</v>
      </c>
      <c r="N34" s="143">
        <v>335.9</v>
      </c>
      <c r="R34" s="1" t="s">
        <v>12</v>
      </c>
      <c r="S34" s="1"/>
      <c r="T34" s="1"/>
      <c r="U34" s="1" t="s">
        <v>13</v>
      </c>
      <c r="V34" s="1"/>
      <c r="W34" s="1"/>
      <c r="X34" s="1" t="s">
        <v>8</v>
      </c>
      <c r="Y34" s="1"/>
      <c r="Z34" s="1"/>
      <c r="AA34" s="1" t="s">
        <v>9</v>
      </c>
    </row>
    <row r="35" spans="4:27">
      <c r="D35" s="143">
        <v>90</v>
      </c>
      <c r="E35" s="143">
        <f>IF($B$2&gt;0,Q1,IF($B$2&gt;-25,R24,IF($B$2&gt;-50,R49,IF($B$2&gt;-75,R74))))</f>
        <v>0</v>
      </c>
      <c r="F35" s="143">
        <f>IF($B$2&gt;0,Q1,IF($B$2&gt;-25,U24,IF($B$2&gt;-50,U49,IF($B$2&gt;-75,U74))))</f>
        <v>0</v>
      </c>
      <c r="G35" s="143">
        <f>IF($B$2&gt;0,Q1,IF($B$2&gt;-25,X24,IF($B$2&gt;-50,X49,IF($B$2&gt;-75,X74))))</f>
        <v>0</v>
      </c>
      <c r="H35" s="22">
        <f>IF($B$2&gt;0,Q1,IF($B$2&gt;-25,AA24,IF($B$2&gt;-50,AA49,IF($B$2&gt;-75,AA74))))</f>
        <v>0</v>
      </c>
      <c r="J35" s="143">
        <v>90</v>
      </c>
      <c r="K35" s="143">
        <v>338.79</v>
      </c>
      <c r="L35" s="143">
        <f>(630-52)/6*4.75/1.2</f>
        <v>381.31944444444446</v>
      </c>
      <c r="M35" s="143">
        <v>353.21</v>
      </c>
      <c r="N35" s="143">
        <v>323.61</v>
      </c>
      <c r="P35" s="137" t="s">
        <v>10</v>
      </c>
      <c r="Q35" s="137">
        <v>-25</v>
      </c>
      <c r="R35" s="137">
        <f>K29</f>
        <v>347</v>
      </c>
      <c r="S35" s="137" t="s">
        <v>10</v>
      </c>
      <c r="T35" s="137">
        <v>-25</v>
      </c>
      <c r="U35" s="137">
        <f>L29</f>
        <v>382.63888888888891</v>
      </c>
      <c r="V35" s="137" t="s">
        <v>10</v>
      </c>
      <c r="W35" s="137">
        <v>-25</v>
      </c>
      <c r="X35" s="137">
        <f>M29</f>
        <v>361.14</v>
      </c>
      <c r="Y35" s="137" t="s">
        <v>10</v>
      </c>
      <c r="Z35" s="137">
        <v>-25</v>
      </c>
      <c r="AA35" s="137">
        <f>N29</f>
        <v>332.14</v>
      </c>
    </row>
    <row r="36" spans="4:27">
      <c r="P36" s="137" t="s">
        <v>10</v>
      </c>
      <c r="Q36" s="137">
        <v>-30</v>
      </c>
      <c r="R36" s="137">
        <f>K34</f>
        <v>350.95</v>
      </c>
      <c r="S36" s="137" t="s">
        <v>10</v>
      </c>
      <c r="T36" s="137">
        <v>-30</v>
      </c>
      <c r="U36" s="137">
        <f>L34</f>
        <v>389.89583333333337</v>
      </c>
      <c r="V36" s="137" t="s">
        <v>10</v>
      </c>
      <c r="W36" s="137">
        <v>-30</v>
      </c>
      <c r="X36" s="137">
        <f>M34</f>
        <v>365.26</v>
      </c>
      <c r="Y36" s="137" t="s">
        <v>10</v>
      </c>
      <c r="Z36" s="137">
        <v>-30</v>
      </c>
      <c r="AA36" s="137">
        <f>N34</f>
        <v>335.9</v>
      </c>
    </row>
    <row r="37" spans="4:27"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O37" s="141"/>
      <c r="P37" s="137" t="s">
        <v>10</v>
      </c>
      <c r="Q37" s="137">
        <v>-35</v>
      </c>
      <c r="R37" s="137">
        <f>K39</f>
        <v>354.58</v>
      </c>
      <c r="S37" s="137" t="s">
        <v>10</v>
      </c>
      <c r="T37" s="137">
        <v>-35</v>
      </c>
      <c r="U37" s="137">
        <f>L39</f>
        <v>396.4930555555556</v>
      </c>
      <c r="V37" s="137" t="s">
        <v>10</v>
      </c>
      <c r="W37" s="137">
        <v>-35</v>
      </c>
      <c r="X37" s="137">
        <f>M39</f>
        <v>369.04</v>
      </c>
      <c r="Y37" s="137" t="s">
        <v>10</v>
      </c>
      <c r="Z37" s="137">
        <v>-35</v>
      </c>
      <c r="AA37" s="137">
        <f>N39</f>
        <v>339.37</v>
      </c>
    </row>
    <row r="38" spans="4:27">
      <c r="J38" s="143">
        <v>100</v>
      </c>
      <c r="K38" s="143">
        <v>364.82</v>
      </c>
      <c r="L38" s="143">
        <f>(630-21)/6*4.75/1.2</f>
        <v>401.77083333333337</v>
      </c>
      <c r="M38" s="143">
        <v>379.01</v>
      </c>
      <c r="N38" s="143">
        <v>349.75</v>
      </c>
      <c r="O38" s="141"/>
      <c r="P38" s="137" t="s">
        <v>10</v>
      </c>
      <c r="Q38" s="137">
        <v>-40</v>
      </c>
      <c r="R38" s="137">
        <f>K44</f>
        <v>357.93</v>
      </c>
      <c r="S38" s="137" t="s">
        <v>10</v>
      </c>
      <c r="T38" s="137">
        <v>-40</v>
      </c>
      <c r="U38" s="137">
        <f>L44</f>
        <v>403.09027777777777</v>
      </c>
      <c r="V38" s="137" t="s">
        <v>10</v>
      </c>
      <c r="W38" s="137">
        <v>-40</v>
      </c>
      <c r="X38" s="137">
        <f>M44</f>
        <v>372.55</v>
      </c>
      <c r="Y38" s="137" t="s">
        <v>10</v>
      </c>
      <c r="Z38" s="137">
        <v>-40</v>
      </c>
      <c r="AA38" s="137">
        <f>N44</f>
        <v>342.57</v>
      </c>
    </row>
    <row r="39" spans="4:27">
      <c r="J39" s="143">
        <v>95</v>
      </c>
      <c r="K39" s="143">
        <v>354.58</v>
      </c>
      <c r="L39" s="143">
        <f>(630-29)/6*4.75/1.2</f>
        <v>396.4930555555556</v>
      </c>
      <c r="M39" s="143">
        <v>369.04</v>
      </c>
      <c r="N39" s="143">
        <v>339.37</v>
      </c>
      <c r="O39" s="141"/>
      <c r="P39" s="137" t="s">
        <v>10</v>
      </c>
      <c r="Q39" s="137">
        <v>-45</v>
      </c>
      <c r="R39" s="137">
        <f>K49</f>
        <v>361.05</v>
      </c>
      <c r="S39" s="137" t="s">
        <v>10</v>
      </c>
      <c r="T39" s="137">
        <v>-45</v>
      </c>
      <c r="U39" s="137">
        <f>L49</f>
        <v>409.02777777777777</v>
      </c>
      <c r="V39" s="137" t="s">
        <v>10</v>
      </c>
      <c r="W39" s="137">
        <v>-45</v>
      </c>
      <c r="X39" s="137">
        <f>M49</f>
        <v>375.81</v>
      </c>
      <c r="Y39" s="137" t="s">
        <v>10</v>
      </c>
      <c r="Z39" s="137">
        <v>-45</v>
      </c>
      <c r="AA39" s="137">
        <f>N49</f>
        <v>345.53</v>
      </c>
    </row>
    <row r="40" spans="4:27">
      <c r="J40" s="143">
        <v>90</v>
      </c>
      <c r="K40" s="143">
        <v>342.58</v>
      </c>
      <c r="L40" s="143">
        <f>(630-41)/6*4.75/1.2</f>
        <v>388.57638888888891</v>
      </c>
      <c r="M40" s="143">
        <v>357.16</v>
      </c>
      <c r="N40" s="143">
        <v>327.23</v>
      </c>
      <c r="P40" s="137" t="s">
        <v>10</v>
      </c>
      <c r="Q40" s="137">
        <v>-50</v>
      </c>
      <c r="R40" s="137">
        <f>K54</f>
        <v>363.95</v>
      </c>
      <c r="S40" s="137" t="s">
        <v>10</v>
      </c>
      <c r="T40" s="137">
        <v>-50</v>
      </c>
      <c r="U40" s="137">
        <f>L54</f>
        <v>414.04166666666663</v>
      </c>
      <c r="V40" s="137" t="s">
        <v>10</v>
      </c>
      <c r="W40" s="137">
        <v>-50</v>
      </c>
      <c r="X40" s="137">
        <f>M54</f>
        <v>378.85</v>
      </c>
      <c r="Y40" s="137" t="s">
        <v>10</v>
      </c>
      <c r="Z40" s="137">
        <v>-50</v>
      </c>
      <c r="AA40" s="137">
        <f>N54</f>
        <v>348.29</v>
      </c>
    </row>
    <row r="41" spans="4:27">
      <c r="D41"/>
      <c r="P41" s="137" t="s">
        <v>11</v>
      </c>
      <c r="Q41" s="9">
        <f>$B$2</f>
        <v>6.0220000000000002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328.65451514013694</v>
      </c>
      <c r="S41" s="137" t="s">
        <v>11</v>
      </c>
      <c r="T41" s="9">
        <f>$B$2</f>
        <v>6.0220000000000002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-395.38637623442628</v>
      </c>
      <c r="V41" s="137" t="s">
        <v>11</v>
      </c>
      <c r="W41" s="9">
        <f>$B$2</f>
        <v>6.0220000000000002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299.44568007887574</v>
      </c>
      <c r="Y41" s="137" t="s">
        <v>11</v>
      </c>
      <c r="Z41" s="9">
        <f>$B$2</f>
        <v>6.0220000000000002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302.51414048133302</v>
      </c>
    </row>
    <row r="42" spans="4:27">
      <c r="D42"/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" t="s">
        <v>12</v>
      </c>
      <c r="S42" s="1"/>
      <c r="T42" s="1"/>
      <c r="U42" s="1" t="s">
        <v>13</v>
      </c>
      <c r="V42" s="1"/>
      <c r="W42" s="1"/>
      <c r="X42" s="1" t="s">
        <v>8</v>
      </c>
      <c r="Y42" s="1"/>
      <c r="Z42" s="1"/>
      <c r="AA42" s="1" t="s">
        <v>9</v>
      </c>
    </row>
    <row r="43" spans="4:27">
      <c r="D43"/>
      <c r="J43" s="143">
        <v>100</v>
      </c>
      <c r="K43" s="143">
        <v>368.1</v>
      </c>
      <c r="L43" s="143">
        <f>(630-11)/6*4.75/1.2</f>
        <v>408.3680555555556</v>
      </c>
      <c r="M43" s="143">
        <v>382.43</v>
      </c>
      <c r="N43" s="143">
        <v>352.87</v>
      </c>
      <c r="P43" s="137" t="s">
        <v>10</v>
      </c>
      <c r="Q43" s="137">
        <v>-25</v>
      </c>
      <c r="R43" s="137">
        <f>K30</f>
        <v>334.66</v>
      </c>
      <c r="S43" s="137" t="s">
        <v>10</v>
      </c>
      <c r="T43" s="137">
        <v>-25</v>
      </c>
      <c r="U43" s="137">
        <f>L30</f>
        <v>373.40277777777777</v>
      </c>
      <c r="V43" s="137" t="s">
        <v>10</v>
      </c>
      <c r="W43" s="137">
        <v>-25</v>
      </c>
      <c r="X43" s="137">
        <f>M30</f>
        <v>348.91</v>
      </c>
      <c r="Y43" s="137" t="s">
        <v>10</v>
      </c>
      <c r="Z43" s="137">
        <v>-25</v>
      </c>
      <c r="AA43" s="137">
        <f>N30</f>
        <v>319.68</v>
      </c>
    </row>
    <row r="44" spans="4:27">
      <c r="D44"/>
      <c r="J44" s="143">
        <v>95</v>
      </c>
      <c r="K44" s="143">
        <v>357.93</v>
      </c>
      <c r="L44" s="143">
        <f>(630-19)/6*4.75/1.2</f>
        <v>403.09027777777777</v>
      </c>
      <c r="M44" s="143">
        <v>372.55</v>
      </c>
      <c r="N44" s="143">
        <v>342.57</v>
      </c>
      <c r="P44" s="137" t="s">
        <v>10</v>
      </c>
      <c r="Q44" s="137">
        <v>-30</v>
      </c>
      <c r="R44" s="137">
        <f>K35</f>
        <v>338.79</v>
      </c>
      <c r="S44" s="137" t="s">
        <v>10</v>
      </c>
      <c r="T44" s="137">
        <v>-30</v>
      </c>
      <c r="U44" s="137">
        <f>L35</f>
        <v>381.31944444444446</v>
      </c>
      <c r="V44" s="137" t="s">
        <v>10</v>
      </c>
      <c r="W44" s="137">
        <v>-30</v>
      </c>
      <c r="X44" s="137">
        <f>M35</f>
        <v>353.21</v>
      </c>
      <c r="Y44" s="137" t="s">
        <v>10</v>
      </c>
      <c r="Z44" s="137">
        <v>-30</v>
      </c>
      <c r="AA44" s="137">
        <f>N35</f>
        <v>323.61</v>
      </c>
    </row>
    <row r="45" spans="4:27">
      <c r="D45"/>
      <c r="J45" s="143">
        <v>90</v>
      </c>
      <c r="K45" s="143">
        <v>346.07</v>
      </c>
      <c r="L45" s="143">
        <f>(630-32)/6*4.75/1.2</f>
        <v>394.51388888888891</v>
      </c>
      <c r="M45" s="143">
        <v>360.81</v>
      </c>
      <c r="N45" s="143">
        <v>330.55</v>
      </c>
      <c r="O45" s="140"/>
      <c r="P45" s="137" t="s">
        <v>10</v>
      </c>
      <c r="Q45" s="137">
        <v>-35</v>
      </c>
      <c r="R45" s="137">
        <f>K40</f>
        <v>342.58</v>
      </c>
      <c r="S45" s="137" t="s">
        <v>10</v>
      </c>
      <c r="T45" s="137">
        <v>-35</v>
      </c>
      <c r="U45" s="137">
        <f>L40</f>
        <v>388.57638888888891</v>
      </c>
      <c r="V45" s="137" t="s">
        <v>10</v>
      </c>
      <c r="W45" s="137">
        <v>-35</v>
      </c>
      <c r="X45" s="137">
        <f>M40</f>
        <v>357.16</v>
      </c>
      <c r="Y45" s="137" t="s">
        <v>10</v>
      </c>
      <c r="Z45" s="137">
        <v>-35</v>
      </c>
      <c r="AA45" s="137">
        <f>N40</f>
        <v>327.23</v>
      </c>
    </row>
    <row r="46" spans="4:27">
      <c r="O46" s="140"/>
      <c r="P46" s="137" t="s">
        <v>10</v>
      </c>
      <c r="Q46" s="137">
        <v>-40</v>
      </c>
      <c r="R46" s="137">
        <f>K45</f>
        <v>346.07</v>
      </c>
      <c r="S46" s="137" t="s">
        <v>10</v>
      </c>
      <c r="T46" s="137">
        <v>-40</v>
      </c>
      <c r="U46" s="137">
        <f>L45</f>
        <v>394.51388888888891</v>
      </c>
      <c r="V46" s="137" t="s">
        <v>10</v>
      </c>
      <c r="W46" s="137">
        <v>-40</v>
      </c>
      <c r="X46" s="137">
        <f>M45</f>
        <v>360.81</v>
      </c>
      <c r="Y46" s="137" t="s">
        <v>10</v>
      </c>
      <c r="Z46" s="137">
        <v>-40</v>
      </c>
      <c r="AA46" s="137">
        <f>N45</f>
        <v>330.55</v>
      </c>
    </row>
    <row r="47" spans="4:27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O47" s="140"/>
      <c r="P47" s="137" t="s">
        <v>10</v>
      </c>
      <c r="Q47" s="137">
        <v>-45</v>
      </c>
      <c r="R47" s="137">
        <f>K50</f>
        <v>349.31</v>
      </c>
      <c r="S47" s="137" t="s">
        <v>10</v>
      </c>
      <c r="T47" s="137">
        <v>-45</v>
      </c>
      <c r="U47" s="137">
        <f>L50</f>
        <v>401.11111111111109</v>
      </c>
      <c r="V47" s="137" t="s">
        <v>10</v>
      </c>
      <c r="W47" s="137">
        <v>-45</v>
      </c>
      <c r="X47" s="137">
        <f>M50</f>
        <v>364.2</v>
      </c>
      <c r="Y47" s="137" t="s">
        <v>10</v>
      </c>
      <c r="Z47" s="137">
        <v>-45</v>
      </c>
      <c r="AA47" s="137">
        <f>N50</f>
        <v>333.63</v>
      </c>
    </row>
    <row r="48" spans="4:27">
      <c r="J48" s="143">
        <v>100</v>
      </c>
      <c r="K48" s="143">
        <v>371.15</v>
      </c>
      <c r="L48" s="143">
        <f>(630-3)/6*4.75/1.2</f>
        <v>413.64583333333337</v>
      </c>
      <c r="M48" s="143">
        <v>385.62</v>
      </c>
      <c r="N48" s="143">
        <v>355.77</v>
      </c>
      <c r="P48" s="137" t="s">
        <v>10</v>
      </c>
      <c r="Q48" s="137">
        <v>-50</v>
      </c>
      <c r="R48" s="137">
        <f>K55</f>
        <v>352.32</v>
      </c>
      <c r="S48" s="137" t="s">
        <v>10</v>
      </c>
      <c r="T48" s="137">
        <v>-50</v>
      </c>
      <c r="U48" s="137">
        <f>L55</f>
        <v>406.91666666666669</v>
      </c>
      <c r="V48" s="137" t="s">
        <v>10</v>
      </c>
      <c r="W48" s="137">
        <v>-50</v>
      </c>
      <c r="X48" s="137">
        <f>M55</f>
        <v>367.35</v>
      </c>
      <c r="Y48" s="137" t="s">
        <v>10</v>
      </c>
      <c r="Z48" s="137">
        <v>-50</v>
      </c>
      <c r="AA48" s="137">
        <f>N55</f>
        <v>336.5</v>
      </c>
    </row>
    <row r="49" spans="10:27">
      <c r="J49" s="143">
        <v>95</v>
      </c>
      <c r="K49" s="143">
        <v>361.05</v>
      </c>
      <c r="L49" s="143">
        <f>(630-10)/6*4.75/1.2</f>
        <v>409.02777777777777</v>
      </c>
      <c r="M49" s="143">
        <v>375.81</v>
      </c>
      <c r="N49" s="143">
        <v>345.53</v>
      </c>
      <c r="O49" s="139"/>
      <c r="P49" s="137" t="s">
        <v>11</v>
      </c>
      <c r="Q49" s="9">
        <f>$B$2</f>
        <v>6.0220000000000002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311.88030873901153</v>
      </c>
      <c r="S49" s="137" t="s">
        <v>11</v>
      </c>
      <c r="T49" s="9">
        <f>$B$2</f>
        <v>6.0220000000000002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2463.2018288785039</v>
      </c>
      <c r="V49" s="137" t="s">
        <v>11</v>
      </c>
      <c r="W49" s="9">
        <f>$B$2</f>
        <v>6.0220000000000002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312.81664982484654</v>
      </c>
      <c r="Y49" s="137" t="s">
        <v>11</v>
      </c>
      <c r="Z49" s="9">
        <f>$B$2</f>
        <v>6.0220000000000002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317.75287009299791</v>
      </c>
    </row>
    <row r="50" spans="10:27">
      <c r="J50" s="143">
        <v>90</v>
      </c>
      <c r="K50" s="143">
        <v>349.31</v>
      </c>
      <c r="L50" s="143">
        <f>(630-22)/6*4.75/1.2</f>
        <v>401.11111111111109</v>
      </c>
      <c r="M50" s="143">
        <v>364.2</v>
      </c>
      <c r="N50" s="143">
        <v>333.63</v>
      </c>
    </row>
    <row r="51" spans="10:27">
      <c r="R51" s="1" t="s">
        <v>12</v>
      </c>
      <c r="S51" s="1"/>
      <c r="T51" s="1"/>
      <c r="U51" s="1" t="s">
        <v>13</v>
      </c>
      <c r="V51" s="1"/>
      <c r="W51" s="1"/>
      <c r="X51" s="1" t="s">
        <v>8</v>
      </c>
      <c r="Y51" s="1"/>
      <c r="Z51" s="1"/>
      <c r="AA51" s="1" t="s">
        <v>9</v>
      </c>
    </row>
    <row r="52" spans="10:27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37" t="s">
        <v>10</v>
      </c>
      <c r="Q52" s="137">
        <v>-50</v>
      </c>
      <c r="R52" s="137">
        <f>K53</f>
        <v>373.99</v>
      </c>
      <c r="S52" s="137" t="s">
        <v>10</v>
      </c>
      <c r="T52" s="137">
        <v>-50</v>
      </c>
      <c r="U52" s="137">
        <f>L53</f>
        <v>419.58333333333337</v>
      </c>
      <c r="V52" s="137" t="s">
        <v>10</v>
      </c>
      <c r="W52" s="137">
        <v>-50</v>
      </c>
      <c r="X52" s="137">
        <f>M53</f>
        <v>388.59</v>
      </c>
      <c r="Y52" s="137" t="s">
        <v>10</v>
      </c>
      <c r="Z52" s="137">
        <v>-50</v>
      </c>
      <c r="AA52" s="137">
        <f>N53</f>
        <v>358.48</v>
      </c>
    </row>
    <row r="53" spans="10:27">
      <c r="J53" s="143">
        <v>100</v>
      </c>
      <c r="K53" s="143">
        <v>373.99</v>
      </c>
      <c r="L53" s="143">
        <f>(630-100)/5*4.75/1.2</f>
        <v>419.58333333333337</v>
      </c>
      <c r="M53" s="143">
        <v>388.59</v>
      </c>
      <c r="N53" s="143">
        <v>358.48</v>
      </c>
      <c r="O53" s="139"/>
      <c r="P53" s="137" t="s">
        <v>10</v>
      </c>
      <c r="Q53" s="137">
        <v>-55</v>
      </c>
      <c r="R53" s="137">
        <f>K58</f>
        <v>376.64</v>
      </c>
      <c r="S53" s="137" t="s">
        <v>10</v>
      </c>
      <c r="T53" s="137">
        <v>-55</v>
      </c>
      <c r="U53" s="137">
        <f>L58</f>
        <v>424.33333333333331</v>
      </c>
      <c r="V53" s="137" t="s">
        <v>10</v>
      </c>
      <c r="W53" s="137">
        <v>-55</v>
      </c>
      <c r="X53" s="137">
        <f>M58</f>
        <v>391.38</v>
      </c>
      <c r="Y53" s="137" t="s">
        <v>10</v>
      </c>
      <c r="Z53" s="137">
        <v>-55</v>
      </c>
      <c r="AA53" s="137">
        <f>N58</f>
        <v>360.99</v>
      </c>
    </row>
    <row r="54" spans="10:27">
      <c r="J54" s="143">
        <v>95</v>
      </c>
      <c r="K54" s="143">
        <v>363.95</v>
      </c>
      <c r="L54" s="143">
        <f>(630-107)/5*4.75/1.2</f>
        <v>414.04166666666663</v>
      </c>
      <c r="M54" s="143">
        <v>378.85</v>
      </c>
      <c r="N54" s="143">
        <v>348.29</v>
      </c>
      <c r="O54" s="140"/>
      <c r="P54" s="137" t="s">
        <v>10</v>
      </c>
      <c r="Q54" s="137">
        <v>-60</v>
      </c>
      <c r="R54" s="137">
        <f>K63</f>
        <v>379.13</v>
      </c>
      <c r="S54" s="137" t="s">
        <v>10</v>
      </c>
      <c r="T54" s="137">
        <v>-60</v>
      </c>
      <c r="U54" s="137">
        <f>L63</f>
        <v>429.87500000000006</v>
      </c>
      <c r="V54" s="137" t="s">
        <v>10</v>
      </c>
      <c r="W54" s="137">
        <v>-60</v>
      </c>
      <c r="X54" s="137">
        <f>M63</f>
        <v>393.99</v>
      </c>
      <c r="Y54" s="137" t="s">
        <v>10</v>
      </c>
      <c r="Z54" s="137">
        <v>-60</v>
      </c>
      <c r="AA54" s="137">
        <f>N63</f>
        <v>363.35</v>
      </c>
    </row>
    <row r="55" spans="10:27">
      <c r="J55" s="143">
        <v>90</v>
      </c>
      <c r="K55" s="143">
        <v>352.32</v>
      </c>
      <c r="L55" s="143">
        <f>(630-116)/5*4.75/1.2</f>
        <v>406.91666666666669</v>
      </c>
      <c r="M55" s="143">
        <v>367.35</v>
      </c>
      <c r="N55" s="143">
        <v>336.5</v>
      </c>
      <c r="O55" s="140"/>
      <c r="P55" s="137" t="s">
        <v>10</v>
      </c>
      <c r="Q55" s="137">
        <v>-65</v>
      </c>
      <c r="R55" s="137">
        <f>K68</f>
        <v>381.47</v>
      </c>
      <c r="S55" s="137" t="s">
        <v>10</v>
      </c>
      <c r="T55" s="137">
        <v>-65</v>
      </c>
      <c r="U55" s="137">
        <f>L68</f>
        <v>433.83333333333337</v>
      </c>
      <c r="V55" s="137" t="s">
        <v>10</v>
      </c>
      <c r="W55" s="137">
        <v>-65</v>
      </c>
      <c r="X55" s="137">
        <f>M68</f>
        <v>396.45</v>
      </c>
      <c r="Y55" s="137" t="s">
        <v>10</v>
      </c>
      <c r="Z55" s="137">
        <v>-65</v>
      </c>
      <c r="AA55" s="137">
        <f>N68</f>
        <v>365.56</v>
      </c>
    </row>
    <row r="56" spans="10:27">
      <c r="O56" s="140"/>
      <c r="P56" s="137" t="s">
        <v>10</v>
      </c>
      <c r="Q56" s="137">
        <v>-70</v>
      </c>
      <c r="R56" s="137">
        <f>K73</f>
        <v>383.67</v>
      </c>
      <c r="S56" s="137" t="s">
        <v>10</v>
      </c>
      <c r="T56" s="137">
        <v>-70</v>
      </c>
      <c r="U56" s="137">
        <f>L73</f>
        <v>438.58333333333331</v>
      </c>
      <c r="V56" s="137" t="s">
        <v>10</v>
      </c>
      <c r="W56" s="137">
        <v>-70</v>
      </c>
      <c r="X56" s="137">
        <f>M73</f>
        <v>398.77</v>
      </c>
      <c r="Y56" s="137" t="s">
        <v>10</v>
      </c>
      <c r="Z56" s="137">
        <v>-70</v>
      </c>
      <c r="AA56" s="137">
        <f>N73</f>
        <v>367.64</v>
      </c>
    </row>
    <row r="57" spans="10:27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37" t="s">
        <v>10</v>
      </c>
      <c r="Q57" s="137">
        <v>-75</v>
      </c>
      <c r="R57" s="137">
        <f>K78</f>
        <v>385.75</v>
      </c>
      <c r="S57" s="137" t="s">
        <v>10</v>
      </c>
      <c r="T57" s="137">
        <v>-75</v>
      </c>
      <c r="U57" s="137">
        <f>L78</f>
        <v>443.33333333333337</v>
      </c>
      <c r="V57" s="137" t="s">
        <v>10</v>
      </c>
      <c r="W57" s="137">
        <v>-75</v>
      </c>
      <c r="X57" s="137">
        <f>M78</f>
        <v>400.96</v>
      </c>
      <c r="Y57" s="137" t="s">
        <v>10</v>
      </c>
      <c r="Z57" s="137">
        <v>-75</v>
      </c>
      <c r="AA57" s="137">
        <f>N78</f>
        <v>369.6</v>
      </c>
    </row>
    <row r="58" spans="10:27">
      <c r="J58" s="143">
        <v>100</v>
      </c>
      <c r="K58" s="143">
        <v>376.64</v>
      </c>
      <c r="L58" s="143">
        <f>(630-94)/5*4.75/1.2</f>
        <v>424.33333333333331</v>
      </c>
      <c r="M58" s="143">
        <v>391.38</v>
      </c>
      <c r="N58" s="143">
        <v>360.99</v>
      </c>
      <c r="P58" s="137" t="s">
        <v>11</v>
      </c>
      <c r="Q58" s="9">
        <f>$B$2</f>
        <v>6.0220000000000002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297.85319879208691</v>
      </c>
      <c r="S58" s="137" t="s">
        <v>11</v>
      </c>
      <c r="T58" s="9">
        <f>$B$2</f>
        <v>6.0220000000000002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31937.576763328863</v>
      </c>
      <c r="V58" s="137" t="s">
        <v>11</v>
      </c>
      <c r="W58" s="9">
        <f>$B$2</f>
        <v>6.0220000000000002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249.62910811905749</v>
      </c>
      <c r="Y58" s="137" t="s">
        <v>11</v>
      </c>
      <c r="Z58" s="9">
        <f>$B$2</f>
        <v>6.0220000000000002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438.96328983665444</v>
      </c>
    </row>
    <row r="59" spans="10:27">
      <c r="J59" s="143">
        <v>95</v>
      </c>
      <c r="K59" s="143">
        <v>366.66</v>
      </c>
      <c r="L59" s="143">
        <f>(630-100)/5*4.75/1.2</f>
        <v>419.58333333333337</v>
      </c>
      <c r="M59" s="143">
        <v>381.69</v>
      </c>
      <c r="N59" s="143">
        <v>350.85</v>
      </c>
      <c r="R59" s="1" t="s">
        <v>12</v>
      </c>
      <c r="S59" s="1"/>
      <c r="T59" s="1"/>
      <c r="U59" s="1" t="s">
        <v>13</v>
      </c>
      <c r="V59" s="1"/>
      <c r="W59" s="1"/>
      <c r="X59" s="1" t="s">
        <v>8</v>
      </c>
      <c r="Y59" s="1"/>
      <c r="Z59" s="1"/>
      <c r="AA59" s="1" t="s">
        <v>9</v>
      </c>
    </row>
    <row r="60" spans="10:27">
      <c r="J60" s="143">
        <v>90</v>
      </c>
      <c r="K60" s="143">
        <v>355.13</v>
      </c>
      <c r="L60" s="143">
        <f>(630-109)/5*4.75/1.2</f>
        <v>412.45833333333331</v>
      </c>
      <c r="M60" s="143">
        <v>370.3</v>
      </c>
      <c r="N60" s="143">
        <v>339.15</v>
      </c>
      <c r="P60" s="137" t="s">
        <v>10</v>
      </c>
      <c r="Q60" s="137">
        <v>-50</v>
      </c>
      <c r="R60" s="137">
        <f>K54</f>
        <v>363.95</v>
      </c>
      <c r="S60" s="137" t="s">
        <v>10</v>
      </c>
      <c r="T60" s="137">
        <v>-50</v>
      </c>
      <c r="U60" s="137">
        <f>L54</f>
        <v>414.04166666666663</v>
      </c>
      <c r="V60" s="137" t="s">
        <v>10</v>
      </c>
      <c r="W60" s="137">
        <v>-50</v>
      </c>
      <c r="X60" s="137">
        <f>M54</f>
        <v>378.85</v>
      </c>
      <c r="Y60" s="137" t="s">
        <v>10</v>
      </c>
      <c r="Z60" s="137">
        <v>-50</v>
      </c>
      <c r="AA60" s="137">
        <f>N54</f>
        <v>348.29</v>
      </c>
    </row>
    <row r="61" spans="10:27">
      <c r="P61" s="137" t="s">
        <v>10</v>
      </c>
      <c r="Q61" s="137">
        <v>-55</v>
      </c>
      <c r="R61" s="137">
        <f>K59</f>
        <v>366.66</v>
      </c>
      <c r="S61" s="137" t="s">
        <v>10</v>
      </c>
      <c r="T61" s="137">
        <v>-55</v>
      </c>
      <c r="U61" s="137">
        <f>L59</f>
        <v>419.58333333333337</v>
      </c>
      <c r="V61" s="137" t="s">
        <v>10</v>
      </c>
      <c r="W61" s="137">
        <v>-55</v>
      </c>
      <c r="X61" s="137">
        <f>M59</f>
        <v>381.69</v>
      </c>
      <c r="Y61" s="137" t="s">
        <v>10</v>
      </c>
      <c r="Z61" s="137">
        <v>-55</v>
      </c>
      <c r="AA61" s="137">
        <f>N59</f>
        <v>350.85</v>
      </c>
    </row>
    <row r="62" spans="10:27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O62" s="141"/>
      <c r="P62" s="137" t="s">
        <v>10</v>
      </c>
      <c r="Q62" s="137">
        <v>-60</v>
      </c>
      <c r="R62" s="137">
        <f>K64</f>
        <v>369.2</v>
      </c>
      <c r="S62" s="137" t="s">
        <v>10</v>
      </c>
      <c r="T62" s="137">
        <v>-60</v>
      </c>
      <c r="U62" s="137">
        <f>L64</f>
        <v>425.12500000000006</v>
      </c>
      <c r="V62" s="137" t="s">
        <v>10</v>
      </c>
      <c r="W62" s="137">
        <v>-60</v>
      </c>
      <c r="X62" s="137">
        <f>M64</f>
        <v>384.35</v>
      </c>
      <c r="Y62" s="137" t="s">
        <v>10</v>
      </c>
      <c r="Z62" s="137">
        <v>-60</v>
      </c>
      <c r="AA62" s="137">
        <f>N64</f>
        <v>353.26</v>
      </c>
    </row>
    <row r="63" spans="10:27">
      <c r="J63" s="143">
        <v>100</v>
      </c>
      <c r="K63" s="143">
        <v>379.13</v>
      </c>
      <c r="L63" s="143">
        <f>(630-87)/5*4.75/1.2</f>
        <v>429.87500000000006</v>
      </c>
      <c r="M63" s="143">
        <v>393.99</v>
      </c>
      <c r="N63" s="143">
        <v>363.35</v>
      </c>
      <c r="O63" s="141"/>
      <c r="P63" s="137" t="s">
        <v>10</v>
      </c>
      <c r="Q63" s="137">
        <v>-65</v>
      </c>
      <c r="R63" s="137">
        <f>K69</f>
        <v>371.58</v>
      </c>
      <c r="S63" s="137" t="s">
        <v>10</v>
      </c>
      <c r="T63" s="137">
        <v>-65</v>
      </c>
      <c r="U63" s="137">
        <f>L69</f>
        <v>429.87500000000006</v>
      </c>
      <c r="V63" s="137" t="s">
        <v>10</v>
      </c>
      <c r="W63" s="137">
        <v>-65</v>
      </c>
      <c r="X63" s="137">
        <f>M69</f>
        <v>386.86</v>
      </c>
      <c r="Y63" s="137" t="s">
        <v>10</v>
      </c>
      <c r="Z63" s="137">
        <v>-65</v>
      </c>
      <c r="AA63" s="137">
        <f>N69</f>
        <v>355.51</v>
      </c>
    </row>
    <row r="64" spans="10:27">
      <c r="J64" s="143">
        <v>95</v>
      </c>
      <c r="K64" s="143">
        <v>369.2</v>
      </c>
      <c r="L64" s="143">
        <f>(630-93)/5*4.75/1.2</f>
        <v>425.12500000000006</v>
      </c>
      <c r="M64" s="143">
        <v>384.35</v>
      </c>
      <c r="N64" s="143">
        <v>353.26</v>
      </c>
      <c r="O64" s="141"/>
      <c r="P64" s="137" t="s">
        <v>10</v>
      </c>
      <c r="Q64" s="137">
        <v>-70</v>
      </c>
      <c r="R64" s="137">
        <f>K74</f>
        <v>373.83</v>
      </c>
      <c r="S64" s="137" t="s">
        <v>10</v>
      </c>
      <c r="T64" s="137">
        <v>-70</v>
      </c>
      <c r="U64" s="137">
        <f>L74</f>
        <v>433.83333333333337</v>
      </c>
      <c r="V64" s="137" t="s">
        <v>10</v>
      </c>
      <c r="W64" s="137">
        <v>-70</v>
      </c>
      <c r="X64" s="137">
        <f>M74</f>
        <v>389.22</v>
      </c>
      <c r="Y64" s="137" t="s">
        <v>10</v>
      </c>
      <c r="Z64" s="137">
        <v>-70</v>
      </c>
      <c r="AA64" s="137">
        <f>N74</f>
        <v>357.63</v>
      </c>
    </row>
    <row r="65" spans="10:27">
      <c r="J65" s="143">
        <v>90</v>
      </c>
      <c r="K65" s="143">
        <v>357.76</v>
      </c>
      <c r="L65" s="143">
        <f>(630-102)/5*4.75/1.2</f>
        <v>418</v>
      </c>
      <c r="M65" s="143">
        <v>373.06</v>
      </c>
      <c r="N65" s="143">
        <v>341.64</v>
      </c>
      <c r="P65" s="137" t="s">
        <v>10</v>
      </c>
      <c r="Q65" s="137">
        <v>-75</v>
      </c>
      <c r="R65" s="137">
        <f>K79</f>
        <v>375.94</v>
      </c>
      <c r="S65" s="137" t="s">
        <v>10</v>
      </c>
      <c r="T65" s="137">
        <v>-75</v>
      </c>
      <c r="U65" s="137">
        <f>L79</f>
        <v>438.58333333333331</v>
      </c>
      <c r="V65" s="137" t="s">
        <v>10</v>
      </c>
      <c r="W65" s="137">
        <v>-75</v>
      </c>
      <c r="X65" s="137">
        <f>M79</f>
        <v>391.45</v>
      </c>
      <c r="Y65" s="137" t="s">
        <v>10</v>
      </c>
      <c r="Z65" s="137">
        <v>-75</v>
      </c>
      <c r="AA65" s="137">
        <f>N79</f>
        <v>359.62</v>
      </c>
    </row>
    <row r="66" spans="10:27">
      <c r="P66" s="137" t="s">
        <v>11</v>
      </c>
      <c r="Q66" s="9">
        <f>$B$2</f>
        <v>6.0220000000000002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535.30469530308619</v>
      </c>
      <c r="S66" s="137" t="s">
        <v>11</v>
      </c>
      <c r="T66" s="9">
        <f>$B$2</f>
        <v>6.0220000000000002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-1136.4230407488067</v>
      </c>
      <c r="V66" s="137" t="s">
        <v>11</v>
      </c>
      <c r="W66" s="9">
        <f>$B$2</f>
        <v>6.0220000000000002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131.15332767996006</v>
      </c>
      <c r="Y66" s="137" t="s">
        <v>11</v>
      </c>
      <c r="Z66" s="9">
        <f>$B$2</f>
        <v>6.0220000000000002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582.58082998055033</v>
      </c>
    </row>
    <row r="67" spans="10:27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" t="s">
        <v>12</v>
      </c>
      <c r="S67" s="1"/>
      <c r="T67" s="1"/>
      <c r="U67" s="1" t="s">
        <v>13</v>
      </c>
      <c r="V67" s="1"/>
      <c r="W67" s="1"/>
      <c r="X67" s="1" t="s">
        <v>8</v>
      </c>
      <c r="Y67" s="1"/>
      <c r="Z67" s="1"/>
      <c r="AA67" s="1" t="s">
        <v>9</v>
      </c>
    </row>
    <row r="68" spans="10:27">
      <c r="J68" s="143">
        <v>100</v>
      </c>
      <c r="K68" s="143">
        <v>381.47</v>
      </c>
      <c r="L68" s="143">
        <f>(630-82)/5*4.75/1.2</f>
        <v>433.83333333333337</v>
      </c>
      <c r="M68" s="143">
        <v>396.45</v>
      </c>
      <c r="N68" s="143">
        <v>365.56</v>
      </c>
      <c r="P68" s="137" t="s">
        <v>10</v>
      </c>
      <c r="Q68" s="137">
        <v>-50</v>
      </c>
      <c r="R68" s="137">
        <f>K55</f>
        <v>352.32</v>
      </c>
      <c r="S68" s="137" t="s">
        <v>10</v>
      </c>
      <c r="T68" s="137">
        <v>-50</v>
      </c>
      <c r="U68" s="137">
        <f>L55</f>
        <v>406.91666666666669</v>
      </c>
      <c r="V68" s="137" t="s">
        <v>10</v>
      </c>
      <c r="W68" s="137">
        <v>-50</v>
      </c>
      <c r="X68" s="137">
        <f>M55</f>
        <v>367.35</v>
      </c>
      <c r="Y68" s="137" t="s">
        <v>10</v>
      </c>
      <c r="Z68" s="137">
        <v>-50</v>
      </c>
      <c r="AA68" s="137">
        <f>N55</f>
        <v>336.5</v>
      </c>
    </row>
    <row r="69" spans="10:27">
      <c r="J69" s="143">
        <v>95</v>
      </c>
      <c r="K69" s="143">
        <v>371.58</v>
      </c>
      <c r="L69" s="143">
        <f>(630-87)/5*4.75/1.2</f>
        <v>429.87500000000006</v>
      </c>
      <c r="M69" s="143">
        <v>386.86</v>
      </c>
      <c r="N69" s="143">
        <v>355.51</v>
      </c>
      <c r="P69" s="137" t="s">
        <v>10</v>
      </c>
      <c r="Q69" s="137">
        <v>-55</v>
      </c>
      <c r="R69" s="137">
        <f>K60</f>
        <v>355.13</v>
      </c>
      <c r="S69" s="137" t="s">
        <v>10</v>
      </c>
      <c r="T69" s="137">
        <v>-55</v>
      </c>
      <c r="U69" s="137">
        <f>L60</f>
        <v>412.45833333333331</v>
      </c>
      <c r="V69" s="137" t="s">
        <v>10</v>
      </c>
      <c r="W69" s="137">
        <v>-55</v>
      </c>
      <c r="X69" s="137">
        <f>M60</f>
        <v>370.3</v>
      </c>
      <c r="Y69" s="137" t="s">
        <v>10</v>
      </c>
      <c r="Z69" s="137">
        <v>-55</v>
      </c>
      <c r="AA69" s="137">
        <f>N60</f>
        <v>339.15</v>
      </c>
    </row>
    <row r="70" spans="10:27">
      <c r="J70" s="143">
        <v>90</v>
      </c>
      <c r="K70" s="143">
        <v>360.23</v>
      </c>
      <c r="L70" s="143">
        <f>(630-96)/5*4.75/1.2</f>
        <v>422.75</v>
      </c>
      <c r="M70" s="143">
        <v>375.65</v>
      </c>
      <c r="N70" s="143">
        <v>343.97</v>
      </c>
      <c r="O70" s="140"/>
      <c r="P70" s="137" t="s">
        <v>10</v>
      </c>
      <c r="Q70" s="137">
        <v>-60</v>
      </c>
      <c r="R70" s="137">
        <f>K65</f>
        <v>357.76</v>
      </c>
      <c r="S70" s="137" t="s">
        <v>10</v>
      </c>
      <c r="T70" s="137">
        <v>-60</v>
      </c>
      <c r="U70" s="137">
        <f>L65</f>
        <v>418</v>
      </c>
      <c r="V70" s="137" t="s">
        <v>10</v>
      </c>
      <c r="W70" s="137">
        <v>-60</v>
      </c>
      <c r="X70" s="137">
        <f>M65</f>
        <v>373.06</v>
      </c>
      <c r="Y70" s="137" t="s">
        <v>10</v>
      </c>
      <c r="Z70" s="137">
        <v>-60</v>
      </c>
      <c r="AA70" s="137">
        <f>N65</f>
        <v>341.64</v>
      </c>
    </row>
    <row r="71" spans="10:27">
      <c r="O71" s="140"/>
      <c r="P71" s="137" t="s">
        <v>10</v>
      </c>
      <c r="Q71" s="137">
        <v>-65</v>
      </c>
      <c r="R71" s="137">
        <f>K70</f>
        <v>360.23</v>
      </c>
      <c r="S71" s="137" t="s">
        <v>10</v>
      </c>
      <c r="T71" s="137">
        <v>-65</v>
      </c>
      <c r="U71" s="137">
        <f>L70</f>
        <v>422.75</v>
      </c>
      <c r="V71" s="137" t="s">
        <v>10</v>
      </c>
      <c r="W71" s="137">
        <v>-65</v>
      </c>
      <c r="X71" s="137">
        <f>M70</f>
        <v>375.65</v>
      </c>
      <c r="Y71" s="137" t="s">
        <v>10</v>
      </c>
      <c r="Z71" s="137">
        <v>-65</v>
      </c>
      <c r="AA71" s="137">
        <f>N70</f>
        <v>343.97</v>
      </c>
    </row>
    <row r="72" spans="10:27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O72" s="140"/>
      <c r="P72" s="137" t="s">
        <v>10</v>
      </c>
      <c r="Q72" s="137">
        <v>-70</v>
      </c>
      <c r="R72" s="137">
        <f>K75</f>
        <v>362.54</v>
      </c>
      <c r="S72" s="137" t="s">
        <v>10</v>
      </c>
      <c r="T72" s="137">
        <v>-70</v>
      </c>
      <c r="U72" s="137">
        <f>L75</f>
        <v>427.5</v>
      </c>
      <c r="V72" s="137" t="s">
        <v>10</v>
      </c>
      <c r="W72" s="137">
        <v>-70</v>
      </c>
      <c r="X72" s="137">
        <f>M75</f>
        <v>378.09</v>
      </c>
      <c r="Y72" s="137" t="s">
        <v>10</v>
      </c>
      <c r="Z72" s="137">
        <v>-70</v>
      </c>
      <c r="AA72" s="137">
        <f>N75</f>
        <v>346.16</v>
      </c>
    </row>
    <row r="73" spans="10:27">
      <c r="J73" s="143">
        <v>100</v>
      </c>
      <c r="K73" s="143">
        <v>383.67</v>
      </c>
      <c r="L73" s="143">
        <f>(630-76)/5*4.75/1.2</f>
        <v>438.58333333333331</v>
      </c>
      <c r="M73" s="143">
        <v>398.77</v>
      </c>
      <c r="N73" s="143">
        <v>367.64</v>
      </c>
      <c r="P73" s="137" t="s">
        <v>10</v>
      </c>
      <c r="Q73" s="137">
        <v>-75</v>
      </c>
      <c r="R73" s="137">
        <f>K80</f>
        <v>364.73</v>
      </c>
      <c r="S73" s="137" t="s">
        <v>10</v>
      </c>
      <c r="T73" s="137">
        <v>-75</v>
      </c>
      <c r="U73" s="137">
        <f>L80</f>
        <v>432.25000000000006</v>
      </c>
      <c r="V73" s="137" t="s">
        <v>10</v>
      </c>
      <c r="W73" s="137">
        <v>-75</v>
      </c>
      <c r="X73" s="137">
        <f>M80</f>
        <v>380.39</v>
      </c>
      <c r="Y73" s="137" t="s">
        <v>10</v>
      </c>
      <c r="Z73" s="137">
        <v>-75</v>
      </c>
      <c r="AA73" s="137">
        <f>N80</f>
        <v>348.22</v>
      </c>
    </row>
    <row r="74" spans="10:27">
      <c r="J74" s="143">
        <v>95</v>
      </c>
      <c r="K74" s="143">
        <v>373.83</v>
      </c>
      <c r="L74" s="143">
        <f>(630-82)/5*4.75/1.2</f>
        <v>433.83333333333337</v>
      </c>
      <c r="M74" s="143">
        <v>389.22</v>
      </c>
      <c r="N74" s="143">
        <v>357.63</v>
      </c>
      <c r="O74" s="139"/>
      <c r="P74" s="137" t="s">
        <v>11</v>
      </c>
      <c r="Q74" s="9">
        <f>$B$2</f>
        <v>6.0220000000000002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86.158950317418203</v>
      </c>
      <c r="S74" s="137" t="s">
        <v>11</v>
      </c>
      <c r="T74" s="9">
        <f>$B$2</f>
        <v>6.0220000000000002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9992.9785612055566</v>
      </c>
      <c r="V74" s="137" t="s">
        <v>11</v>
      </c>
      <c r="W74" s="9">
        <f>$B$2</f>
        <v>6.0220000000000002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347.78409483470023</v>
      </c>
      <c r="Y74" s="137" t="s">
        <v>11</v>
      </c>
      <c r="Z74" s="9">
        <f>$B$2</f>
        <v>6.0220000000000002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414.7309589383658</v>
      </c>
    </row>
    <row r="75" spans="10:27">
      <c r="J75" s="143">
        <v>90</v>
      </c>
      <c r="K75" s="143">
        <v>362.54</v>
      </c>
      <c r="L75" s="143">
        <f>(630-90)/5*4.75/1.2</f>
        <v>427.5</v>
      </c>
      <c r="M75" s="143">
        <v>378.09</v>
      </c>
      <c r="N75" s="143">
        <v>346.16</v>
      </c>
    </row>
    <row r="77" spans="10:27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>
      <c r="J78" s="143">
        <v>100</v>
      </c>
      <c r="K78" s="143">
        <v>385.75</v>
      </c>
      <c r="L78" s="143">
        <f>(630-70)/5*4.75/1.2</f>
        <v>443.33333333333337</v>
      </c>
      <c r="M78" s="143">
        <v>400.96</v>
      </c>
      <c r="N78" s="143">
        <v>369.6</v>
      </c>
    </row>
    <row r="79" spans="10:27">
      <c r="J79" s="143">
        <v>95</v>
      </c>
      <c r="K79" s="143">
        <v>375.94</v>
      </c>
      <c r="L79" s="143">
        <f>(630-76)/5*4.75/1.2</f>
        <v>438.58333333333331</v>
      </c>
      <c r="M79" s="143">
        <v>391.45</v>
      </c>
      <c r="N79" s="143">
        <v>359.62</v>
      </c>
    </row>
    <row r="80" spans="10:27">
      <c r="J80" s="143">
        <v>90</v>
      </c>
      <c r="K80" s="143">
        <v>364.73</v>
      </c>
      <c r="L80" s="143">
        <f>(630-84)/5*4.75/1.2</f>
        <v>432.25000000000006</v>
      </c>
      <c r="M80" s="143">
        <v>380.39</v>
      </c>
      <c r="N80" s="143">
        <v>348.22</v>
      </c>
    </row>
    <row r="82" spans="4:28">
      <c r="D82" s="266" t="s">
        <v>140</v>
      </c>
      <c r="E82" s="267"/>
      <c r="F82" s="267"/>
      <c r="G82" s="267"/>
      <c r="H82" s="267"/>
      <c r="I82" s="267"/>
      <c r="J82" s="267"/>
      <c r="K82" s="267"/>
      <c r="L82" s="267"/>
      <c r="M82" s="267"/>
      <c r="N82" s="267"/>
      <c r="O82" s="267"/>
      <c r="P82" s="267"/>
      <c r="Q82" s="267"/>
      <c r="R82" s="267"/>
      <c r="S82" s="267"/>
      <c r="T82" s="267"/>
      <c r="U82" s="267"/>
      <c r="V82" s="267"/>
      <c r="W82" s="267"/>
      <c r="X82" s="267"/>
      <c r="Y82" s="267"/>
      <c r="Z82" s="267"/>
    </row>
    <row r="83" spans="4:28">
      <c r="D83" s="97"/>
      <c r="E83" s="104">
        <v>25</v>
      </c>
      <c r="F83" s="104">
        <v>20</v>
      </c>
      <c r="G83" s="104">
        <v>15</v>
      </c>
      <c r="H83" s="104">
        <v>10</v>
      </c>
      <c r="I83" s="104">
        <v>5</v>
      </c>
      <c r="J83" s="104">
        <v>0</v>
      </c>
      <c r="K83" s="104">
        <v>-5</v>
      </c>
      <c r="L83" s="104">
        <v>-10</v>
      </c>
      <c r="M83" s="104">
        <v>-15</v>
      </c>
      <c r="N83" s="104">
        <v>-20</v>
      </c>
      <c r="O83" s="104">
        <v>-25</v>
      </c>
      <c r="P83" s="104">
        <v>-30</v>
      </c>
      <c r="Q83" s="104">
        <v>-35</v>
      </c>
      <c r="R83" s="104">
        <v>-40</v>
      </c>
      <c r="S83" s="104">
        <v>-45</v>
      </c>
      <c r="T83" s="104">
        <v>-50</v>
      </c>
      <c r="U83" s="104">
        <v>-55</v>
      </c>
      <c r="V83" s="104">
        <v>-60</v>
      </c>
      <c r="W83" s="104">
        <v>-65</v>
      </c>
      <c r="X83" s="104">
        <v>-70</v>
      </c>
      <c r="Y83" s="104">
        <v>-75</v>
      </c>
      <c r="Z83" s="104">
        <v>-80</v>
      </c>
      <c r="AB83" t="s">
        <v>185</v>
      </c>
    </row>
    <row r="84" spans="4:28" ht="15" customHeight="1">
      <c r="D84" s="97">
        <v>100</v>
      </c>
      <c r="E84" s="104"/>
      <c r="F84" s="104"/>
      <c r="G84" s="104"/>
      <c r="H84" s="104"/>
      <c r="I84" s="104"/>
      <c r="J84" s="149">
        <v>345</v>
      </c>
      <c r="K84" s="149">
        <v>355</v>
      </c>
      <c r="L84" s="149">
        <v>365</v>
      </c>
      <c r="M84" s="149">
        <v>373.33300000000003</v>
      </c>
      <c r="N84" s="149">
        <f>(630-52)/6*4.75/1.2</f>
        <v>381.31944444444446</v>
      </c>
      <c r="O84" s="149">
        <f>(630-41)/6*4.75/1.2</f>
        <v>388.57638888888891</v>
      </c>
      <c r="P84" s="149">
        <f>(630-30)/6*4.75/1.2</f>
        <v>395.83333333333337</v>
      </c>
      <c r="Q84" s="149">
        <f>(630-21)/6*4.75/1.2</f>
        <v>401.77083333333337</v>
      </c>
      <c r="R84" s="149">
        <f>(630-11)/6*4.75/1.2</f>
        <v>408.3680555555556</v>
      </c>
      <c r="S84" s="149">
        <f>(630-3)/6*4.75/1.2</f>
        <v>413.64583333333337</v>
      </c>
      <c r="T84" s="149">
        <f>(630-100)/5*4.75/1.2</f>
        <v>419.58333333333337</v>
      </c>
      <c r="U84" s="149">
        <f>(630-94)/5*4.75/1.2</f>
        <v>424.33333333333331</v>
      </c>
      <c r="V84" s="149">
        <f>(630-87)/5*4.75/1.2</f>
        <v>429.87500000000006</v>
      </c>
      <c r="W84" s="149">
        <f>(630-82)/5*4.75/1.2</f>
        <v>433.83333333333337</v>
      </c>
      <c r="X84" s="149">
        <f>(630-76)/5*4.75/1.2</f>
        <v>438.58333333333331</v>
      </c>
      <c r="Y84" s="149">
        <f>(630-70)/5*4.75/1.2</f>
        <v>443.33333333333337</v>
      </c>
      <c r="Z84" s="104"/>
      <c r="AB84" s="153" t="s">
        <v>173</v>
      </c>
    </row>
    <row r="85" spans="4:28" ht="15" customHeight="1">
      <c r="D85" s="97">
        <v>95</v>
      </c>
      <c r="E85" s="104"/>
      <c r="F85" s="104"/>
      <c r="G85" s="104"/>
      <c r="H85" s="104"/>
      <c r="I85" s="104"/>
      <c r="J85" s="149">
        <v>337.5</v>
      </c>
      <c r="K85" s="149">
        <v>348.33333333333337</v>
      </c>
      <c r="L85" s="149">
        <v>357.5</v>
      </c>
      <c r="M85" s="149">
        <v>366.66699999999997</v>
      </c>
      <c r="N85" s="149">
        <f>(630-62)/6*4.75/1.2</f>
        <v>374.72222222222223</v>
      </c>
      <c r="O85" s="149">
        <f>(630-50)/6*4.75/1.2</f>
        <v>382.63888888888891</v>
      </c>
      <c r="P85" s="149">
        <f>(630-39)/6*4.75/1.2</f>
        <v>389.89583333333337</v>
      </c>
      <c r="Q85" s="149">
        <f>(630-29)/6*4.75/1.2</f>
        <v>396.4930555555556</v>
      </c>
      <c r="R85" s="149">
        <f>(630-19)/6*4.75/1.2</f>
        <v>403.09027777777777</v>
      </c>
      <c r="S85" s="149">
        <f>(630-10)/6*4.75/1.2</f>
        <v>409.02777777777777</v>
      </c>
      <c r="T85" s="149">
        <f>(630-107)/5*4.75/1.2</f>
        <v>414.04166666666663</v>
      </c>
      <c r="U85" s="149">
        <f>(630-100)/5*4.75/1.2</f>
        <v>419.58333333333337</v>
      </c>
      <c r="V85" s="149">
        <f>(630-93)/5*4.75/1.2</f>
        <v>425.12500000000006</v>
      </c>
      <c r="W85" s="149">
        <f>(630-87)/5*4.75/1.2</f>
        <v>429.87500000000006</v>
      </c>
      <c r="X85" s="149">
        <f>(630-82)/5*4.75/1.2</f>
        <v>433.83333333333337</v>
      </c>
      <c r="Y85" s="149">
        <f>(630-76)/5*4.75/1.2</f>
        <v>438.58333333333331</v>
      </c>
      <c r="Z85" s="104"/>
      <c r="AB85" s="153" t="s">
        <v>174</v>
      </c>
    </row>
    <row r="86" spans="4:28" ht="15" customHeight="1">
      <c r="D86" s="97">
        <v>90</v>
      </c>
      <c r="E86" s="104"/>
      <c r="F86" s="104"/>
      <c r="G86" s="104"/>
      <c r="H86" s="104"/>
      <c r="I86" s="104"/>
      <c r="J86" s="149">
        <v>325.83300000000003</v>
      </c>
      <c r="K86" s="149">
        <v>336.66666666666669</v>
      </c>
      <c r="L86" s="149">
        <v>347.5</v>
      </c>
      <c r="M86" s="149">
        <v>357.5</v>
      </c>
      <c r="N86" s="149">
        <f>(630-76)/6*4.75/1.2</f>
        <v>365.48611111111109</v>
      </c>
      <c r="O86" s="149">
        <f>(630-64)/6*4.75/1.2</f>
        <v>373.40277777777777</v>
      </c>
      <c r="P86" s="149">
        <f>(630-52)/6*4.75/1.2</f>
        <v>381.31944444444446</v>
      </c>
      <c r="Q86" s="149">
        <f>(630-41)/6*4.75/1.2</f>
        <v>388.57638888888891</v>
      </c>
      <c r="R86" s="149">
        <f>(630-32)/6*4.75/1.2</f>
        <v>394.51388888888891</v>
      </c>
      <c r="S86" s="149">
        <f>(630-22)/6*4.75/1.2</f>
        <v>401.11111111111109</v>
      </c>
      <c r="T86" s="149">
        <f>(630-116)/5*4.75/1.2</f>
        <v>406.91666666666669</v>
      </c>
      <c r="U86" s="149">
        <f>(630-109)/5*4.75/1.2</f>
        <v>412.45833333333331</v>
      </c>
      <c r="V86" s="149">
        <f>(630-102)/5*4.75/1.2</f>
        <v>418</v>
      </c>
      <c r="W86" s="149">
        <f>(630-96)/5*4.75/1.2</f>
        <v>422.75</v>
      </c>
      <c r="X86" s="149">
        <f>(630-90)/5*4.75/1.2</f>
        <v>427.5</v>
      </c>
      <c r="Y86" s="149">
        <f>(630-84)/5*4.75/1.2</f>
        <v>432.25000000000006</v>
      </c>
      <c r="Z86" s="104"/>
      <c r="AB86" s="153" t="s">
        <v>175</v>
      </c>
    </row>
    <row r="87" spans="4:28">
      <c r="D87" s="97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4:28">
      <c r="D88" s="97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4:28">
      <c r="D89" s="97"/>
      <c r="E89" s="104" t="s">
        <v>92</v>
      </c>
      <c r="F89" s="104" t="s">
        <v>92</v>
      </c>
      <c r="G89" s="104" t="s">
        <v>92</v>
      </c>
      <c r="H89" s="104" t="s">
        <v>92</v>
      </c>
      <c r="I89" s="104" t="s">
        <v>92</v>
      </c>
      <c r="J89" s="104" t="s">
        <v>92</v>
      </c>
      <c r="K89" s="104" t="s">
        <v>92</v>
      </c>
      <c r="L89" s="104" t="s">
        <v>92</v>
      </c>
      <c r="M89" s="104" t="s">
        <v>92</v>
      </c>
      <c r="N89" s="104" t="s">
        <v>92</v>
      </c>
      <c r="O89" s="104" t="s">
        <v>92</v>
      </c>
      <c r="P89" s="104" t="s">
        <v>92</v>
      </c>
      <c r="Q89" s="104" t="s">
        <v>92</v>
      </c>
      <c r="R89" s="104" t="s">
        <v>92</v>
      </c>
      <c r="S89" s="104" t="s">
        <v>92</v>
      </c>
      <c r="T89" s="104" t="s">
        <v>92</v>
      </c>
      <c r="U89" s="104" t="s">
        <v>92</v>
      </c>
      <c r="V89" s="104" t="s">
        <v>92</v>
      </c>
      <c r="W89" s="104" t="s">
        <v>92</v>
      </c>
      <c r="X89" s="104" t="s">
        <v>92</v>
      </c>
      <c r="Y89" s="104" t="s">
        <v>92</v>
      </c>
      <c r="Z89" s="104" t="s">
        <v>92</v>
      </c>
    </row>
    <row r="90" spans="4:28"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</row>
    <row r="91" spans="4:28">
      <c r="D91" s="266" t="s">
        <v>170</v>
      </c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</row>
    <row r="92" spans="4:28">
      <c r="D92" s="148"/>
      <c r="E92" s="104">
        <v>25</v>
      </c>
      <c r="F92" s="104">
        <v>20</v>
      </c>
      <c r="G92" s="104">
        <v>15</v>
      </c>
      <c r="H92" s="104">
        <v>10</v>
      </c>
      <c r="I92" s="104">
        <v>5</v>
      </c>
      <c r="J92" s="104">
        <v>0</v>
      </c>
      <c r="K92" s="104">
        <v>-5</v>
      </c>
      <c r="L92" s="104">
        <v>-10</v>
      </c>
      <c r="M92" s="104">
        <v>-15</v>
      </c>
      <c r="N92" s="104">
        <v>-20</v>
      </c>
      <c r="O92" s="104">
        <v>-25</v>
      </c>
      <c r="P92" s="104">
        <v>-30</v>
      </c>
      <c r="Q92" s="104">
        <v>-35</v>
      </c>
      <c r="R92" s="104">
        <v>-40</v>
      </c>
      <c r="S92" s="104">
        <v>-45</v>
      </c>
      <c r="T92" s="104">
        <v>-50</v>
      </c>
      <c r="U92" s="104">
        <v>-55</v>
      </c>
      <c r="V92" s="104">
        <v>-60</v>
      </c>
      <c r="W92" s="104">
        <v>-65</v>
      </c>
      <c r="X92" s="104">
        <v>-70</v>
      </c>
      <c r="Y92" s="104">
        <v>-75</v>
      </c>
      <c r="Z92" s="104">
        <v>-80</v>
      </c>
      <c r="AB92" t="s">
        <v>185</v>
      </c>
    </row>
    <row r="93" spans="4:28" ht="15" customHeight="1">
      <c r="D93" s="97">
        <v>100</v>
      </c>
      <c r="E93" s="104"/>
      <c r="F93" s="104"/>
      <c r="G93" s="104"/>
      <c r="H93" s="104"/>
      <c r="I93" s="104"/>
      <c r="J93" s="149">
        <v>331.41</v>
      </c>
      <c r="K93" s="149">
        <v>337.83</v>
      </c>
      <c r="L93" s="149">
        <v>343.52</v>
      </c>
      <c r="M93" s="149">
        <v>348.62</v>
      </c>
      <c r="N93" s="149">
        <v>353.23</v>
      </c>
      <c r="O93" s="149">
        <v>357.43</v>
      </c>
      <c r="P93" s="149">
        <v>361.27</v>
      </c>
      <c r="Q93" s="149">
        <v>364.82</v>
      </c>
      <c r="R93" s="149">
        <v>368.1</v>
      </c>
      <c r="S93" s="149">
        <v>371.15</v>
      </c>
      <c r="T93" s="149">
        <v>373.99</v>
      </c>
      <c r="U93" s="149">
        <v>376.64</v>
      </c>
      <c r="V93" s="149">
        <v>379.13</v>
      </c>
      <c r="W93" s="149">
        <v>381.47</v>
      </c>
      <c r="X93" s="149">
        <v>383.67</v>
      </c>
      <c r="Y93" s="149">
        <v>385.75</v>
      </c>
      <c r="Z93" s="104"/>
      <c r="AB93" s="153" t="s">
        <v>176</v>
      </c>
    </row>
    <row r="94" spans="4:28">
      <c r="D94" s="97">
        <v>95</v>
      </c>
      <c r="E94" s="104"/>
      <c r="F94" s="104"/>
      <c r="G94" s="104"/>
      <c r="H94" s="104"/>
      <c r="I94" s="104"/>
      <c r="J94" s="149">
        <v>320.19</v>
      </c>
      <c r="K94" s="149">
        <v>326.82</v>
      </c>
      <c r="L94" s="149">
        <v>332.69</v>
      </c>
      <c r="M94" s="149">
        <v>337.94</v>
      </c>
      <c r="N94" s="149">
        <v>342.69</v>
      </c>
      <c r="O94" s="149">
        <v>347</v>
      </c>
      <c r="P94" s="149">
        <v>350.95</v>
      </c>
      <c r="Q94" s="149">
        <v>354.58</v>
      </c>
      <c r="R94" s="149">
        <v>357.93</v>
      </c>
      <c r="S94" s="149">
        <v>361.05</v>
      </c>
      <c r="T94" s="149">
        <v>363.95</v>
      </c>
      <c r="U94" s="149">
        <v>366.66</v>
      </c>
      <c r="V94" s="149">
        <v>369.2</v>
      </c>
      <c r="W94" s="149">
        <v>371.58</v>
      </c>
      <c r="X94" s="149">
        <v>373.83</v>
      </c>
      <c r="Y94" s="149">
        <v>375.94</v>
      </c>
      <c r="Z94" s="104"/>
      <c r="AB94" t="s">
        <v>177</v>
      </c>
    </row>
    <row r="95" spans="4:28">
      <c r="D95" s="97">
        <v>90</v>
      </c>
      <c r="E95" s="104"/>
      <c r="F95" s="104"/>
      <c r="G95" s="104"/>
      <c r="H95" s="104"/>
      <c r="I95" s="104"/>
      <c r="J95" s="149">
        <v>306.45</v>
      </c>
      <c r="K95" s="149">
        <v>313.45999999999998</v>
      </c>
      <c r="L95" s="149">
        <v>319.64999999999998</v>
      </c>
      <c r="M95" s="149">
        <v>325.17</v>
      </c>
      <c r="N95" s="149">
        <v>330.15</v>
      </c>
      <c r="O95" s="149">
        <v>334.66</v>
      </c>
      <c r="P95" s="149">
        <v>338.79</v>
      </c>
      <c r="Q95" s="149">
        <v>342.58</v>
      </c>
      <c r="R95" s="149">
        <v>346.07</v>
      </c>
      <c r="S95" s="149">
        <v>349.31</v>
      </c>
      <c r="T95" s="149">
        <v>352.32</v>
      </c>
      <c r="U95" s="149">
        <v>355.13</v>
      </c>
      <c r="V95" s="149">
        <v>357.76</v>
      </c>
      <c r="W95" s="149">
        <v>360.23</v>
      </c>
      <c r="X95" s="149">
        <v>362.54</v>
      </c>
      <c r="Y95" s="149">
        <v>364.73</v>
      </c>
      <c r="Z95" s="104"/>
      <c r="AB95" t="s">
        <v>178</v>
      </c>
    </row>
    <row r="96" spans="4:28">
      <c r="D96" s="97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4:28">
      <c r="D97" s="97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4:28">
      <c r="D98" s="97"/>
      <c r="E98" s="104" t="s">
        <v>92</v>
      </c>
      <c r="F98" s="104" t="s">
        <v>92</v>
      </c>
      <c r="G98" s="104" t="s">
        <v>92</v>
      </c>
      <c r="H98" s="104" t="s">
        <v>92</v>
      </c>
      <c r="I98" s="104" t="s">
        <v>92</v>
      </c>
      <c r="J98" s="104" t="s">
        <v>92</v>
      </c>
      <c r="K98" s="104" t="s">
        <v>92</v>
      </c>
      <c r="L98" s="104" t="s">
        <v>92</v>
      </c>
      <c r="M98" s="104" t="s">
        <v>92</v>
      </c>
      <c r="N98" s="104" t="s">
        <v>92</v>
      </c>
      <c r="O98" s="104" t="s">
        <v>92</v>
      </c>
      <c r="P98" s="104" t="s">
        <v>92</v>
      </c>
      <c r="Q98" s="104" t="s">
        <v>92</v>
      </c>
      <c r="R98" s="104" t="s">
        <v>92</v>
      </c>
      <c r="S98" s="104" t="s">
        <v>92</v>
      </c>
      <c r="T98" s="104" t="s">
        <v>92</v>
      </c>
      <c r="U98" s="104" t="s">
        <v>92</v>
      </c>
      <c r="V98" s="104" t="s">
        <v>92</v>
      </c>
      <c r="W98" s="104" t="s">
        <v>92</v>
      </c>
      <c r="X98" s="104" t="s">
        <v>92</v>
      </c>
      <c r="Y98" s="104" t="s">
        <v>92</v>
      </c>
      <c r="Z98" s="104" t="s">
        <v>92</v>
      </c>
    </row>
    <row r="99" spans="4:28"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</row>
    <row r="100" spans="4:28">
      <c r="D100" s="265" t="s">
        <v>171</v>
      </c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</row>
    <row r="101" spans="4:28">
      <c r="D101" s="148"/>
      <c r="E101" s="104">
        <v>25</v>
      </c>
      <c r="F101" s="104">
        <v>20</v>
      </c>
      <c r="G101" s="104">
        <v>15</v>
      </c>
      <c r="H101" s="104">
        <v>10</v>
      </c>
      <c r="I101" s="104">
        <v>5</v>
      </c>
      <c r="J101" s="104">
        <v>0</v>
      </c>
      <c r="K101" s="104">
        <v>-5</v>
      </c>
      <c r="L101" s="104">
        <v>-10</v>
      </c>
      <c r="M101" s="104">
        <v>-15</v>
      </c>
      <c r="N101" s="104">
        <v>-20</v>
      </c>
      <c r="O101" s="104">
        <v>-25</v>
      </c>
      <c r="P101" s="104">
        <v>-30</v>
      </c>
      <c r="Q101" s="104">
        <v>-35</v>
      </c>
      <c r="R101" s="104">
        <v>-40</v>
      </c>
      <c r="S101" s="104">
        <v>-45</v>
      </c>
      <c r="T101" s="104">
        <v>-50</v>
      </c>
      <c r="U101" s="104">
        <v>-55</v>
      </c>
      <c r="V101" s="104">
        <v>-60</v>
      </c>
      <c r="W101" s="104">
        <v>-65</v>
      </c>
      <c r="X101" s="104">
        <v>-70</v>
      </c>
      <c r="Y101" s="104">
        <v>-75</v>
      </c>
      <c r="Z101" s="104">
        <v>-80</v>
      </c>
      <c r="AB101" t="s">
        <v>185</v>
      </c>
    </row>
    <row r="102" spans="4:28" ht="15" customHeight="1">
      <c r="D102" s="97">
        <v>100</v>
      </c>
      <c r="E102" s="104"/>
      <c r="F102" s="104"/>
      <c r="G102" s="104"/>
      <c r="H102" s="104"/>
      <c r="I102" s="104"/>
      <c r="J102" s="149">
        <v>344.3</v>
      </c>
      <c r="K102" s="149">
        <v>350.94</v>
      </c>
      <c r="L102" s="149">
        <v>356.85</v>
      </c>
      <c r="M102" s="149">
        <v>362.14</v>
      </c>
      <c r="N102" s="149">
        <v>366.93</v>
      </c>
      <c r="O102" s="149">
        <v>371.3</v>
      </c>
      <c r="P102" s="149">
        <v>375.31</v>
      </c>
      <c r="Q102" s="149">
        <v>379.01</v>
      </c>
      <c r="R102" s="149">
        <v>382.43</v>
      </c>
      <c r="S102" s="149">
        <v>385.62</v>
      </c>
      <c r="T102" s="149">
        <v>388.59</v>
      </c>
      <c r="U102" s="149">
        <v>391.38</v>
      </c>
      <c r="V102" s="149">
        <v>393.99</v>
      </c>
      <c r="W102" s="149">
        <v>396.45</v>
      </c>
      <c r="X102" s="149">
        <v>398.77</v>
      </c>
      <c r="Y102" s="149">
        <v>400.96</v>
      </c>
      <c r="Z102" s="104"/>
      <c r="AB102" s="153" t="s">
        <v>179</v>
      </c>
    </row>
    <row r="103" spans="4:28" ht="15" customHeight="1">
      <c r="D103" s="97">
        <v>95</v>
      </c>
      <c r="E103" s="104"/>
      <c r="F103" s="104"/>
      <c r="G103" s="104"/>
      <c r="H103" s="104"/>
      <c r="I103" s="104"/>
      <c r="J103" s="149">
        <v>333.29</v>
      </c>
      <c r="K103" s="149">
        <v>340.17</v>
      </c>
      <c r="L103" s="149">
        <v>346.26</v>
      </c>
      <c r="M103" s="149">
        <v>351.72</v>
      </c>
      <c r="N103" s="149">
        <v>356.65</v>
      </c>
      <c r="O103" s="149">
        <v>361.14</v>
      </c>
      <c r="P103" s="149">
        <v>365.26</v>
      </c>
      <c r="Q103" s="149">
        <v>369.04</v>
      </c>
      <c r="R103" s="149">
        <v>372.55</v>
      </c>
      <c r="S103" s="149">
        <v>375.81</v>
      </c>
      <c r="T103" s="149">
        <v>378.85</v>
      </c>
      <c r="U103" s="149">
        <v>381.69</v>
      </c>
      <c r="V103" s="149">
        <v>384.35</v>
      </c>
      <c r="W103" s="149">
        <v>386.86</v>
      </c>
      <c r="X103" s="149">
        <v>389.22</v>
      </c>
      <c r="Y103" s="149">
        <v>391.45</v>
      </c>
      <c r="Z103" s="104"/>
      <c r="AB103" s="153" t="s">
        <v>180</v>
      </c>
    </row>
    <row r="104" spans="4:28">
      <c r="D104" s="97">
        <v>90</v>
      </c>
      <c r="E104" s="104"/>
      <c r="F104" s="104"/>
      <c r="G104" s="104"/>
      <c r="H104" s="104"/>
      <c r="I104" s="104"/>
      <c r="J104" s="149">
        <v>319.58</v>
      </c>
      <c r="K104" s="149">
        <v>326.86</v>
      </c>
      <c r="L104" s="149">
        <v>333.29</v>
      </c>
      <c r="M104" s="149">
        <v>339.03</v>
      </c>
      <c r="N104" s="149">
        <v>344.21</v>
      </c>
      <c r="O104" s="149">
        <v>348.91</v>
      </c>
      <c r="P104" s="149">
        <v>353.21</v>
      </c>
      <c r="Q104" s="149">
        <v>357.16</v>
      </c>
      <c r="R104" s="149">
        <v>360.81</v>
      </c>
      <c r="S104" s="149">
        <v>364.2</v>
      </c>
      <c r="T104" s="149">
        <v>367.35</v>
      </c>
      <c r="U104" s="149">
        <v>370.3</v>
      </c>
      <c r="V104" s="149">
        <v>373.06</v>
      </c>
      <c r="W104" s="149">
        <v>375.65</v>
      </c>
      <c r="X104" s="149">
        <v>378.09</v>
      </c>
      <c r="Y104" s="149">
        <v>380.39</v>
      </c>
      <c r="Z104" s="104"/>
      <c r="AB104" t="s">
        <v>181</v>
      </c>
    </row>
    <row r="105" spans="4:28">
      <c r="D105" s="97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4:28">
      <c r="D106" s="97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4:28">
      <c r="D107" s="97"/>
      <c r="E107" s="104" t="s">
        <v>92</v>
      </c>
      <c r="F107" s="104" t="s">
        <v>92</v>
      </c>
      <c r="G107" s="104" t="s">
        <v>92</v>
      </c>
      <c r="H107" s="104" t="s">
        <v>92</v>
      </c>
      <c r="I107" s="104" t="s">
        <v>92</v>
      </c>
      <c r="J107" s="104" t="s">
        <v>92</v>
      </c>
      <c r="K107" s="104" t="s">
        <v>92</v>
      </c>
      <c r="L107" s="104">
        <v>4</v>
      </c>
      <c r="M107" s="104">
        <v>5</v>
      </c>
      <c r="N107" s="104">
        <v>6</v>
      </c>
      <c r="O107" s="104">
        <v>7</v>
      </c>
      <c r="P107" s="104">
        <v>8</v>
      </c>
      <c r="Q107" s="104">
        <v>9</v>
      </c>
      <c r="R107" s="104">
        <v>10</v>
      </c>
      <c r="S107" s="104">
        <v>11</v>
      </c>
      <c r="T107" s="104">
        <v>12</v>
      </c>
      <c r="U107" s="104">
        <v>13</v>
      </c>
      <c r="V107" s="104">
        <v>14</v>
      </c>
      <c r="W107" s="104">
        <v>15</v>
      </c>
      <c r="X107" s="104">
        <v>16</v>
      </c>
      <c r="Y107" s="104">
        <v>17</v>
      </c>
      <c r="Z107" s="104">
        <v>18</v>
      </c>
    </row>
    <row r="108" spans="4:28"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</row>
    <row r="109" spans="4:28">
      <c r="D109" s="265" t="s">
        <v>172</v>
      </c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</row>
    <row r="110" spans="4:28">
      <c r="D110" s="148"/>
      <c r="E110" s="104">
        <v>25</v>
      </c>
      <c r="F110" s="104">
        <v>20</v>
      </c>
      <c r="G110" s="104">
        <v>15</v>
      </c>
      <c r="H110" s="104">
        <v>10</v>
      </c>
      <c r="I110" s="104">
        <v>5</v>
      </c>
      <c r="J110" s="104">
        <v>0</v>
      </c>
      <c r="K110" s="104">
        <v>-5</v>
      </c>
      <c r="L110" s="104">
        <v>-10</v>
      </c>
      <c r="M110" s="104">
        <v>-15</v>
      </c>
      <c r="N110" s="104">
        <v>-20</v>
      </c>
      <c r="O110" s="104">
        <v>-25</v>
      </c>
      <c r="P110" s="104">
        <v>-30</v>
      </c>
      <c r="Q110" s="104">
        <v>-35</v>
      </c>
      <c r="R110" s="104">
        <v>-40</v>
      </c>
      <c r="S110" s="104">
        <v>-45</v>
      </c>
      <c r="T110" s="104">
        <v>-50</v>
      </c>
      <c r="U110" s="104">
        <v>-55</v>
      </c>
      <c r="V110" s="104">
        <v>-60</v>
      </c>
      <c r="W110" s="104">
        <v>-65</v>
      </c>
      <c r="X110" s="104">
        <v>-70</v>
      </c>
      <c r="Y110" s="104">
        <v>-75</v>
      </c>
      <c r="Z110" s="104">
        <v>-80</v>
      </c>
      <c r="AB110" t="s">
        <v>185</v>
      </c>
    </row>
    <row r="111" spans="4:28" ht="15" customHeight="1">
      <c r="D111" s="97">
        <v>100</v>
      </c>
      <c r="E111" s="104"/>
      <c r="F111" s="104"/>
      <c r="G111" s="104"/>
      <c r="H111" s="104"/>
      <c r="I111" s="104"/>
      <c r="J111" s="149">
        <v>317.74</v>
      </c>
      <c r="K111" s="149">
        <v>323.89999999999998</v>
      </c>
      <c r="L111" s="149">
        <v>329.36</v>
      </c>
      <c r="M111" s="149">
        <v>334.26</v>
      </c>
      <c r="N111" s="149">
        <v>338.67</v>
      </c>
      <c r="O111" s="149">
        <v>342.69</v>
      </c>
      <c r="P111" s="149">
        <v>346.36</v>
      </c>
      <c r="Q111" s="149">
        <v>349.75</v>
      </c>
      <c r="R111" s="149">
        <v>352.87</v>
      </c>
      <c r="S111" s="149">
        <v>355.77</v>
      </c>
      <c r="T111" s="149">
        <v>358.48</v>
      </c>
      <c r="U111" s="149">
        <v>360.99</v>
      </c>
      <c r="V111" s="149">
        <v>363.35</v>
      </c>
      <c r="W111" s="149">
        <v>365.56</v>
      </c>
      <c r="X111" s="149">
        <v>367.64</v>
      </c>
      <c r="Y111" s="149">
        <v>369.6</v>
      </c>
      <c r="Z111" s="104"/>
      <c r="AB111" s="153" t="s">
        <v>182</v>
      </c>
    </row>
    <row r="112" spans="4:28">
      <c r="D112" s="97">
        <v>95</v>
      </c>
      <c r="E112" s="104"/>
      <c r="F112" s="104"/>
      <c r="G112" s="104"/>
      <c r="H112" s="104"/>
      <c r="I112" s="104"/>
      <c r="J112" s="149">
        <v>306.45</v>
      </c>
      <c r="K112" s="149">
        <v>312.81</v>
      </c>
      <c r="L112" s="149">
        <v>318.44</v>
      </c>
      <c r="M112" s="149">
        <v>323.47000000000003</v>
      </c>
      <c r="N112" s="149">
        <v>328.01</v>
      </c>
      <c r="O112" s="149">
        <v>332.14</v>
      </c>
      <c r="P112" s="149">
        <v>335.9</v>
      </c>
      <c r="Q112" s="149">
        <v>339.37</v>
      </c>
      <c r="R112" s="149">
        <v>342.57</v>
      </c>
      <c r="S112" s="149">
        <v>345.53</v>
      </c>
      <c r="T112" s="149">
        <v>348.29</v>
      </c>
      <c r="U112" s="149">
        <v>350.85</v>
      </c>
      <c r="V112" s="149">
        <v>353.26</v>
      </c>
      <c r="W112" s="149">
        <v>355.51</v>
      </c>
      <c r="X112" s="149">
        <v>357.63</v>
      </c>
      <c r="Y112" s="149">
        <v>359.62</v>
      </c>
      <c r="Z112" s="104"/>
      <c r="AB112" t="s">
        <v>183</v>
      </c>
    </row>
    <row r="113" spans="4:28">
      <c r="D113" s="97">
        <v>90</v>
      </c>
      <c r="E113" s="104"/>
      <c r="F113" s="104"/>
      <c r="G113" s="104"/>
      <c r="H113" s="104"/>
      <c r="I113" s="104"/>
      <c r="J113" s="149">
        <v>292.69</v>
      </c>
      <c r="K113" s="149">
        <v>299.39999999999998</v>
      </c>
      <c r="L113" s="149">
        <v>305.32</v>
      </c>
      <c r="M113" s="149">
        <v>310.61</v>
      </c>
      <c r="N113" s="149">
        <v>315.37</v>
      </c>
      <c r="O113" s="149">
        <v>319.68</v>
      </c>
      <c r="P113" s="149">
        <v>323.61</v>
      </c>
      <c r="Q113" s="149">
        <v>327.23</v>
      </c>
      <c r="R113" s="149">
        <v>330.55</v>
      </c>
      <c r="S113" s="149">
        <v>333.63</v>
      </c>
      <c r="T113" s="149">
        <v>336.5</v>
      </c>
      <c r="U113" s="149">
        <v>339.15</v>
      </c>
      <c r="V113" s="149">
        <v>341.64</v>
      </c>
      <c r="W113" s="149">
        <v>343.97</v>
      </c>
      <c r="X113" s="149">
        <v>346.16</v>
      </c>
      <c r="Y113" s="149">
        <v>348.22</v>
      </c>
      <c r="Z113" s="104"/>
      <c r="AB113" t="s">
        <v>184</v>
      </c>
    </row>
    <row r="114" spans="4:28">
      <c r="D114" s="97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4:28">
      <c r="D115" s="97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4:28">
      <c r="D116" s="97"/>
      <c r="E116" s="104" t="s">
        <v>92</v>
      </c>
      <c r="F116" s="104" t="s">
        <v>92</v>
      </c>
      <c r="G116" s="104" t="s">
        <v>92</v>
      </c>
      <c r="H116" s="104" t="s">
        <v>92</v>
      </c>
      <c r="I116" s="104" t="s">
        <v>92</v>
      </c>
      <c r="J116" s="104" t="s">
        <v>92</v>
      </c>
      <c r="K116" s="104" t="s">
        <v>92</v>
      </c>
      <c r="L116" s="104" t="s">
        <v>92</v>
      </c>
      <c r="M116" s="104" t="s">
        <v>92</v>
      </c>
      <c r="N116" s="104" t="s">
        <v>92</v>
      </c>
      <c r="O116" s="104" t="s">
        <v>92</v>
      </c>
      <c r="P116" s="104" t="s">
        <v>92</v>
      </c>
      <c r="Q116" s="104" t="s">
        <v>92</v>
      </c>
      <c r="R116" s="104" t="s">
        <v>92</v>
      </c>
      <c r="S116" s="104" t="s">
        <v>92</v>
      </c>
      <c r="T116" s="104" t="s">
        <v>92</v>
      </c>
      <c r="U116" s="104" t="s">
        <v>92</v>
      </c>
      <c r="V116" s="104" t="s">
        <v>92</v>
      </c>
      <c r="W116" s="104" t="s">
        <v>92</v>
      </c>
      <c r="X116" s="104" t="s">
        <v>92</v>
      </c>
      <c r="Y116" s="104" t="s">
        <v>92</v>
      </c>
      <c r="Z116" s="104" t="s">
        <v>92</v>
      </c>
    </row>
    <row r="117" spans="4:28">
      <c r="D117"/>
      <c r="O117"/>
    </row>
    <row r="118" spans="4:28">
      <c r="D118"/>
      <c r="O118"/>
    </row>
    <row r="119" spans="4:28">
      <c r="D119"/>
      <c r="O119"/>
    </row>
    <row r="120" spans="4:28">
      <c r="D120"/>
      <c r="O120"/>
    </row>
    <row r="121" spans="4:28">
      <c r="D121"/>
      <c r="O121"/>
    </row>
    <row r="122" spans="4:28">
      <c r="D122"/>
      <c r="O122"/>
    </row>
    <row r="123" spans="4:28">
      <c r="D123"/>
      <c r="O123"/>
    </row>
    <row r="124" spans="4:28">
      <c r="D124"/>
      <c r="O124"/>
    </row>
    <row r="125" spans="4:28">
      <c r="D125"/>
      <c r="O125"/>
    </row>
    <row r="126" spans="4:28">
      <c r="D126"/>
      <c r="O126"/>
    </row>
    <row r="127" spans="4:28">
      <c r="D127"/>
      <c r="O127"/>
    </row>
    <row r="128" spans="4:28">
      <c r="D128"/>
      <c r="O128"/>
    </row>
    <row r="129" spans="4:15">
      <c r="D129"/>
      <c r="O129"/>
    </row>
    <row r="130" spans="4:15">
      <c r="D130"/>
      <c r="O130"/>
    </row>
    <row r="131" spans="4:15">
      <c r="D131"/>
      <c r="O131"/>
    </row>
    <row r="132" spans="4:15">
      <c r="D132"/>
      <c r="O132"/>
    </row>
    <row r="133" spans="4:15">
      <c r="D133"/>
      <c r="O133"/>
    </row>
    <row r="134" spans="4:15">
      <c r="D134"/>
      <c r="O134"/>
    </row>
    <row r="135" spans="4:15">
      <c r="D135"/>
      <c r="O135"/>
    </row>
    <row r="136" spans="4:15">
      <c r="D136"/>
      <c r="O136"/>
    </row>
    <row r="137" spans="4:15">
      <c r="D137"/>
      <c r="O137"/>
    </row>
    <row r="138" spans="4:15">
      <c r="D138"/>
      <c r="O138"/>
    </row>
    <row r="139" spans="4:15">
      <c r="D139"/>
      <c r="O139"/>
    </row>
    <row r="140" spans="4:15">
      <c r="D140"/>
      <c r="O140"/>
    </row>
    <row r="141" spans="4:15">
      <c r="D141"/>
      <c r="O141"/>
    </row>
    <row r="142" spans="4:15">
      <c r="D142"/>
      <c r="O142"/>
    </row>
    <row r="143" spans="4:15">
      <c r="D143"/>
      <c r="O143"/>
    </row>
    <row r="144" spans="4:15">
      <c r="D144"/>
      <c r="O144"/>
    </row>
    <row r="145" spans="4:15">
      <c r="D145"/>
      <c r="O145"/>
    </row>
    <row r="146" spans="4:15">
      <c r="D146"/>
      <c r="O146"/>
    </row>
    <row r="147" spans="4:15">
      <c r="D147"/>
      <c r="O147"/>
    </row>
    <row r="148" spans="4:15">
      <c r="D148"/>
      <c r="O148"/>
    </row>
    <row r="149" spans="4:15">
      <c r="D149"/>
      <c r="O149"/>
    </row>
    <row r="150" spans="4:15">
      <c r="D150"/>
      <c r="O150"/>
    </row>
    <row r="151" spans="4:15">
      <c r="D151"/>
      <c r="O151"/>
    </row>
    <row r="152" spans="4:15">
      <c r="D152"/>
      <c r="O152"/>
    </row>
    <row r="153" spans="4:15">
      <c r="D153"/>
      <c r="O153"/>
    </row>
    <row r="154" spans="4:15">
      <c r="D154"/>
      <c r="O154"/>
    </row>
    <row r="155" spans="4:15">
      <c r="D155"/>
      <c r="O155"/>
    </row>
    <row r="156" spans="4:15">
      <c r="D156"/>
      <c r="O156"/>
    </row>
    <row r="157" spans="4:15">
      <c r="D157"/>
      <c r="O157"/>
    </row>
    <row r="158" spans="4:15">
      <c r="D158"/>
      <c r="O158"/>
    </row>
    <row r="159" spans="4:15">
      <c r="D159"/>
      <c r="O159"/>
    </row>
    <row r="160" spans="4:15">
      <c r="D160"/>
      <c r="O160"/>
    </row>
    <row r="161" spans="10:14">
      <c r="J161" s="137">
        <v>92.5</v>
      </c>
      <c r="K161" s="137">
        <v>370.39</v>
      </c>
      <c r="L161" s="137">
        <f>(630-80)/5*4.75/1.2</f>
        <v>435.41666666666669</v>
      </c>
      <c r="M161" s="137">
        <v>385.98</v>
      </c>
      <c r="N161" s="137">
        <v>353.97</v>
      </c>
    </row>
    <row r="162" spans="10:14">
      <c r="J162" s="137">
        <v>90</v>
      </c>
      <c r="K162" s="137">
        <v>364.73</v>
      </c>
      <c r="L162" s="137">
        <f>(630-84)/5*4.75/1.2</f>
        <v>432.25000000000006</v>
      </c>
      <c r="M162" s="137">
        <v>380.39</v>
      </c>
      <c r="N162" s="137">
        <v>348.22</v>
      </c>
    </row>
  </sheetData>
  <mergeCells count="8">
    <mergeCell ref="D109:Z109"/>
    <mergeCell ref="F2:G2"/>
    <mergeCell ref="C1:E1"/>
    <mergeCell ref="A26:B26"/>
    <mergeCell ref="E17:F17"/>
    <mergeCell ref="D82:Z82"/>
    <mergeCell ref="D91:Z91"/>
    <mergeCell ref="D100:Z100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AT162"/>
  <sheetViews>
    <sheetView zoomScale="80" zoomScaleNormal="80" workbookViewId="0">
      <selection activeCell="D32" sqref="D32:H35"/>
    </sheetView>
  </sheetViews>
  <sheetFormatPr defaultRowHeight="15"/>
  <cols>
    <col min="1" max="2" width="9.85546875" customWidth="1"/>
    <col min="4" max="4" width="10" style="1" customWidth="1"/>
    <col min="15" max="15" width="9.140625" style="13"/>
  </cols>
  <sheetData>
    <row r="1" spans="1:46">
      <c r="A1" s="7" t="s">
        <v>0</v>
      </c>
      <c r="B1" s="26">
        <f>Plan1!$B$1</f>
        <v>246.59</v>
      </c>
      <c r="C1" s="238" t="s">
        <v>46</v>
      </c>
      <c r="D1" s="238"/>
      <c r="E1" s="238"/>
      <c r="F1" s="151"/>
      <c r="G1" s="151"/>
      <c r="H1" s="151"/>
      <c r="I1" s="151"/>
      <c r="R1" s="1" t="s">
        <v>12</v>
      </c>
      <c r="S1" s="1"/>
      <c r="T1" s="1"/>
      <c r="U1" s="1" t="s">
        <v>13</v>
      </c>
      <c r="V1" s="1"/>
      <c r="W1" s="1"/>
      <c r="X1" s="1" t="s">
        <v>8</v>
      </c>
      <c r="Y1" s="1"/>
      <c r="Z1" s="1"/>
      <c r="AA1" s="1" t="s">
        <v>9</v>
      </c>
      <c r="AK1" s="1" t="s">
        <v>12</v>
      </c>
      <c r="AL1" s="1"/>
      <c r="AM1" s="1"/>
      <c r="AN1" s="1" t="s">
        <v>13</v>
      </c>
      <c r="AO1" s="1"/>
      <c r="AP1" s="1"/>
      <c r="AQ1" s="1" t="s">
        <v>8</v>
      </c>
      <c r="AR1" s="1"/>
      <c r="AS1" s="1"/>
      <c r="AT1" s="1" t="s">
        <v>9</v>
      </c>
    </row>
    <row r="2" spans="1:46">
      <c r="A2" s="7" t="s">
        <v>1</v>
      </c>
      <c r="B2" s="27">
        <f>Plan1!$B$2</f>
        <v>6.0220000000000002</v>
      </c>
      <c r="C2" s="5"/>
      <c r="D2" s="26">
        <f>B1</f>
        <v>246.59</v>
      </c>
      <c r="F2" s="237" t="s">
        <v>139</v>
      </c>
      <c r="G2" s="237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50" t="s">
        <v>10</v>
      </c>
      <c r="Q2" s="150">
        <v>0</v>
      </c>
      <c r="R2" s="150">
        <f>K3</f>
        <v>331.41</v>
      </c>
      <c r="S2" s="150" t="s">
        <v>10</v>
      </c>
      <c r="T2" s="150">
        <v>0</v>
      </c>
      <c r="U2" s="150">
        <f>L3</f>
        <v>344.375</v>
      </c>
      <c r="V2" s="150" t="s">
        <v>10</v>
      </c>
      <c r="W2" s="150">
        <v>0</v>
      </c>
      <c r="X2" s="150">
        <f>M3</f>
        <v>344.3</v>
      </c>
      <c r="Y2" s="150" t="s">
        <v>10</v>
      </c>
      <c r="Z2" s="150">
        <v>0</v>
      </c>
      <c r="AA2" s="150">
        <f>N3</f>
        <v>317.74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50" t="s">
        <v>27</v>
      </c>
      <c r="AJ2" s="150">
        <v>0</v>
      </c>
      <c r="AK2" s="150">
        <f>AD3</f>
        <v>331.41</v>
      </c>
      <c r="AL2" s="150" t="s">
        <v>27</v>
      </c>
      <c r="AM2" s="150">
        <v>0</v>
      </c>
      <c r="AN2" s="150">
        <f>AE3</f>
        <v>344.375</v>
      </c>
      <c r="AO2" s="150" t="s">
        <v>27</v>
      </c>
      <c r="AP2" s="150">
        <v>0</v>
      </c>
      <c r="AQ2" s="150">
        <f>AF3</f>
        <v>344.3</v>
      </c>
      <c r="AR2" s="150" t="s">
        <v>27</v>
      </c>
      <c r="AS2" s="150">
        <v>0</v>
      </c>
      <c r="AT2" s="150">
        <f>AG3</f>
        <v>317.74</v>
      </c>
    </row>
    <row r="3" spans="1:46">
      <c r="A3" s="7" t="s">
        <v>2</v>
      </c>
      <c r="B3" s="27">
        <f>Plan1!$B$3</f>
        <v>1</v>
      </c>
      <c r="C3" s="5"/>
      <c r="D3" s="26">
        <f>A9</f>
        <v>258.43625000000003</v>
      </c>
      <c r="F3" s="150" t="s">
        <v>45</v>
      </c>
      <c r="G3" s="23">
        <f>A30</f>
        <v>50511.005721607711</v>
      </c>
      <c r="J3" s="150">
        <v>100</v>
      </c>
      <c r="K3" s="150">
        <v>331.41</v>
      </c>
      <c r="L3" s="150">
        <f>(630-21)/7*4.75/1.2</f>
        <v>344.375</v>
      </c>
      <c r="M3" s="150">
        <v>344.3</v>
      </c>
      <c r="N3" s="150">
        <v>317.74</v>
      </c>
      <c r="O3" s="139"/>
      <c r="P3" s="150" t="s">
        <v>10</v>
      </c>
      <c r="Q3" s="150">
        <v>-5</v>
      </c>
      <c r="R3" s="150">
        <f>K8</f>
        <v>337.83</v>
      </c>
      <c r="S3" s="150" t="s">
        <v>10</v>
      </c>
      <c r="T3" s="150">
        <v>-5</v>
      </c>
      <c r="U3" s="150">
        <f>L8</f>
        <v>355.11904761904759</v>
      </c>
      <c r="V3" s="150" t="s">
        <v>10</v>
      </c>
      <c r="W3" s="150">
        <v>-5</v>
      </c>
      <c r="X3" s="150">
        <f>M8</f>
        <v>350.94</v>
      </c>
      <c r="Y3" s="150" t="s">
        <v>10</v>
      </c>
      <c r="Z3" s="150">
        <v>-5</v>
      </c>
      <c r="AA3" s="150">
        <f>N8</f>
        <v>323.89999999999998</v>
      </c>
      <c r="AC3" s="150">
        <v>100</v>
      </c>
      <c r="AD3" s="150">
        <f>K3</f>
        <v>331.41</v>
      </c>
      <c r="AE3" s="150">
        <f t="shared" ref="AE3:AG5" si="0">L3</f>
        <v>344.375</v>
      </c>
      <c r="AF3" s="150">
        <f t="shared" si="0"/>
        <v>344.3</v>
      </c>
      <c r="AG3" s="150">
        <f t="shared" si="0"/>
        <v>317.74</v>
      </c>
      <c r="AI3" s="150" t="s">
        <v>27</v>
      </c>
      <c r="AJ3" s="150">
        <v>5</v>
      </c>
      <c r="AK3" s="150">
        <f>AD8</f>
        <v>0</v>
      </c>
      <c r="AL3" s="150" t="s">
        <v>27</v>
      </c>
      <c r="AM3" s="150">
        <v>5</v>
      </c>
      <c r="AN3" s="150">
        <f>AE8</f>
        <v>0</v>
      </c>
      <c r="AO3" s="150" t="s">
        <v>27</v>
      </c>
      <c r="AP3" s="150">
        <v>5</v>
      </c>
      <c r="AQ3" s="150">
        <f>AF8</f>
        <v>0</v>
      </c>
      <c r="AR3" s="150" t="s">
        <v>27</v>
      </c>
      <c r="AS3" s="150">
        <v>5</v>
      </c>
      <c r="AT3" s="150">
        <f>AG8</f>
        <v>0</v>
      </c>
    </row>
    <row r="4" spans="1:46">
      <c r="A4" s="7" t="s">
        <v>3</v>
      </c>
      <c r="B4" s="28">
        <f>Plan1!$B$4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255.62232490614866</v>
      </c>
      <c r="F4" s="150" t="s">
        <v>140</v>
      </c>
      <c r="G4" s="24">
        <f>B30</f>
        <v>-1155328257.7335587</v>
      </c>
      <c r="J4" s="150">
        <v>90</v>
      </c>
      <c r="K4" s="150">
        <v>306.45</v>
      </c>
      <c r="L4" s="150">
        <f>(630-55)/7*4.75/1.2</f>
        <v>325.14880952380952</v>
      </c>
      <c r="M4" s="150">
        <v>319.58</v>
      </c>
      <c r="N4" s="150">
        <v>292.69</v>
      </c>
      <c r="O4" s="140"/>
      <c r="P4" s="150" t="s">
        <v>10</v>
      </c>
      <c r="Q4" s="150">
        <v>-10</v>
      </c>
      <c r="R4" s="150">
        <f>K13</f>
        <v>343.52</v>
      </c>
      <c r="S4" s="150" t="s">
        <v>10</v>
      </c>
      <c r="T4" s="150">
        <v>-10</v>
      </c>
      <c r="U4" s="150">
        <f>L13</f>
        <v>364.82638888888891</v>
      </c>
      <c r="V4" s="150" t="s">
        <v>10</v>
      </c>
      <c r="W4" s="150">
        <v>-10</v>
      </c>
      <c r="X4" s="150">
        <f>M13</f>
        <v>356.85</v>
      </c>
      <c r="Y4" s="150" t="s">
        <v>10</v>
      </c>
      <c r="Z4" s="150">
        <v>-10</v>
      </c>
      <c r="AA4" s="150">
        <f>N13</f>
        <v>329.36</v>
      </c>
      <c r="AC4" s="150">
        <v>90</v>
      </c>
      <c r="AD4" s="150">
        <f t="shared" ref="AD4:AD5" si="1">K4</f>
        <v>306.45</v>
      </c>
      <c r="AE4" s="150">
        <f t="shared" si="0"/>
        <v>325.14880952380952</v>
      </c>
      <c r="AF4" s="150">
        <f t="shared" si="0"/>
        <v>319.58</v>
      </c>
      <c r="AG4" s="150">
        <f t="shared" si="0"/>
        <v>292.69</v>
      </c>
      <c r="AI4" s="150" t="s">
        <v>27</v>
      </c>
      <c r="AJ4" s="150">
        <v>10</v>
      </c>
      <c r="AK4" s="150">
        <f>AD13</f>
        <v>0</v>
      </c>
      <c r="AL4" s="150" t="s">
        <v>27</v>
      </c>
      <c r="AM4" s="150">
        <v>10</v>
      </c>
      <c r="AN4" s="150">
        <f>AE13</f>
        <v>0</v>
      </c>
      <c r="AO4" s="150" t="s">
        <v>27</v>
      </c>
      <c r="AP4" s="150">
        <v>10</v>
      </c>
      <c r="AQ4" s="150">
        <f>AF13</f>
        <v>0</v>
      </c>
      <c r="AR4" s="150" t="s">
        <v>27</v>
      </c>
      <c r="AS4" s="150">
        <v>10</v>
      </c>
      <c r="AT4" s="150">
        <f>AG13</f>
        <v>0</v>
      </c>
    </row>
    <row r="5" spans="1:46">
      <c r="A5" s="7" t="s">
        <v>4</v>
      </c>
      <c r="B5" s="7">
        <f>Plan1!$B$5</f>
        <v>-1.8784359062401523</v>
      </c>
      <c r="C5" s="2"/>
      <c r="F5" s="150" t="s">
        <v>127</v>
      </c>
      <c r="G5" s="25">
        <f>A32</f>
        <v>152542.71666666667</v>
      </c>
      <c r="J5" s="150">
        <v>80</v>
      </c>
      <c r="K5" s="150">
        <v>278.20999999999998</v>
      </c>
      <c r="L5" s="150">
        <f>(630-94)/7*4.75/1.2</f>
        <v>303.09523809523813</v>
      </c>
      <c r="M5" s="150">
        <v>291.22000000000003</v>
      </c>
      <c r="N5" s="150">
        <v>264.45999999999998</v>
      </c>
      <c r="O5" s="140"/>
      <c r="P5" s="150" t="s">
        <v>10</v>
      </c>
      <c r="Q5" s="150">
        <v>-15</v>
      </c>
      <c r="R5" s="150">
        <f>K18</f>
        <v>348.62</v>
      </c>
      <c r="S5" s="150" t="s">
        <v>10</v>
      </c>
      <c r="T5" s="150">
        <v>-15</v>
      </c>
      <c r="U5" s="150">
        <f>L18</f>
        <v>373.40277777777777</v>
      </c>
      <c r="V5" s="150" t="s">
        <v>10</v>
      </c>
      <c r="W5" s="150">
        <v>-15</v>
      </c>
      <c r="X5" s="150">
        <f>M18</f>
        <v>362.14</v>
      </c>
      <c r="Y5" s="150" t="s">
        <v>10</v>
      </c>
      <c r="Z5" s="150">
        <v>-15</v>
      </c>
      <c r="AA5" s="150">
        <f>N18</f>
        <v>334.26</v>
      </c>
      <c r="AC5" s="150">
        <v>80</v>
      </c>
      <c r="AD5" s="150">
        <f t="shared" si="1"/>
        <v>278.20999999999998</v>
      </c>
      <c r="AE5" s="150">
        <f t="shared" si="0"/>
        <v>303.09523809523813</v>
      </c>
      <c r="AF5" s="150">
        <f t="shared" si="0"/>
        <v>291.22000000000003</v>
      </c>
      <c r="AG5" s="150">
        <f t="shared" si="0"/>
        <v>264.45999999999998</v>
      </c>
      <c r="AI5" s="150" t="s">
        <v>27</v>
      </c>
      <c r="AJ5" s="150">
        <v>15</v>
      </c>
      <c r="AK5" s="150">
        <f>AD18</f>
        <v>0</v>
      </c>
      <c r="AL5" s="150" t="s">
        <v>27</v>
      </c>
      <c r="AM5" s="150">
        <v>15</v>
      </c>
      <c r="AN5" s="150">
        <f>AE18</f>
        <v>0</v>
      </c>
      <c r="AO5" s="150" t="s">
        <v>27</v>
      </c>
      <c r="AP5" s="150">
        <v>15</v>
      </c>
      <c r="AQ5" s="150">
        <f>AF18</f>
        <v>0</v>
      </c>
      <c r="AR5" s="150" t="s">
        <v>27</v>
      </c>
      <c r="AS5" s="150">
        <v>15</v>
      </c>
      <c r="AT5" s="150">
        <f>AG18</f>
        <v>0</v>
      </c>
    </row>
    <row r="6" spans="1:46">
      <c r="A6" s="7" t="s">
        <v>5</v>
      </c>
      <c r="B6" s="29">
        <f>Plan1!$B$6</f>
        <v>0.85</v>
      </c>
      <c r="C6" s="6"/>
      <c r="F6" s="150" t="s">
        <v>128</v>
      </c>
      <c r="G6" s="11">
        <f>B32</f>
        <v>29.641993678903606</v>
      </c>
      <c r="O6" s="140"/>
      <c r="P6" s="150" t="s">
        <v>10</v>
      </c>
      <c r="Q6" s="150">
        <v>-20</v>
      </c>
      <c r="R6" s="150">
        <f>K23</f>
        <v>353.23</v>
      </c>
      <c r="S6" s="150" t="s">
        <v>10</v>
      </c>
      <c r="T6" s="150">
        <v>-20</v>
      </c>
      <c r="U6" s="150">
        <f>L23</f>
        <v>381.31944444444446</v>
      </c>
      <c r="V6" s="150" t="s">
        <v>10</v>
      </c>
      <c r="W6" s="150">
        <v>-20</v>
      </c>
      <c r="X6" s="150">
        <f>M23</f>
        <v>366.93</v>
      </c>
      <c r="Y6" s="150" t="s">
        <v>10</v>
      </c>
      <c r="Z6" s="150">
        <v>-20</v>
      </c>
      <c r="AA6" s="150">
        <f>N23</f>
        <v>338.67</v>
      </c>
      <c r="AI6" s="150" t="s">
        <v>27</v>
      </c>
      <c r="AJ6" s="150">
        <v>20</v>
      </c>
      <c r="AK6" s="150">
        <f>AD23</f>
        <v>0</v>
      </c>
      <c r="AL6" s="150" t="s">
        <v>27</v>
      </c>
      <c r="AM6" s="150">
        <v>20</v>
      </c>
      <c r="AN6" s="150">
        <f>AE23</f>
        <v>0</v>
      </c>
      <c r="AO6" s="150" t="s">
        <v>27</v>
      </c>
      <c r="AP6" s="150">
        <v>20</v>
      </c>
      <c r="AQ6" s="150">
        <f>AF23</f>
        <v>0</v>
      </c>
      <c r="AR6" s="150" t="s">
        <v>27</v>
      </c>
      <c r="AS6" s="150">
        <v>20</v>
      </c>
      <c r="AT6" s="150">
        <f>AG23</f>
        <v>0</v>
      </c>
    </row>
    <row r="7" spans="1:46">
      <c r="D7"/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P7" s="150" t="s">
        <v>10</v>
      </c>
      <c r="Q7" s="150">
        <v>-25</v>
      </c>
      <c r="R7" s="150">
        <f>K28</f>
        <v>357.43</v>
      </c>
      <c r="S7" s="150" t="s">
        <v>10</v>
      </c>
      <c r="T7" s="150">
        <v>-25</v>
      </c>
      <c r="U7" s="150">
        <f>L28</f>
        <v>388.57638888888891</v>
      </c>
      <c r="V7" s="150" t="s">
        <v>10</v>
      </c>
      <c r="W7" s="150">
        <v>-25</v>
      </c>
      <c r="X7" s="150">
        <f>M28</f>
        <v>371.3</v>
      </c>
      <c r="Y7" s="150" t="s">
        <v>10</v>
      </c>
      <c r="Z7" s="150">
        <v>-25</v>
      </c>
      <c r="AA7" s="150">
        <f>N28</f>
        <v>342.69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50" t="s">
        <v>28</v>
      </c>
      <c r="AJ7" s="9">
        <f>$B$2</f>
        <v>6.0220000000000002</v>
      </c>
      <c r="AK7" s="11">
        <f>AK2*(AJ7-AJ3)*(AJ7-AJ4)*(AJ7-AJ5)*(AJ7-AJ6)/((AJ2-AJ3)*(AJ2-AJ4)*(AJ2-AJ5)*(AJ2-AJ6))+AK3*(AJ7-AJ2)*(AJ7-AJ4)*(AJ7-AJ5)*(AJ7-AJ6)/((AJ3-AJ2)*(AJ3-AJ4)*(AJ3-AJ5)*(AJ3-AJ6))+AK4*(AJ7-AJ2)*(AJ7-AJ3)*(AJ7-AJ5)*(AJ7-AJ6)/((AJ4-AJ2)*(AJ4-AJ3)*(AJ4-AJ5)*(AJ4-AJ6))+AK5*(AJ7-AJ2)*(AJ7-AJ3)*(AJ7-AJ4)*(AJ7-AJ6)/((AJ5-AJ2)*(AJ5-AJ3)*(AJ5-AJ4)*(AJ5-AJ6))+AK6*(AJ7-AJ2)*(AJ7-AJ3)*(AJ7-AJ4)*(AJ7-AJ5)/((AJ6-AJ2)*(AJ6-AJ3)*(AJ6-AJ4)*(AJ6-AJ5))</f>
        <v>-11.272355101768062</v>
      </c>
      <c r="AL7" s="150" t="s">
        <v>28</v>
      </c>
      <c r="AM7" s="9">
        <f>$B$2</f>
        <v>6.0220000000000002</v>
      </c>
      <c r="AN7" s="11">
        <f>AN2*(AM7-AM3)*(AM7-AM4)*(AM7-AM5)*(AM7-AM6)/((AM2-AM3)*(AM2-AM4)*(AM2-AM5)*(AM2-AM6))+AN3*(AM7-AM2)*(AM7-AM4)*(AM7-AM5)*(AM7-AM6)/((AM3-AM2)*(AM3-AM4)*(AM3-AM5)*(AM3-AM6))+AN4*(AM7-AM2)*(AM7-AM3)*(AM7-AM5)*(AM7-AM6)/((AM4-AM2)*(AM4-AM3)*(AM4-AM5)*(AM4-AM6))+AN5*(AM7-AM2)*(AM7-AM3)*(AM7-AM4)*(AM7-AM6)/((AM5-AM2)*(AM5-AM3)*(AM5-AM4)*(AM5-AM6))+AN6*(AM7-AM2)*(AM7-AM3)*(AM7-AM4)*(AM7-AM5)/((AM6-AM2)*(AM6-AM3)*(AM6-AM4)*(AM6-AM5))</f>
        <v>-11.713337823757206</v>
      </c>
      <c r="AO7" s="150" t="s">
        <v>28</v>
      </c>
      <c r="AP7" s="9">
        <f>$B$2</f>
        <v>6.0220000000000002</v>
      </c>
      <c r="AQ7" s="11">
        <f t="shared" ref="AQ7:AT7" si="2">AQ2*(AP7-AP3)*(AP7-AP4)*(AP7-AP5)*(AP7-AP6)/((AP2-AP3)*(AP2-AP4)*(AP2-AP5)*(AP2-AP6))+AQ3*(AP7-AP2)*(AP7-AP4)*(AP7-AP5)*(AP7-AP6)/((AP3-AP2)*(AP3-AP4)*(AP3-AP5)*(AP3-AP6))+AQ4*(AP7-AP2)*(AP7-AP3)*(AP7-AP5)*(AP7-AP6)/((AP4-AP2)*(AP4-AP3)*(AP4-AP5)*(AP4-AP6))+AQ5*(AP7-AP2)*(AP7-AP3)*(AP7-AP4)*(AP7-AP6)/((AP5-AP2)*(AP5-AP3)*(AP5-AP4)*(AP5-AP6))+AQ6*(AP7-AP2)*(AP7-AP3)*(AP7-AP4)*(AP7-AP5)/((AP6-AP2)*(AP6-AP3)*(AP6-AP4)*(AP6-AP5))</f>
        <v>-11.710786824594139</v>
      </c>
      <c r="AR7" s="150" t="s">
        <v>28</v>
      </c>
      <c r="AS7" s="9">
        <f>$B$2</f>
        <v>6.0220000000000002</v>
      </c>
      <c r="AT7" s="11">
        <f t="shared" si="2"/>
        <v>-10.80739298764607</v>
      </c>
    </row>
    <row r="8" spans="1:46">
      <c r="A8" s="98" t="s">
        <v>138</v>
      </c>
      <c r="D8"/>
      <c r="E8" s="1" t="s">
        <v>6</v>
      </c>
      <c r="F8" s="1" t="s">
        <v>14</v>
      </c>
      <c r="G8" s="14" t="s">
        <v>15</v>
      </c>
      <c r="J8" s="150">
        <v>100</v>
      </c>
      <c r="K8" s="150">
        <v>337.83</v>
      </c>
      <c r="L8" s="150">
        <f>(630-2)/7*4.75/1.2</f>
        <v>355.11904761904759</v>
      </c>
      <c r="M8" s="150">
        <v>350.94</v>
      </c>
      <c r="N8" s="150">
        <v>323.89999999999998</v>
      </c>
      <c r="P8" s="150" t="s">
        <v>11</v>
      </c>
      <c r="Q8" s="9">
        <f>$B$2</f>
        <v>6.0220000000000002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322.41953140160945</v>
      </c>
      <c r="S8" s="150" t="s">
        <v>11</v>
      </c>
      <c r="T8" s="9">
        <f>$B$2</f>
        <v>6.0220000000000002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332.64333141855275</v>
      </c>
      <c r="V8" s="150" t="s">
        <v>11</v>
      </c>
      <c r="W8" s="9">
        <f>$B$2</f>
        <v>6.0220000000000002</v>
      </c>
      <c r="X8" s="11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335.27021348874393</v>
      </c>
      <c r="Y8" s="150" t="s">
        <v>11</v>
      </c>
      <c r="Z8" s="9">
        <f>$B$2</f>
        <v>6.0220000000000002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308.93368273678266</v>
      </c>
      <c r="AC8" s="150">
        <v>100</v>
      </c>
      <c r="AD8" s="150"/>
      <c r="AE8" s="150"/>
      <c r="AF8" s="150"/>
      <c r="AG8" s="150"/>
    </row>
    <row r="9" spans="1:46">
      <c r="A9" s="4">
        <f>0*(B6-0.9)*(B6-0.8)/((1-0.9)*(1-0.8))+7.7*(B6-1)*(B6-0.8)/((0.9-1)*(0.9-0.8))+16.19*(B6-1)*(B6-0.9)/((0.8-1)*(0.8-0.9))+B1</f>
        <v>258.43625000000003</v>
      </c>
      <c r="D9" s="150">
        <v>100</v>
      </c>
      <c r="E9" s="150">
        <f>K3</f>
        <v>331.41</v>
      </c>
      <c r="F9" s="150">
        <v>332.34000000000003</v>
      </c>
      <c r="G9" s="150">
        <v>330.17</v>
      </c>
      <c r="J9" s="150">
        <v>90</v>
      </c>
      <c r="K9" s="150">
        <v>313.45999999999998</v>
      </c>
      <c r="L9" s="150">
        <f>(630-34)/7*4.75/1.2</f>
        <v>337.02380952380952</v>
      </c>
      <c r="M9" s="150">
        <v>326.86</v>
      </c>
      <c r="N9" s="150">
        <v>299.39999999999998</v>
      </c>
      <c r="R9" s="1" t="s">
        <v>12</v>
      </c>
      <c r="S9" s="1"/>
      <c r="T9" s="1"/>
      <c r="U9" s="1" t="s">
        <v>13</v>
      </c>
      <c r="V9" s="1"/>
      <c r="W9" s="1"/>
      <c r="X9" s="1" t="s">
        <v>8</v>
      </c>
      <c r="Y9" s="1"/>
      <c r="Z9" s="1"/>
      <c r="AA9" s="1" t="s">
        <v>9</v>
      </c>
      <c r="AC9" s="150">
        <v>90</v>
      </c>
      <c r="AD9" s="150"/>
      <c r="AE9" s="150"/>
      <c r="AF9" s="150"/>
      <c r="AG9" s="150"/>
      <c r="AI9" s="1"/>
      <c r="AJ9" s="1"/>
      <c r="AK9" s="1" t="s">
        <v>12</v>
      </c>
      <c r="AL9" s="1"/>
      <c r="AM9" s="1"/>
      <c r="AN9" s="1" t="s">
        <v>13</v>
      </c>
      <c r="AO9" s="1"/>
      <c r="AP9" s="1"/>
      <c r="AQ9" s="1" t="s">
        <v>8</v>
      </c>
      <c r="AR9" s="1"/>
      <c r="AS9" s="1"/>
      <c r="AT9" s="1" t="s">
        <v>9</v>
      </c>
    </row>
    <row r="10" spans="1:46">
      <c r="D10" s="150">
        <v>90</v>
      </c>
      <c r="E10" s="150">
        <f t="shared" ref="E10:E11" si="3">K4</f>
        <v>306.45</v>
      </c>
      <c r="F10" s="150">
        <v>308.31</v>
      </c>
      <c r="G10" s="150">
        <v>305.27999999999997</v>
      </c>
      <c r="J10" s="150">
        <v>80</v>
      </c>
      <c r="K10" s="150">
        <v>285.82</v>
      </c>
      <c r="L10" s="150">
        <f>(630-72)/7*4.75/1.2</f>
        <v>315.53571428571428</v>
      </c>
      <c r="M10" s="150">
        <v>299.17</v>
      </c>
      <c r="N10" s="150">
        <v>271.70999999999998</v>
      </c>
      <c r="P10" s="150" t="s">
        <v>10</v>
      </c>
      <c r="Q10" s="150">
        <v>0</v>
      </c>
      <c r="R10" s="150">
        <f>K4</f>
        <v>306.45</v>
      </c>
      <c r="S10" s="150" t="s">
        <v>10</v>
      </c>
      <c r="T10" s="150">
        <v>0</v>
      </c>
      <c r="U10" s="150">
        <f>L4</f>
        <v>325.14880952380952</v>
      </c>
      <c r="V10" s="150" t="s">
        <v>10</v>
      </c>
      <c r="W10" s="150">
        <v>0</v>
      </c>
      <c r="X10" s="150">
        <f>M4</f>
        <v>319.58</v>
      </c>
      <c r="Y10" s="150" t="s">
        <v>10</v>
      </c>
      <c r="Z10" s="150">
        <v>0</v>
      </c>
      <c r="AA10" s="150">
        <f>N4</f>
        <v>292.69</v>
      </c>
      <c r="AC10" s="150">
        <v>80</v>
      </c>
      <c r="AD10" s="150"/>
      <c r="AE10" s="150"/>
      <c r="AF10" s="150"/>
      <c r="AG10" s="150"/>
      <c r="AI10" s="150" t="s">
        <v>27</v>
      </c>
      <c r="AJ10" s="150">
        <v>0</v>
      </c>
      <c r="AK10" s="150">
        <f>AD4</f>
        <v>306.45</v>
      </c>
      <c r="AL10" s="150" t="s">
        <v>27</v>
      </c>
      <c r="AM10" s="150">
        <v>0</v>
      </c>
      <c r="AN10" s="150">
        <f>AE4</f>
        <v>325.14880952380952</v>
      </c>
      <c r="AO10" s="150" t="s">
        <v>27</v>
      </c>
      <c r="AP10" s="150">
        <v>0</v>
      </c>
      <c r="AQ10" s="150">
        <f>AF4</f>
        <v>319.58</v>
      </c>
      <c r="AR10" s="150" t="s">
        <v>27</v>
      </c>
      <c r="AS10" s="150">
        <v>0</v>
      </c>
      <c r="AT10" s="150">
        <f>AG4</f>
        <v>292.69</v>
      </c>
    </row>
    <row r="11" spans="1:46">
      <c r="A11" s="150" t="s">
        <v>23</v>
      </c>
      <c r="B11" s="150">
        <f>Plan1!$B$17</f>
        <v>86</v>
      </c>
      <c r="D11" s="150">
        <v>80</v>
      </c>
      <c r="E11" s="150">
        <f t="shared" si="3"/>
        <v>278.20999999999998</v>
      </c>
      <c r="F11" s="150">
        <v>278.88</v>
      </c>
      <c r="G11" s="150">
        <v>277.14999999999998</v>
      </c>
      <c r="P11" s="150" t="s">
        <v>10</v>
      </c>
      <c r="Q11" s="150">
        <v>-5</v>
      </c>
      <c r="R11" s="150">
        <f>K9</f>
        <v>313.45999999999998</v>
      </c>
      <c r="S11" s="150" t="s">
        <v>10</v>
      </c>
      <c r="T11" s="150">
        <v>-5</v>
      </c>
      <c r="U11" s="150">
        <f>L9</f>
        <v>337.02380952380952</v>
      </c>
      <c r="V11" s="150" t="s">
        <v>10</v>
      </c>
      <c r="W11" s="150">
        <v>-5</v>
      </c>
      <c r="X11" s="150">
        <f>M9</f>
        <v>326.86</v>
      </c>
      <c r="Y11" s="150" t="s">
        <v>10</v>
      </c>
      <c r="Z11" s="150">
        <v>-5</v>
      </c>
      <c r="AA11" s="150">
        <f>N9</f>
        <v>299.39999999999998</v>
      </c>
      <c r="AI11" s="150" t="s">
        <v>27</v>
      </c>
      <c r="AJ11" s="150">
        <v>5</v>
      </c>
      <c r="AK11" s="150">
        <f>AD9</f>
        <v>0</v>
      </c>
      <c r="AL11" s="150" t="s">
        <v>27</v>
      </c>
      <c r="AM11" s="150">
        <v>5</v>
      </c>
      <c r="AN11" s="150">
        <f>AE9</f>
        <v>0</v>
      </c>
      <c r="AO11" s="150" t="s">
        <v>27</v>
      </c>
      <c r="AP11" s="150">
        <v>5</v>
      </c>
      <c r="AQ11" s="150">
        <f>AF9</f>
        <v>0</v>
      </c>
      <c r="AR11" s="150" t="s">
        <v>27</v>
      </c>
      <c r="AS11" s="150">
        <v>5</v>
      </c>
      <c r="AT11" s="150">
        <f>AG9</f>
        <v>0</v>
      </c>
    </row>
    <row r="12" spans="1:46">
      <c r="A12" s="150" t="s">
        <v>24</v>
      </c>
      <c r="B12" s="150">
        <f>Plan1!$B$18</f>
        <v>49.06</v>
      </c>
      <c r="D12"/>
      <c r="F12" s="1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41"/>
      <c r="P12" s="150" t="s">
        <v>10</v>
      </c>
      <c r="Q12" s="150">
        <v>-10</v>
      </c>
      <c r="R12" s="150">
        <f>K14</f>
        <v>319.64999999999998</v>
      </c>
      <c r="S12" s="150" t="s">
        <v>10</v>
      </c>
      <c r="T12" s="150">
        <v>-10</v>
      </c>
      <c r="U12" s="150">
        <f>L14</f>
        <v>347.67361111111109</v>
      </c>
      <c r="V12" s="150" t="s">
        <v>10</v>
      </c>
      <c r="W12" s="150">
        <v>-10</v>
      </c>
      <c r="X12" s="150">
        <f>M14</f>
        <v>333.29</v>
      </c>
      <c r="Y12" s="150" t="s">
        <v>10</v>
      </c>
      <c r="Z12" s="150">
        <v>-10</v>
      </c>
      <c r="AA12" s="150">
        <f>N14</f>
        <v>305.32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50" t="s">
        <v>27</v>
      </c>
      <c r="AJ12" s="150">
        <v>10</v>
      </c>
      <c r="AK12" s="150">
        <f>AD14</f>
        <v>0</v>
      </c>
      <c r="AL12" s="150" t="s">
        <v>27</v>
      </c>
      <c r="AM12" s="150">
        <v>10</v>
      </c>
      <c r="AN12" s="150">
        <f>AE14</f>
        <v>0</v>
      </c>
      <c r="AO12" s="150" t="s">
        <v>27</v>
      </c>
      <c r="AP12" s="150">
        <v>10</v>
      </c>
      <c r="AQ12" s="150">
        <f>AF14</f>
        <v>0</v>
      </c>
      <c r="AR12" s="150" t="s">
        <v>27</v>
      </c>
      <c r="AS12" s="150">
        <v>10</v>
      </c>
      <c r="AT12" s="150">
        <f>AG14</f>
        <v>0</v>
      </c>
    </row>
    <row r="13" spans="1:46">
      <c r="A13" s="150" t="s">
        <v>25</v>
      </c>
      <c r="B13" s="150">
        <f>COS(RADIANS(B12))</f>
        <v>0.65526833938609963</v>
      </c>
      <c r="D13" s="150">
        <v>100</v>
      </c>
      <c r="E13" s="150">
        <f>E9</f>
        <v>331.41</v>
      </c>
      <c r="F13" s="11">
        <f>E9*((D9-(100/360))-D10)*((D9-(100/360))-D11)/((D9-D10)*(D9-D11))+E10*((D9-(100/360))-D9)*((D9-(100/360))-D11)/((D10-D9)*(D10-D11))+E11*((D9-(100/360))-D9)*((D9-(100/360))-D10)/((D11-D9)*(D11-D10))</f>
        <v>330.76095679012343</v>
      </c>
      <c r="G13" s="150">
        <f>G9</f>
        <v>330.17</v>
      </c>
      <c r="J13" s="150">
        <v>100</v>
      </c>
      <c r="K13" s="150">
        <v>343.52</v>
      </c>
      <c r="L13" s="150">
        <f>(630-77)/6*4.75/1.2</f>
        <v>364.82638888888891</v>
      </c>
      <c r="M13" s="150">
        <v>356.85</v>
      </c>
      <c r="N13" s="150">
        <v>329.36</v>
      </c>
      <c r="O13" s="141"/>
      <c r="P13" s="150" t="s">
        <v>10</v>
      </c>
      <c r="Q13" s="150">
        <v>-15</v>
      </c>
      <c r="R13" s="150">
        <f>K19</f>
        <v>325.17</v>
      </c>
      <c r="S13" s="150" t="s">
        <v>10</v>
      </c>
      <c r="T13" s="150">
        <v>-15</v>
      </c>
      <c r="U13" s="150">
        <f>L19</f>
        <v>356.90972222222223</v>
      </c>
      <c r="V13" s="150" t="s">
        <v>10</v>
      </c>
      <c r="W13" s="150">
        <v>-15</v>
      </c>
      <c r="X13" s="150">
        <f>M19</f>
        <v>339.03</v>
      </c>
      <c r="Y13" s="150" t="s">
        <v>10</v>
      </c>
      <c r="Z13" s="150">
        <v>-15</v>
      </c>
      <c r="AA13" s="150">
        <f>N19</f>
        <v>310.61</v>
      </c>
      <c r="AC13" s="150">
        <v>100</v>
      </c>
      <c r="AD13" s="150"/>
      <c r="AE13" s="150"/>
      <c r="AF13" s="150"/>
      <c r="AG13" s="150"/>
      <c r="AI13" s="150" t="s">
        <v>27</v>
      </c>
      <c r="AJ13" s="150">
        <v>15</v>
      </c>
      <c r="AK13" s="150">
        <f>AD19</f>
        <v>0</v>
      </c>
      <c r="AL13" s="150" t="s">
        <v>27</v>
      </c>
      <c r="AM13" s="150">
        <v>15</v>
      </c>
      <c r="AN13" s="150">
        <f>AE19</f>
        <v>0</v>
      </c>
      <c r="AO13" s="150" t="s">
        <v>27</v>
      </c>
      <c r="AP13" s="150">
        <v>15</v>
      </c>
      <c r="AQ13" s="150">
        <f>AF19</f>
        <v>0</v>
      </c>
      <c r="AR13" s="150" t="s">
        <v>27</v>
      </c>
      <c r="AS13" s="150">
        <v>15</v>
      </c>
      <c r="AT13" s="150">
        <f>AG19</f>
        <v>0</v>
      </c>
    </row>
    <row r="14" spans="1:46">
      <c r="A14" s="150" t="s">
        <v>26</v>
      </c>
      <c r="B14" s="150">
        <f>B5</f>
        <v>-1.8784359062401523</v>
      </c>
      <c r="D14" s="150">
        <v>90</v>
      </c>
      <c r="E14" s="150">
        <f>E10</f>
        <v>306.45</v>
      </c>
      <c r="F14" s="11">
        <f>E9*((D10-(100/360))-D10)*((D10-(100/360))-D11)/((D9-D10)*(D9-D11))+E10*((D10-(100/360))-D9)*((D10-(100/360))-D11)/((D10-D9)*(D10-D11))+E11*((D10-(100/360))-D9)*((D10-(100/360))-D10)/((D11-D9)*(D11-D10))</f>
        <v>305.70984567901229</v>
      </c>
      <c r="G14" s="150">
        <f>G10</f>
        <v>305.27999999999997</v>
      </c>
      <c r="J14" s="150">
        <v>90</v>
      </c>
      <c r="K14" s="150">
        <v>319.64999999999998</v>
      </c>
      <c r="L14" s="150">
        <f>(630-103)/6*4.75/1.2</f>
        <v>347.67361111111109</v>
      </c>
      <c r="M14" s="150">
        <v>333.29</v>
      </c>
      <c r="N14" s="150">
        <v>305.32</v>
      </c>
      <c r="O14" s="141"/>
      <c r="P14" s="150" t="s">
        <v>10</v>
      </c>
      <c r="Q14" s="150">
        <v>-20</v>
      </c>
      <c r="R14" s="150">
        <f>K24</f>
        <v>330.15</v>
      </c>
      <c r="S14" s="150" t="s">
        <v>10</v>
      </c>
      <c r="T14" s="150">
        <v>-20</v>
      </c>
      <c r="U14" s="150">
        <f>L24</f>
        <v>365.48611111111109</v>
      </c>
      <c r="V14" s="150" t="s">
        <v>10</v>
      </c>
      <c r="W14" s="150">
        <v>-20</v>
      </c>
      <c r="X14" s="150">
        <f>M24</f>
        <v>344.21</v>
      </c>
      <c r="Y14" s="150" t="s">
        <v>10</v>
      </c>
      <c r="Z14" s="150">
        <v>-20</v>
      </c>
      <c r="AA14" s="150">
        <f>N24</f>
        <v>315.37</v>
      </c>
      <c r="AC14" s="150">
        <v>90</v>
      </c>
      <c r="AD14" s="150"/>
      <c r="AE14" s="150"/>
      <c r="AF14" s="150"/>
      <c r="AG14" s="150"/>
      <c r="AI14" s="150" t="s">
        <v>27</v>
      </c>
      <c r="AJ14" s="150">
        <v>20</v>
      </c>
      <c r="AK14" s="150">
        <f>AD24</f>
        <v>0</v>
      </c>
      <c r="AL14" s="150" t="s">
        <v>27</v>
      </c>
      <c r="AM14" s="150">
        <v>20</v>
      </c>
      <c r="AN14" s="150">
        <f>AE24</f>
        <v>0</v>
      </c>
      <c r="AO14" s="150" t="s">
        <v>27</v>
      </c>
      <c r="AP14" s="150">
        <v>20</v>
      </c>
      <c r="AQ14" s="150">
        <f>AF24</f>
        <v>0</v>
      </c>
      <c r="AR14" s="150" t="s">
        <v>27</v>
      </c>
      <c r="AS14" s="150">
        <v>20</v>
      </c>
      <c r="AT14" s="150">
        <f>AG24</f>
        <v>0</v>
      </c>
    </row>
    <row r="15" spans="1:46">
      <c r="D15" s="150">
        <v>80</v>
      </c>
      <c r="E15" s="150">
        <f>E11</f>
        <v>278.20999999999998</v>
      </c>
      <c r="F15" s="11">
        <f>E9*((D11-(100/360))-D10)*((D11-(100/360))-D11)/((D9-D10)*(D9-D11))+E10*((D11-(100/360))-D9)*((D11-(100/360))-D11)/((D10-D9)*(D10-D11))+E11*((D11-(100/360))-D9)*((D11-(100/360))-D10)/((D11-D9)*(D11-D10))</f>
        <v>277.37873456790123</v>
      </c>
      <c r="G15" s="150">
        <f>G11</f>
        <v>277.14999999999998</v>
      </c>
      <c r="J15" s="150">
        <v>80</v>
      </c>
      <c r="K15" s="150">
        <v>292.55</v>
      </c>
      <c r="L15" s="150">
        <f>(630-134)/6*4.75/1.2</f>
        <v>327.22222222222223</v>
      </c>
      <c r="M15" s="150">
        <v>306.19</v>
      </c>
      <c r="N15" s="150">
        <v>278.12</v>
      </c>
      <c r="P15" s="150" t="s">
        <v>10</v>
      </c>
      <c r="Q15" s="150">
        <v>-25</v>
      </c>
      <c r="R15" s="150">
        <f>K29</f>
        <v>334.66</v>
      </c>
      <c r="S15" s="150" t="s">
        <v>10</v>
      </c>
      <c r="T15" s="150">
        <v>-25</v>
      </c>
      <c r="U15" s="150">
        <f>L29</f>
        <v>374.0625</v>
      </c>
      <c r="V15" s="150" t="s">
        <v>10</v>
      </c>
      <c r="W15" s="150">
        <v>-25</v>
      </c>
      <c r="X15" s="150">
        <f>M29</f>
        <v>348.91</v>
      </c>
      <c r="Y15" s="150" t="s">
        <v>10</v>
      </c>
      <c r="Z15" s="150">
        <v>-25</v>
      </c>
      <c r="AA15" s="150">
        <f>N29</f>
        <v>319.68</v>
      </c>
      <c r="AC15" s="150">
        <v>80</v>
      </c>
      <c r="AD15" s="150"/>
      <c r="AE15" s="150"/>
      <c r="AF15" s="150"/>
      <c r="AG15" s="150"/>
      <c r="AI15" s="150" t="s">
        <v>28</v>
      </c>
      <c r="AJ15" s="9">
        <f>$B$2</f>
        <v>6.0220000000000002</v>
      </c>
      <c r="AK15" s="11">
        <f>AK10*(AJ15-AJ11)*(AJ15-AJ12)*(AJ15-AJ13)*(AJ15-AJ14)/((AJ10-AJ11)*(AJ10-AJ12)*(AJ10-AJ13)*(AJ10-AJ14))+AK11*(AJ15-AJ10)*(AJ15-AJ12)*(AJ15-AJ13)*(AJ15-AJ14)/((AJ11-AJ10)*(AJ11-AJ12)*(AJ11-AJ13)*(AJ11-AJ14))+AK12*(AJ15-AJ10)*(AJ15-AJ11)*(AJ15-AJ13)*(AJ15-AJ14)/((AJ12-AJ10)*(AJ12-AJ11)*(AJ12-AJ13)*(AJ12-AJ14))+AK13*(AJ15-AJ10)*(AJ15-AJ11)*(AJ15-AJ12)*(AJ15-AJ14)/((AJ13-AJ10)*(AJ13-AJ11)*(AJ13-AJ12)*(AJ13-AJ14))+AK14*(AJ15-AJ10)*(AJ15-AJ11)*(AJ15-AJ12)*(AJ15-AJ13)/((AJ14-AJ10)*(AJ14-AJ11)*(AJ14-AJ12)*(AJ14-AJ13))</f>
        <v>-10.423382580298792</v>
      </c>
      <c r="AL15" s="150" t="s">
        <v>28</v>
      </c>
      <c r="AM15" s="9">
        <f>$B$2</f>
        <v>6.0220000000000002</v>
      </c>
      <c r="AN15" s="11">
        <f t="shared" ref="AN15:AT15" si="4">AN10*(AM15-AM11)*(AM15-AM12)*(AM15-AM13)*(AM15-AM14)/((AM10-AM11)*(AM10-AM12)*(AM10-AM13)*(AM10-AM14))+AN11*(AM15-AM10)*(AM15-AM12)*(AM15-AM13)*(AM15-AM14)/((AM11-AM10)*(AM11-AM12)*(AM11-AM13)*(AM11-AM14))+AN12*(AM15-AM10)*(AM15-AM11)*(AM15-AM13)*(AM15-AM14)/((AM12-AM10)*(AM12-AM11)*(AM12-AM13)*(AM12-AM14))+AN13*(AM15-AM10)*(AM15-AM11)*(AM15-AM12)*(AM15-AM14)/((AM13-AM10)*(AM13-AM11)*(AM13-AM12)*(AM13-AM14))+AN14*(AM15-AM10)*(AM15-AM11)*(AM15-AM12)*(AM15-AM13)/((AM14-AM10)*(AM14-AM11)*(AM14-AM12)*(AM14-AM13))</f>
        <v>-11.059391212907054</v>
      </c>
      <c r="AO15" s="150" t="s">
        <v>28</v>
      </c>
      <c r="AP15" s="9">
        <f>$B$2</f>
        <v>6.0220000000000002</v>
      </c>
      <c r="AQ15" s="11">
        <f>AQ10*(AP15-AP11)*(AP15-AP12)*(AP15-AP13)*(AP15-AP14)/((AP10-AP11)*(AP10-AP12)*(AP10-AP13)*(AP10-AP14))+AQ11*(AP15-AP10)*(AP15-AP12)*(AP15-AP13)*(AP15-AP14)/((AP11-AP10)*(AP11-AP12)*(AP11-AP13)*(AP11-AP14))+AQ12*(AP15-AP10)*(AP15-AP11)*(AP15-AP13)*(AP15-AP14)/((AP12-AP10)*(AP12-AP11)*(AP12-AP13)*(AP12-AP14))+AQ13*(AP15-AP10)*(AP15-AP11)*(AP15-AP12)*(AP15-AP14)/((AP13-AP10)*(AP13-AP11)*(AP13-AP12)*(AP13-AP14))+AQ14*(AP15-AP10)*(AP15-AP11)*(AP15-AP12)*(AP15-AP13)/((AP14-AP10)*(AP14-AP11)*(AP14-AP12)*(AP14-AP13))</f>
        <v>-10.869977500446687</v>
      </c>
      <c r="AR15" s="150" t="s">
        <v>28</v>
      </c>
      <c r="AS15" s="9">
        <f>$B$2</f>
        <v>6.0220000000000002</v>
      </c>
      <c r="AT15" s="11">
        <f t="shared" si="4"/>
        <v>-9.9553592671811177</v>
      </c>
    </row>
    <row r="16" spans="1:46">
      <c r="A16" s="150" t="s">
        <v>32</v>
      </c>
      <c r="B16" s="23">
        <f>$B$3*SIN(RADIANS($B$4))</f>
        <v>0.95798784374570456</v>
      </c>
      <c r="P16" s="150" t="s">
        <v>11</v>
      </c>
      <c r="Q16" s="9">
        <f>$B$2</f>
        <v>6.0220000000000002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296.73816900580096</v>
      </c>
      <c r="S16" s="150" t="s">
        <v>11</v>
      </c>
      <c r="T16" s="9">
        <f>$B$2</f>
        <v>6.0220000000000002</v>
      </c>
      <c r="U16" s="11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312.50028978224998</v>
      </c>
      <c r="V16" s="150" t="s">
        <v>11</v>
      </c>
      <c r="W16" s="9">
        <f>$B$2</f>
        <v>6.0220000000000002</v>
      </c>
      <c r="X16" s="11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309.44304663556306</v>
      </c>
      <c r="Y16" s="150" t="s">
        <v>11</v>
      </c>
      <c r="Z16" s="9">
        <f>$B$2</f>
        <v>6.0220000000000002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283.18141305614711</v>
      </c>
    </row>
    <row r="17" spans="1:46">
      <c r="A17" s="150" t="s">
        <v>33</v>
      </c>
      <c r="B17" s="23">
        <f>$B$3*COS(RADIANS($B$4))</f>
        <v>-0.28680880606329973</v>
      </c>
      <c r="E17" s="240" t="s">
        <v>40</v>
      </c>
      <c r="F17" s="241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R17" s="1" t="s">
        <v>12</v>
      </c>
      <c r="S17" s="1"/>
      <c r="T17" s="1"/>
      <c r="U17" s="1" t="s">
        <v>13</v>
      </c>
      <c r="V17" s="1"/>
      <c r="W17" s="1"/>
      <c r="X17" s="1" t="s">
        <v>8</v>
      </c>
      <c r="Y17" s="1"/>
      <c r="Z17" s="1"/>
      <c r="AA17" s="1" t="s">
        <v>9</v>
      </c>
      <c r="AC17" s="15">
        <v>15</v>
      </c>
      <c r="AD17" s="7" t="s">
        <v>6</v>
      </c>
      <c r="AE17" s="7" t="s">
        <v>7</v>
      </c>
      <c r="AF17" s="7" t="s">
        <v>8</v>
      </c>
      <c r="AG17" s="7" t="s">
        <v>9</v>
      </c>
      <c r="AI17" s="1"/>
      <c r="AJ17" s="1"/>
      <c r="AK17" s="1" t="s">
        <v>12</v>
      </c>
      <c r="AL17" s="1"/>
      <c r="AM17" s="1"/>
      <c r="AN17" s="1" t="s">
        <v>13</v>
      </c>
      <c r="AO17" s="1"/>
      <c r="AP17" s="1"/>
      <c r="AQ17" s="1" t="s">
        <v>8</v>
      </c>
      <c r="AR17" s="1"/>
      <c r="AS17" s="1"/>
      <c r="AT17" s="1" t="s">
        <v>9</v>
      </c>
    </row>
    <row r="18" spans="1:46">
      <c r="E18" s="150">
        <v>100</v>
      </c>
      <c r="F18" s="11">
        <f>E23*(B24-9)*(B24--9)/((0-9)*(0--9))+G23*(B24-0)*(B24--9)/((9-0)*(9--9))+H23*(B24-0)*(B24-9)/((-9-0)*(-9-9))</f>
        <v>-11.258307662775549</v>
      </c>
      <c r="J18" s="150">
        <v>100</v>
      </c>
      <c r="K18" s="150">
        <v>348.62</v>
      </c>
      <c r="L18" s="150">
        <f>(630-64)/6*4.75/1.2</f>
        <v>373.40277777777777</v>
      </c>
      <c r="M18" s="150">
        <v>362.14</v>
      </c>
      <c r="N18" s="150">
        <v>334.26</v>
      </c>
      <c r="P18" s="150" t="s">
        <v>10</v>
      </c>
      <c r="Q18" s="150">
        <v>0</v>
      </c>
      <c r="R18" s="150">
        <f>K5</f>
        <v>278.20999999999998</v>
      </c>
      <c r="S18" s="150" t="s">
        <v>10</v>
      </c>
      <c r="T18" s="150">
        <v>0</v>
      </c>
      <c r="U18" s="150">
        <f>L5</f>
        <v>303.09523809523813</v>
      </c>
      <c r="V18" s="150" t="s">
        <v>10</v>
      </c>
      <c r="W18" s="150">
        <v>0</v>
      </c>
      <c r="X18" s="150">
        <f>M5</f>
        <v>291.22000000000003</v>
      </c>
      <c r="Y18" s="150" t="s">
        <v>10</v>
      </c>
      <c r="Z18" s="150">
        <v>0</v>
      </c>
      <c r="AA18" s="150">
        <f>N5</f>
        <v>264.45999999999998</v>
      </c>
      <c r="AC18" s="150">
        <v>100</v>
      </c>
      <c r="AD18" s="150"/>
      <c r="AE18" s="150"/>
      <c r="AF18" s="150"/>
      <c r="AG18" s="150"/>
      <c r="AI18" s="150" t="s">
        <v>27</v>
      </c>
      <c r="AJ18" s="150">
        <v>0</v>
      </c>
      <c r="AK18" s="150">
        <f>AD5</f>
        <v>278.20999999999998</v>
      </c>
      <c r="AL18" s="150" t="s">
        <v>27</v>
      </c>
      <c r="AM18" s="150">
        <v>0</v>
      </c>
      <c r="AN18" s="150">
        <f>AE5</f>
        <v>303.09523809523813</v>
      </c>
      <c r="AO18" s="150" t="s">
        <v>27</v>
      </c>
      <c r="AP18" s="150">
        <v>0</v>
      </c>
      <c r="AQ18" s="150">
        <f>AF5</f>
        <v>291.22000000000003</v>
      </c>
      <c r="AR18" s="150" t="s">
        <v>27</v>
      </c>
      <c r="AS18" s="150">
        <v>0</v>
      </c>
      <c r="AT18" s="150">
        <f>AG5</f>
        <v>264.45999999999998</v>
      </c>
    </row>
    <row r="19" spans="1:46">
      <c r="A19" s="150" t="s">
        <v>31</v>
      </c>
      <c r="B19" s="150" t="s">
        <v>35</v>
      </c>
      <c r="E19" s="150">
        <v>90</v>
      </c>
      <c r="F19" s="11">
        <f>E24*(B24-9)*(B24--9)/((0-9)*(0--9))+G24*(B24-0)*(B24--9)/((9-0)*(9--9))+H24*(B24-0)*(B24-9)/((-9-0)*(-9-9))</f>
        <v>-10.409163227959326</v>
      </c>
      <c r="J19" s="150">
        <v>90</v>
      </c>
      <c r="K19" s="150">
        <v>325.17</v>
      </c>
      <c r="L19" s="150">
        <f>(630-89)/6*4.75/1.2</f>
        <v>356.90972222222223</v>
      </c>
      <c r="M19" s="150">
        <v>339.03</v>
      </c>
      <c r="N19" s="150">
        <v>310.61</v>
      </c>
      <c r="P19" s="150" t="s">
        <v>10</v>
      </c>
      <c r="Q19" s="150">
        <v>-5</v>
      </c>
      <c r="R19" s="150">
        <f>K10</f>
        <v>285.82</v>
      </c>
      <c r="S19" s="150" t="s">
        <v>10</v>
      </c>
      <c r="T19" s="150">
        <v>-5</v>
      </c>
      <c r="U19" s="150">
        <f>L10</f>
        <v>315.53571428571428</v>
      </c>
      <c r="V19" s="150" t="s">
        <v>10</v>
      </c>
      <c r="W19" s="150">
        <v>-5</v>
      </c>
      <c r="X19" s="150">
        <f>M10</f>
        <v>299.17</v>
      </c>
      <c r="Y19" s="150" t="s">
        <v>10</v>
      </c>
      <c r="Z19" s="150">
        <v>-5</v>
      </c>
      <c r="AA19" s="150">
        <f>N10</f>
        <v>271.70999999999998</v>
      </c>
      <c r="AC19" s="150">
        <v>90</v>
      </c>
      <c r="AD19" s="150"/>
      <c r="AE19" s="150"/>
      <c r="AF19" s="150"/>
      <c r="AG19" s="150"/>
      <c r="AI19" s="150" t="s">
        <v>27</v>
      </c>
      <c r="AJ19" s="150">
        <v>5</v>
      </c>
      <c r="AK19" s="150">
        <f>AD10</f>
        <v>0</v>
      </c>
      <c r="AL19" s="150" t="s">
        <v>27</v>
      </c>
      <c r="AM19" s="150">
        <v>5</v>
      </c>
      <c r="AN19" s="150">
        <f>AE10</f>
        <v>0</v>
      </c>
      <c r="AO19" s="150" t="s">
        <v>27</v>
      </c>
      <c r="AP19" s="150">
        <v>5</v>
      </c>
      <c r="AQ19" s="150">
        <f>AF10</f>
        <v>0</v>
      </c>
      <c r="AR19" s="150" t="s">
        <v>27</v>
      </c>
      <c r="AS19" s="150">
        <v>5</v>
      </c>
      <c r="AT19" s="150">
        <f>AG10</f>
        <v>0</v>
      </c>
    </row>
    <row r="20" spans="1:46">
      <c r="A20" s="22">
        <f>(F23*(D2-E24)*(D2-E25)/((E23-E24)*(E23-E25))+F24*(D2-E23)*(D2-E25)/((E24-E23)*(E24-E25))+F25*(D2-E23)*(D2-E24)/((E25-E23)*(E25-E24)))</f>
        <v>577.11186779488344</v>
      </c>
      <c r="B20" s="23">
        <f>(B16*A20+(A21*B14))/(D2*(44/17.5))</f>
        <v>-0.85677977243244841</v>
      </c>
      <c r="E20" s="150">
        <v>80</v>
      </c>
      <c r="F20" s="11">
        <f>E25*(B24-9)*(B24--9)/((0-9)*(0--9))+G25*(B24-0)*(B24--9)/((9-0)*(9--9))+H25*(B24-0)*(B24-9)/((-9-0)*(-9-9))</f>
        <v>-9.448693897359961</v>
      </c>
      <c r="J20" s="150">
        <v>80</v>
      </c>
      <c r="K20" s="150">
        <v>298.55</v>
      </c>
      <c r="L20" s="150">
        <f>(630-118)/6*4.75/1.2</f>
        <v>337.77777777777777</v>
      </c>
      <c r="M20" s="150">
        <v>312.45</v>
      </c>
      <c r="N20" s="150">
        <v>283.83</v>
      </c>
      <c r="O20" s="140"/>
      <c r="P20" s="150" t="s">
        <v>10</v>
      </c>
      <c r="Q20" s="150">
        <v>-10</v>
      </c>
      <c r="R20" s="150">
        <f>K15</f>
        <v>292.55</v>
      </c>
      <c r="S20" s="150" t="s">
        <v>10</v>
      </c>
      <c r="T20" s="150">
        <v>-10</v>
      </c>
      <c r="U20" s="150">
        <f>L15</f>
        <v>327.22222222222223</v>
      </c>
      <c r="V20" s="150" t="s">
        <v>10</v>
      </c>
      <c r="W20" s="150">
        <v>-10</v>
      </c>
      <c r="X20" s="150">
        <f>M15</f>
        <v>306.19</v>
      </c>
      <c r="Y20" s="150" t="s">
        <v>10</v>
      </c>
      <c r="Z20" s="150">
        <v>-10</v>
      </c>
      <c r="AA20" s="150">
        <f>N15</f>
        <v>278.12</v>
      </c>
      <c r="AC20" s="150">
        <v>80</v>
      </c>
      <c r="AD20" s="150"/>
      <c r="AE20" s="150"/>
      <c r="AF20" s="150"/>
      <c r="AG20" s="150"/>
      <c r="AI20" s="150" t="s">
        <v>27</v>
      </c>
      <c r="AJ20" s="150">
        <v>10</v>
      </c>
      <c r="AK20" s="150">
        <f>AD15</f>
        <v>0</v>
      </c>
      <c r="AL20" s="150" t="s">
        <v>27</v>
      </c>
      <c r="AM20" s="150">
        <v>10</v>
      </c>
      <c r="AN20" s="150">
        <f>AE15</f>
        <v>0</v>
      </c>
      <c r="AO20" s="150" t="s">
        <v>27</v>
      </c>
      <c r="AP20" s="150">
        <v>10</v>
      </c>
      <c r="AQ20" s="150">
        <f>AF15</f>
        <v>0</v>
      </c>
      <c r="AR20" s="150" t="s">
        <v>27</v>
      </c>
      <c r="AS20" s="150">
        <v>10</v>
      </c>
      <c r="AT20" s="150">
        <f>AG15</f>
        <v>0</v>
      </c>
    </row>
    <row r="21" spans="1:46">
      <c r="A21" s="22">
        <f>A20*1</f>
        <v>577.11186779488344</v>
      </c>
      <c r="O21" s="140"/>
      <c r="P21" s="150" t="s">
        <v>10</v>
      </c>
      <c r="Q21" s="150">
        <v>-15</v>
      </c>
      <c r="R21" s="150">
        <f>K20</f>
        <v>298.55</v>
      </c>
      <c r="S21" s="150" t="s">
        <v>10</v>
      </c>
      <c r="T21" s="150">
        <v>-15</v>
      </c>
      <c r="U21" s="150">
        <f>L20</f>
        <v>337.77777777777777</v>
      </c>
      <c r="V21" s="150" t="s">
        <v>10</v>
      </c>
      <c r="W21" s="150">
        <v>-15</v>
      </c>
      <c r="X21" s="150">
        <f>M20</f>
        <v>312.45</v>
      </c>
      <c r="Y21" s="150" t="s">
        <v>10</v>
      </c>
      <c r="Z21" s="150">
        <v>-15</v>
      </c>
      <c r="AA21" s="150">
        <f>N20</f>
        <v>283.83</v>
      </c>
      <c r="AI21" s="150" t="s">
        <v>27</v>
      </c>
      <c r="AJ21" s="150">
        <v>15</v>
      </c>
      <c r="AK21" s="150">
        <f>AD20</f>
        <v>0</v>
      </c>
      <c r="AL21" s="150" t="s">
        <v>27</v>
      </c>
      <c r="AM21" s="150">
        <v>15</v>
      </c>
      <c r="AN21" s="150">
        <f>AE20</f>
        <v>0</v>
      </c>
      <c r="AO21" s="150" t="s">
        <v>27</v>
      </c>
      <c r="AP21" s="150">
        <v>15</v>
      </c>
      <c r="AQ21" s="150">
        <f>AF20</f>
        <v>0</v>
      </c>
      <c r="AR21" s="150" t="s">
        <v>27</v>
      </c>
      <c r="AS21" s="150">
        <v>15</v>
      </c>
      <c r="AT21" s="150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40"/>
      <c r="P22" s="150" t="s">
        <v>10</v>
      </c>
      <c r="Q22" s="150">
        <v>-20</v>
      </c>
      <c r="R22" s="150">
        <f>K25</f>
        <v>303.94</v>
      </c>
      <c r="S22" s="150" t="s">
        <v>10</v>
      </c>
      <c r="T22" s="150">
        <v>-20</v>
      </c>
      <c r="U22" s="150">
        <f>L25</f>
        <v>347.67361111111109</v>
      </c>
      <c r="V22" s="150" t="s">
        <v>10</v>
      </c>
      <c r="W22" s="150">
        <v>-20</v>
      </c>
      <c r="X22" s="150">
        <f>M25</f>
        <v>318.07</v>
      </c>
      <c r="Y22" s="150" t="s">
        <v>10</v>
      </c>
      <c r="Z22" s="150">
        <v>-20</v>
      </c>
      <c r="AA22" s="150">
        <f>N25</f>
        <v>288.95999999999998</v>
      </c>
      <c r="AC22" s="15">
        <v>20</v>
      </c>
      <c r="AD22" s="7" t="s">
        <v>6</v>
      </c>
      <c r="AE22" s="7" t="s">
        <v>7</v>
      </c>
      <c r="AF22" s="7" t="s">
        <v>8</v>
      </c>
      <c r="AG22" s="7" t="s">
        <v>9</v>
      </c>
      <c r="AI22" s="150" t="s">
        <v>27</v>
      </c>
      <c r="AJ22" s="150">
        <v>20</v>
      </c>
      <c r="AK22" s="150">
        <f>AD25</f>
        <v>0</v>
      </c>
      <c r="AL22" s="150" t="s">
        <v>27</v>
      </c>
      <c r="AM22" s="150">
        <v>20</v>
      </c>
      <c r="AN22" s="150">
        <f>AE25</f>
        <v>0</v>
      </c>
      <c r="AO22" s="150" t="s">
        <v>27</v>
      </c>
      <c r="AP22" s="150">
        <v>20</v>
      </c>
      <c r="AQ22" s="150">
        <f>AF25</f>
        <v>0</v>
      </c>
      <c r="AR22" s="150" t="s">
        <v>27</v>
      </c>
      <c r="AS22" s="150">
        <v>20</v>
      </c>
      <c r="AT22" s="150">
        <f>AG25</f>
        <v>0</v>
      </c>
    </row>
    <row r="23" spans="1:46">
      <c r="A23" s="150" t="s">
        <v>36</v>
      </c>
      <c r="B23" s="23">
        <f>$B$3*SIN(RADIANS($B$4+B20*0.707))</f>
        <v>0.96096645413879322</v>
      </c>
      <c r="D23" s="142">
        <v>100</v>
      </c>
      <c r="E23" s="142">
        <f>IF($B$2&gt;0,E28,E33)</f>
        <v>-11.272355101768062</v>
      </c>
      <c r="F23" s="142">
        <f t="shared" ref="F23:H25" si="5">IF($B$2&gt;0,F28,F33)</f>
        <v>-11.713337823757206</v>
      </c>
      <c r="G23" s="142">
        <f t="shared" si="5"/>
        <v>-11.710786824594139</v>
      </c>
      <c r="H23" s="142">
        <f t="shared" si="5"/>
        <v>-10.80739298764607</v>
      </c>
      <c r="J23" s="150">
        <v>100</v>
      </c>
      <c r="K23" s="150">
        <v>353.23</v>
      </c>
      <c r="L23" s="150">
        <f>(630-52)/6*4.75/1.2</f>
        <v>381.31944444444446</v>
      </c>
      <c r="M23" s="150">
        <v>366.93</v>
      </c>
      <c r="N23" s="150">
        <v>338.67</v>
      </c>
      <c r="P23" s="150" t="s">
        <v>10</v>
      </c>
      <c r="Q23" s="150">
        <v>-25</v>
      </c>
      <c r="R23" s="150">
        <f>K30</f>
        <v>308.82</v>
      </c>
      <c r="S23" s="150" t="s">
        <v>10</v>
      </c>
      <c r="T23" s="150">
        <v>-25</v>
      </c>
      <c r="U23" s="150">
        <f>L30</f>
        <v>356.25</v>
      </c>
      <c r="V23" s="150" t="s">
        <v>10</v>
      </c>
      <c r="W23" s="150">
        <v>-25</v>
      </c>
      <c r="X23" s="150">
        <f>M30</f>
        <v>323.16000000000003</v>
      </c>
      <c r="Y23" s="150" t="s">
        <v>10</v>
      </c>
      <c r="Z23" s="150">
        <v>-25</v>
      </c>
      <c r="AA23" s="150">
        <f>N30</f>
        <v>293.61</v>
      </c>
      <c r="AC23" s="150">
        <v>100</v>
      </c>
      <c r="AD23" s="150"/>
      <c r="AE23" s="150"/>
      <c r="AF23" s="150"/>
      <c r="AG23" s="150"/>
      <c r="AI23" s="150" t="s">
        <v>28</v>
      </c>
      <c r="AJ23" s="9">
        <f>$B$2</f>
        <v>6.0220000000000002</v>
      </c>
      <c r="AK23" s="11">
        <f>AK18*(AJ23-AJ19)*(AJ23-AJ20)*(AJ23-AJ21)*(AJ23-AJ22)/((AJ18-AJ19)*(AJ18-AJ20)*(AJ18-AJ21)*(AJ18-AJ22))+AK19*(AJ23-AJ18)*(AJ23-AJ20)*(AJ23-AJ21)*(AJ23-AJ22)/((AJ19-AJ18)*(AJ19-AJ20)*(AJ19-AJ21)*(AJ19-AJ22))+AK20*(AJ23-AJ18)*(AJ23-AJ19)*(AJ23-AJ21)*(AJ23-AJ22)/((AJ20-AJ18)*(AJ20-AJ19)*(AJ20-AJ21)*(AJ20-AJ22))+AK21*(AJ23-AJ18)*(AJ23-AJ19)*(AJ23-AJ20)*(AJ23-AJ22)/((AJ21-AJ18)*(AJ21-AJ19)*(AJ21-AJ20)*(AJ21-AJ22))+AK22*(AJ23-AJ18)*(AJ23-AJ19)*(AJ23-AJ20)*(AJ23-AJ21)/((AJ22-AJ18)*(AJ22-AJ19)*(AJ22-AJ20)*(AJ22-AJ21))</f>
        <v>-9.4628463620979826</v>
      </c>
      <c r="AL23" s="150" t="s">
        <v>28</v>
      </c>
      <c r="AM23" s="9">
        <f>$B$2</f>
        <v>6.0220000000000002</v>
      </c>
      <c r="AN23" s="11">
        <f t="shared" ref="AN23:AT23" si="6">AN18*(AM23-AM19)*(AM23-AM20)*(AM23-AM21)*(AM23-AM22)/((AM18-AM19)*(AM18-AM20)*(AM18-AM21)*(AM18-AM22))+AN19*(AM23-AM18)*(AM23-AM20)*(AM23-AM21)*(AM23-AM22)/((AM19-AM18)*(AM19-AM20)*(AM19-AM21)*(AM19-AM22))+AN20*(AM23-AM18)*(AM23-AM19)*(AM23-AM21)*(AM23-AM22)/((AM20-AM18)*(AM20-AM19)*(AM20-AM21)*(AM20-AM22))+AN21*(AM23-AM18)*(AM23-AM19)*(AM23-AM20)*(AM23-AM22)/((AM21-AM18)*(AM21-AM19)*(AM21-AM20)*(AM21-AM22))+AN22*(AM23-AM18)*(AM23-AM19)*(AM23-AM20)*(AM23-AM21)/((AM22-AM18)*(AM22-AM19)*(AM22-AM20)*(AM22-AM21))</f>
        <v>-10.309275982814226</v>
      </c>
      <c r="AO23" s="150" t="s">
        <v>28</v>
      </c>
      <c r="AP23" s="9">
        <f>$B$2</f>
        <v>6.0220000000000002</v>
      </c>
      <c r="AQ23" s="11">
        <f t="shared" si="6"/>
        <v>-9.9053596835849707</v>
      </c>
      <c r="AR23" s="150" t="s">
        <v>28</v>
      </c>
      <c r="AS23" s="9">
        <f>$B$2</f>
        <v>6.0220000000000002</v>
      </c>
      <c r="AT23" s="11">
        <f t="shared" si="6"/>
        <v>-8.9951631822020488</v>
      </c>
    </row>
    <row r="24" spans="1:46">
      <c r="A24" s="150" t="s">
        <v>37</v>
      </c>
      <c r="B24" s="23">
        <f>$B$3*COS(RADIANS($B$4+B20*0.5))</f>
        <v>-0.27963815921725738</v>
      </c>
      <c r="D24" s="142">
        <v>90</v>
      </c>
      <c r="E24" s="142">
        <f>IF($B$2&gt;0,E29,E34)</f>
        <v>-10.423382580298792</v>
      </c>
      <c r="F24" s="142">
        <f t="shared" si="5"/>
        <v>-11.059391212907054</v>
      </c>
      <c r="G24" s="142">
        <f t="shared" si="5"/>
        <v>-10.869977500446687</v>
      </c>
      <c r="H24" s="142">
        <f t="shared" si="5"/>
        <v>-9.9553592671811177</v>
      </c>
      <c r="J24" s="150">
        <v>90</v>
      </c>
      <c r="K24" s="150">
        <v>330.15</v>
      </c>
      <c r="L24" s="150">
        <f>(630-76)/6*4.75/1.2</f>
        <v>365.48611111111109</v>
      </c>
      <c r="M24" s="150">
        <v>344.21</v>
      </c>
      <c r="N24" s="150">
        <v>315.37</v>
      </c>
      <c r="O24" s="139"/>
      <c r="P24" s="150" t="s">
        <v>11</v>
      </c>
      <c r="Q24" s="9">
        <f>$B$2</f>
        <v>6.0220000000000002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267.60340971240225</v>
      </c>
      <c r="S24" s="150" t="s">
        <v>11</v>
      </c>
      <c r="T24" s="9">
        <f>$B$2</f>
        <v>6.0220000000000002</v>
      </c>
      <c r="U24" s="11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291.98007540621541</v>
      </c>
      <c r="V24" s="150" t="s">
        <v>11</v>
      </c>
      <c r="W24" s="9">
        <f>$B$2</f>
        <v>6.0220000000000002</v>
      </c>
      <c r="X24" s="11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280.03283306623217</v>
      </c>
      <c r="Y24" s="150" t="s">
        <v>11</v>
      </c>
      <c r="Z24" s="9">
        <f>$B$2</f>
        <v>6.0220000000000002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254.38468978193549</v>
      </c>
      <c r="AC24" s="150">
        <v>90</v>
      </c>
      <c r="AD24" s="150"/>
      <c r="AE24" s="150"/>
      <c r="AF24" s="150"/>
      <c r="AG24" s="150"/>
    </row>
    <row r="25" spans="1:46">
      <c r="D25" s="142">
        <v>80</v>
      </c>
      <c r="E25" s="142">
        <f>IF($B$2&gt;0,E30,E35)</f>
        <v>-9.4628463620979826</v>
      </c>
      <c r="F25" s="142">
        <f t="shared" si="5"/>
        <v>-10.309275982814226</v>
      </c>
      <c r="G25" s="142">
        <f t="shared" si="5"/>
        <v>-9.9053596835849707</v>
      </c>
      <c r="H25" s="142">
        <f t="shared" si="5"/>
        <v>-8.9951631822020488</v>
      </c>
      <c r="I25" s="12"/>
      <c r="J25" s="150">
        <v>80</v>
      </c>
      <c r="K25" s="150">
        <v>303.94</v>
      </c>
      <c r="L25" s="150">
        <f>(630-103)/6*4.75/1.2</f>
        <v>347.67361111111109</v>
      </c>
      <c r="M25" s="150">
        <v>318.07</v>
      </c>
      <c r="N25" s="150">
        <v>288.95999999999998</v>
      </c>
      <c r="AC25" s="150">
        <v>80</v>
      </c>
      <c r="AD25" s="150"/>
      <c r="AE25" s="150"/>
      <c r="AF25" s="150"/>
      <c r="AG25" s="150"/>
      <c r="AO25" s="1" t="s">
        <v>160</v>
      </c>
      <c r="AP25" s="1" t="s">
        <v>159</v>
      </c>
    </row>
    <row r="26" spans="1:46">
      <c r="A26" s="240" t="s">
        <v>39</v>
      </c>
      <c r="B26" s="241"/>
      <c r="D26"/>
      <c r="E26" s="12"/>
      <c r="F26" s="12"/>
      <c r="G26" s="12"/>
      <c r="H26" s="12"/>
      <c r="I26" s="12"/>
      <c r="R26" s="1" t="s">
        <v>12</v>
      </c>
      <c r="S26" s="1"/>
      <c r="T26" s="1"/>
      <c r="U26" s="1" t="s">
        <v>13</v>
      </c>
      <c r="V26" s="1"/>
      <c r="W26" s="1"/>
      <c r="X26" s="1" t="s">
        <v>8</v>
      </c>
      <c r="Y26" s="1"/>
      <c r="Z26" s="1"/>
      <c r="AA26" s="1" t="s">
        <v>9</v>
      </c>
      <c r="AN26" s="150">
        <v>100</v>
      </c>
      <c r="AO26" s="150">
        <v>330.17</v>
      </c>
      <c r="AP26" s="150">
        <v>332.34</v>
      </c>
    </row>
    <row r="27" spans="1:46">
      <c r="A27" s="150">
        <f>F13*(D4-E14)*(D4-E15)/((E13-E14)*(E13-E15))+F14*(D4-E13)*(D4-E15)/((E14-E13)*(E14-E15))+F15*(D4-E13)*(D4-E14)/((E15-E13)*(E15-E14))</f>
        <v>254.72733401121013</v>
      </c>
      <c r="B27" s="150">
        <f>G13*(D4-E14)*(D4-E15)/((E13-E14)*(E13-E15))+G14*(D4-E13)*(D4-E15)/((E14-E13)*(E14-E15))+G15*(D4-E13)*(D4-E14)/((E15-E13)*(E15-E14))</f>
        <v>254.67384577192706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I27" s="12"/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50" t="s">
        <v>10</v>
      </c>
      <c r="Q27" s="150">
        <v>-25</v>
      </c>
      <c r="R27" s="150">
        <f>K28</f>
        <v>357.43</v>
      </c>
      <c r="S27" s="150" t="s">
        <v>10</v>
      </c>
      <c r="T27" s="150">
        <v>-25</v>
      </c>
      <c r="U27" s="150">
        <f>L28</f>
        <v>388.57638888888891</v>
      </c>
      <c r="V27" s="150" t="s">
        <v>10</v>
      </c>
      <c r="W27" s="150">
        <v>-25</v>
      </c>
      <c r="X27" s="150">
        <f>M28</f>
        <v>371.3</v>
      </c>
      <c r="Y27" s="150" t="s">
        <v>10</v>
      </c>
      <c r="Z27" s="150">
        <v>-25</v>
      </c>
      <c r="AA27" s="150">
        <f>N28</f>
        <v>342.69</v>
      </c>
      <c r="AB27" s="1"/>
      <c r="AC27" s="1"/>
      <c r="AD27" s="1"/>
      <c r="AE27" s="1"/>
      <c r="AF27" s="1"/>
      <c r="AG27" s="1"/>
      <c r="AH27" s="1"/>
      <c r="AN27" s="150">
        <v>97.5</v>
      </c>
      <c r="AO27" s="150">
        <v>325.68</v>
      </c>
      <c r="AP27" s="150">
        <v>328.06</v>
      </c>
    </row>
    <row r="28" spans="1:46">
      <c r="D28" s="150">
        <v>100</v>
      </c>
      <c r="E28" s="11">
        <f>AK7</f>
        <v>-11.272355101768062</v>
      </c>
      <c r="F28" s="11">
        <f>AN7</f>
        <v>-11.713337823757206</v>
      </c>
      <c r="G28" s="11">
        <f>AQ7</f>
        <v>-11.710786824594139</v>
      </c>
      <c r="H28" s="145">
        <f>AT7</f>
        <v>-10.80739298764607</v>
      </c>
      <c r="I28" s="12"/>
      <c r="J28" s="150">
        <v>100</v>
      </c>
      <c r="K28" s="150">
        <v>357.43</v>
      </c>
      <c r="L28" s="150">
        <f>(630-41)/6*4.75/1.2</f>
        <v>388.57638888888891</v>
      </c>
      <c r="M28" s="150">
        <v>371.3</v>
      </c>
      <c r="N28" s="150">
        <v>342.69</v>
      </c>
      <c r="O28" s="139"/>
      <c r="P28" s="150" t="s">
        <v>10</v>
      </c>
      <c r="Q28" s="150">
        <v>-30</v>
      </c>
      <c r="R28" s="150">
        <f>K33</f>
        <v>361.27</v>
      </c>
      <c r="S28" s="150" t="s">
        <v>10</v>
      </c>
      <c r="T28" s="150">
        <v>-30</v>
      </c>
      <c r="U28" s="150">
        <f>L33</f>
        <v>395.83333333333337</v>
      </c>
      <c r="V28" s="150" t="s">
        <v>10</v>
      </c>
      <c r="W28" s="150">
        <v>-30</v>
      </c>
      <c r="X28" s="150">
        <f>M33</f>
        <v>375.31</v>
      </c>
      <c r="Y28" s="150" t="s">
        <v>10</v>
      </c>
      <c r="Z28" s="150">
        <v>-30</v>
      </c>
      <c r="AA28" s="150">
        <f>N33</f>
        <v>346.36</v>
      </c>
      <c r="AE28" s="1"/>
      <c r="AF28" s="1"/>
      <c r="AG28" s="1"/>
      <c r="AH28" s="1"/>
      <c r="AN28" s="150">
        <v>95</v>
      </c>
      <c r="AO28" s="150">
        <v>318.97000000000003</v>
      </c>
      <c r="AP28" s="150">
        <v>321.23</v>
      </c>
    </row>
    <row r="29" spans="1:46">
      <c r="A29" s="150" t="s">
        <v>41</v>
      </c>
      <c r="B29" s="150" t="s">
        <v>42</v>
      </c>
      <c r="D29" s="150">
        <v>90</v>
      </c>
      <c r="E29" s="11">
        <f>AK15</f>
        <v>-10.423382580298792</v>
      </c>
      <c r="F29" s="11">
        <f>AN15</f>
        <v>-11.059391212907054</v>
      </c>
      <c r="G29" s="11">
        <f>AQ15</f>
        <v>-10.869977500446687</v>
      </c>
      <c r="H29" s="145">
        <f>AT15</f>
        <v>-9.9553592671811177</v>
      </c>
      <c r="I29" s="13"/>
      <c r="J29" s="150">
        <v>90</v>
      </c>
      <c r="K29" s="150">
        <v>334.66</v>
      </c>
      <c r="L29" s="150">
        <f>(630-63)/6*4.75/1.2</f>
        <v>374.0625</v>
      </c>
      <c r="M29" s="150">
        <v>348.91</v>
      </c>
      <c r="N29" s="150">
        <v>319.68</v>
      </c>
      <c r="O29" s="140"/>
      <c r="P29" s="150" t="s">
        <v>10</v>
      </c>
      <c r="Q29" s="150">
        <v>-35</v>
      </c>
      <c r="R29" s="150">
        <f>K38</f>
        <v>364.82</v>
      </c>
      <c r="S29" s="150" t="s">
        <v>10</v>
      </c>
      <c r="T29" s="150">
        <v>-35</v>
      </c>
      <c r="U29" s="150">
        <f>L38</f>
        <v>401.77083333333337</v>
      </c>
      <c r="V29" s="150" t="s">
        <v>10</v>
      </c>
      <c r="W29" s="150">
        <v>-35</v>
      </c>
      <c r="X29" s="150">
        <f>M38</f>
        <v>379.01</v>
      </c>
      <c r="Y29" s="150" t="s">
        <v>10</v>
      </c>
      <c r="Z29" s="150">
        <v>-35</v>
      </c>
      <c r="AA29" s="150">
        <f>N38</f>
        <v>349.75</v>
      </c>
      <c r="AE29" s="1"/>
      <c r="AF29" s="1"/>
      <c r="AG29" s="1"/>
      <c r="AH29" s="1"/>
      <c r="AN29" s="150">
        <v>92.5</v>
      </c>
      <c r="AO29" s="150">
        <v>312.17</v>
      </c>
      <c r="AP29" s="150">
        <v>314.18</v>
      </c>
    </row>
    <row r="30" spans="1:46">
      <c r="A30" s="11">
        <f>E18*(D4-F19)*(D4-F20)/((F18-F19)*(F18-F20))+E19*(D4-F18)*(D4-F20)/((F19-F18)*(F19-F20))+E20*(D4-F18)*(D4-F19)/((F20-F18)*(F20-F19))</f>
        <v>50511.005721607711</v>
      </c>
      <c r="B30" s="24">
        <f>(F23*(A30-D24)*(A30-D25)/((D23-D24)*(D23-D25))+F24*(A30-D23)*(A30-D25)/((D24-D23)*(D24-D25))+F25*(A30-D23)*(A30-D24)/((D25-D23)*(D25-D24)))*(B23+(B14*(A21/A20))*(A30/100))</f>
        <v>-1155328257.7335587</v>
      </c>
      <c r="D30" s="150">
        <v>80</v>
      </c>
      <c r="E30" s="11">
        <f>AK23</f>
        <v>-9.4628463620979826</v>
      </c>
      <c r="F30" s="11">
        <f>AN23</f>
        <v>-10.309275982814226</v>
      </c>
      <c r="G30" s="11">
        <f>AQ23</f>
        <v>-9.9053596835849707</v>
      </c>
      <c r="H30" s="145">
        <f>AT23</f>
        <v>-8.9951631822020488</v>
      </c>
      <c r="I30" s="12"/>
      <c r="J30" s="150">
        <v>80</v>
      </c>
      <c r="K30" s="150">
        <v>308.82</v>
      </c>
      <c r="L30" s="150">
        <f>(630-90)/6*4.75/1.2</f>
        <v>356.25</v>
      </c>
      <c r="M30" s="150">
        <v>323.16000000000003</v>
      </c>
      <c r="N30" s="150">
        <v>293.61</v>
      </c>
      <c r="O30" s="140"/>
      <c r="P30" s="150" t="s">
        <v>10</v>
      </c>
      <c r="Q30" s="150">
        <v>-40</v>
      </c>
      <c r="R30" s="150">
        <f>K43</f>
        <v>368.1</v>
      </c>
      <c r="S30" s="150" t="s">
        <v>10</v>
      </c>
      <c r="T30" s="150">
        <v>-40</v>
      </c>
      <c r="U30" s="150">
        <f>L43</f>
        <v>408.3680555555556</v>
      </c>
      <c r="V30" s="150" t="s">
        <v>10</v>
      </c>
      <c r="W30" s="150">
        <v>-40</v>
      </c>
      <c r="X30" s="150">
        <f>M43</f>
        <v>382.43</v>
      </c>
      <c r="Y30" s="150" t="s">
        <v>10</v>
      </c>
      <c r="Z30" s="150">
        <v>-40</v>
      </c>
      <c r="AA30" s="150">
        <f>N43</f>
        <v>352.87</v>
      </c>
      <c r="AE30" s="1"/>
      <c r="AF30" s="1"/>
      <c r="AG30" s="1"/>
      <c r="AH30" s="1"/>
      <c r="AN30" s="150">
        <v>90</v>
      </c>
      <c r="AO30" s="150">
        <v>305.27999999999997</v>
      </c>
      <c r="AP30" s="150">
        <v>308.31</v>
      </c>
    </row>
    <row r="31" spans="1:46">
      <c r="A31" s="150" t="s">
        <v>44</v>
      </c>
      <c r="B31" s="150" t="s">
        <v>43</v>
      </c>
      <c r="D31"/>
      <c r="E31" s="12"/>
      <c r="F31" s="12"/>
      <c r="G31" s="12"/>
      <c r="H31" s="12"/>
      <c r="O31" s="140"/>
      <c r="P31" s="150" t="s">
        <v>10</v>
      </c>
      <c r="Q31" s="150">
        <v>-45</v>
      </c>
      <c r="R31" s="150">
        <f>K48</f>
        <v>371.15</v>
      </c>
      <c r="S31" s="150" t="s">
        <v>10</v>
      </c>
      <c r="T31" s="150">
        <v>-45</v>
      </c>
      <c r="U31" s="150">
        <f>L48</f>
        <v>413.64583333333337</v>
      </c>
      <c r="V31" s="150" t="s">
        <v>10</v>
      </c>
      <c r="W31" s="150">
        <v>-45</v>
      </c>
      <c r="X31" s="150">
        <f>M48</f>
        <v>385.62</v>
      </c>
      <c r="Y31" s="150" t="s">
        <v>10</v>
      </c>
      <c r="Z31" s="150">
        <v>-45</v>
      </c>
      <c r="AA31" s="150">
        <f>N48</f>
        <v>355.77</v>
      </c>
      <c r="AE31" s="1"/>
      <c r="AF31" s="1"/>
      <c r="AG31" s="1"/>
      <c r="AH31" s="1"/>
    </row>
    <row r="32" spans="1:46">
      <c r="A32" s="25">
        <f>(360-ROUNDDOWN((1-(A30/100))*360,0))*302/360</f>
        <v>152542.71666666667</v>
      </c>
      <c r="B32" s="11">
        <f>MOD((A30/100)*-360,1)*-((D4-A27)/(D4-B27))+30</f>
        <v>29.641993678903606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50" t="s">
        <v>10</v>
      </c>
      <c r="Q32" s="150">
        <v>-50</v>
      </c>
      <c r="R32" s="150">
        <f>K53</f>
        <v>373.99</v>
      </c>
      <c r="S32" s="150" t="s">
        <v>10</v>
      </c>
      <c r="T32" s="150">
        <v>-50</v>
      </c>
      <c r="U32" s="150">
        <f>L53</f>
        <v>419.58333333333337</v>
      </c>
      <c r="V32" s="150" t="s">
        <v>10</v>
      </c>
      <c r="W32" s="150">
        <v>-50</v>
      </c>
      <c r="X32" s="150">
        <f>M53</f>
        <v>388.59</v>
      </c>
      <c r="Y32" s="150" t="s">
        <v>10</v>
      </c>
      <c r="Z32" s="150">
        <v>-50</v>
      </c>
      <c r="AA32" s="150">
        <f>N53</f>
        <v>358.48</v>
      </c>
      <c r="AE32" s="1"/>
      <c r="AF32" s="1"/>
      <c r="AG32" s="1"/>
      <c r="AH32" s="1"/>
    </row>
    <row r="33" spans="2:27">
      <c r="D33" s="150">
        <v>100</v>
      </c>
      <c r="E33" s="150">
        <f>IF($B$2&gt;0,Q1,IF($B$2&gt;-25,R8,IF($B$2&gt;-50,R33,IF($B$2&gt;-75,R58))))</f>
        <v>0</v>
      </c>
      <c r="F33" s="150">
        <f>IF($B$2&gt;0,Q1,IF($B$2&gt;-25,U8,IF($B$2&gt;-50,U33,IF($B$2&gt;-75,U58))))</f>
        <v>0</v>
      </c>
      <c r="G33" s="150">
        <f>IF($B$2&gt;0,Q1,IF($B$2&gt;-25,X8,IF($B$2&gt;-50,X33,IF($B$2&gt;-75,X58))))</f>
        <v>0</v>
      </c>
      <c r="H33" s="22">
        <f>IF($B$2&gt;0,Q1,IF($B$2&gt;-25,AA8,IF($B$2&gt;-50,AA33,IF($B$2&gt;-75,AA58))))</f>
        <v>0</v>
      </c>
      <c r="J33" s="150">
        <v>100</v>
      </c>
      <c r="K33" s="150">
        <v>361.27</v>
      </c>
      <c r="L33" s="150">
        <f>(630-30)/6*4.75/1.2</f>
        <v>395.83333333333337</v>
      </c>
      <c r="M33" s="150">
        <v>375.31</v>
      </c>
      <c r="N33" s="150">
        <v>346.36</v>
      </c>
      <c r="P33" s="150" t="s">
        <v>11</v>
      </c>
      <c r="Q33" s="9">
        <f>$B$2</f>
        <v>6.0220000000000002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340.19595108622161</v>
      </c>
      <c r="S33" s="150" t="s">
        <v>11</v>
      </c>
      <c r="T33" s="9">
        <f>$B$2</f>
        <v>6.0220000000000002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-2636.0517975358816</v>
      </c>
      <c r="V33" s="150" t="s">
        <v>11</v>
      </c>
      <c r="W33" s="9">
        <f>$B$2</f>
        <v>6.0220000000000002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357.69384866335895</v>
      </c>
      <c r="Y33" s="150" t="s">
        <v>11</v>
      </c>
      <c r="Z33" s="9">
        <f>$B$2</f>
        <v>6.0220000000000002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335.89918539283099</v>
      </c>
    </row>
    <row r="34" spans="2:27">
      <c r="D34" s="150">
        <v>90</v>
      </c>
      <c r="E34" s="150">
        <f>IF($B$2&gt;0,Q1,IF($B$2&gt;-25,R16,IF($B$2&gt;-50,R41,IF($B$2&gt;-75,R66))))</f>
        <v>0</v>
      </c>
      <c r="F34" s="150">
        <f>IF($B$2&gt;0,Q1,IF($B$2&gt;-25,U16,IF($B$2&gt;-50,U41,IF($B$2&gt;-75,U66))))</f>
        <v>0</v>
      </c>
      <c r="G34" s="150">
        <f>IF($B$2&gt;0,Q1,IF($B$2&gt;-25,X16,IF($B$2&gt;-50,X41,IF($B$2&gt;-75,X66))))</f>
        <v>0</v>
      </c>
      <c r="H34" s="22">
        <f>IF($B$2&gt;0,Q1,IF($B$2&gt;-25,AA16,IF($B$2&gt;-50,AA41,IF($B$2&gt;-75,AA66))))</f>
        <v>0</v>
      </c>
      <c r="J34" s="150">
        <v>90</v>
      </c>
      <c r="K34" s="150">
        <v>338.79</v>
      </c>
      <c r="L34" s="150">
        <f>(630-52)/6*4.75/1.2</f>
        <v>381.31944444444446</v>
      </c>
      <c r="M34" s="150">
        <v>353.21</v>
      </c>
      <c r="N34" s="150">
        <v>323.61</v>
      </c>
      <c r="R34" s="1" t="s">
        <v>12</v>
      </c>
      <c r="S34" s="1"/>
      <c r="T34" s="1"/>
      <c r="U34" s="1" t="s">
        <v>13</v>
      </c>
      <c r="V34" s="1"/>
      <c r="W34" s="1"/>
      <c r="X34" s="1" t="s">
        <v>8</v>
      </c>
      <c r="Y34" s="1"/>
      <c r="Z34" s="1"/>
      <c r="AA34" s="1" t="s">
        <v>9</v>
      </c>
    </row>
    <row r="35" spans="2:27">
      <c r="D35" s="150">
        <v>80</v>
      </c>
      <c r="E35" s="150">
        <f>IF($B$2&gt;0,Q1,IF($B$2&gt;-25,R24,IF($B$2&gt;-50,R49,IF($B$2&gt;-75,R74))))</f>
        <v>0</v>
      </c>
      <c r="F35" s="150">
        <f>IF($B$2&gt;0,Q1,IF($B$2&gt;-25,U24,IF($B$2&gt;-50,U49,IF($B$2&gt;-75,U74))))</f>
        <v>0</v>
      </c>
      <c r="G35" s="150">
        <f>IF($B$2&gt;0,Q1,IF($B$2&gt;-25,X24,IF($B$2&gt;-50,X49,IF($B$2&gt;-75,X74))))</f>
        <v>0</v>
      </c>
      <c r="H35" s="22">
        <f>IF($B$2&gt;0,Q1,IF($B$2&gt;-25,AA24,IF($B$2&gt;-50,AA49,IF($B$2&gt;-75,AA74))))</f>
        <v>0</v>
      </c>
      <c r="J35" s="150">
        <v>80</v>
      </c>
      <c r="K35" s="150">
        <v>313.26</v>
      </c>
      <c r="L35" s="150">
        <f>(630-77)/6*4.75/1.2</f>
        <v>364.82638888888891</v>
      </c>
      <c r="M35" s="150">
        <v>327.81</v>
      </c>
      <c r="N35" s="150">
        <v>297.83</v>
      </c>
      <c r="P35" s="150" t="s">
        <v>10</v>
      </c>
      <c r="Q35" s="150">
        <v>-25</v>
      </c>
      <c r="R35" s="150">
        <f>K29</f>
        <v>334.66</v>
      </c>
      <c r="S35" s="150" t="s">
        <v>10</v>
      </c>
      <c r="T35" s="150">
        <v>-25</v>
      </c>
      <c r="U35" s="150">
        <f>L29</f>
        <v>374.0625</v>
      </c>
      <c r="V35" s="150" t="s">
        <v>10</v>
      </c>
      <c r="W35" s="150">
        <v>-25</v>
      </c>
      <c r="X35" s="150">
        <f>M29</f>
        <v>348.91</v>
      </c>
      <c r="Y35" s="150" t="s">
        <v>10</v>
      </c>
      <c r="Z35" s="150">
        <v>-25</v>
      </c>
      <c r="AA35" s="150">
        <f>N29</f>
        <v>319.68</v>
      </c>
    </row>
    <row r="36" spans="2:27">
      <c r="P36" s="150" t="s">
        <v>10</v>
      </c>
      <c r="Q36" s="150">
        <v>-30</v>
      </c>
      <c r="R36" s="150">
        <f>K34</f>
        <v>338.79</v>
      </c>
      <c r="S36" s="150" t="s">
        <v>10</v>
      </c>
      <c r="T36" s="150">
        <v>-30</v>
      </c>
      <c r="U36" s="150">
        <f>L34</f>
        <v>381.31944444444446</v>
      </c>
      <c r="V36" s="150" t="s">
        <v>10</v>
      </c>
      <c r="W36" s="150">
        <v>-30</v>
      </c>
      <c r="X36" s="150">
        <f>M34</f>
        <v>353.21</v>
      </c>
      <c r="Y36" s="150" t="s">
        <v>10</v>
      </c>
      <c r="Z36" s="150">
        <v>-30</v>
      </c>
      <c r="AA36" s="150">
        <f>N34</f>
        <v>323.61</v>
      </c>
    </row>
    <row r="37" spans="2:27"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O37" s="141"/>
      <c r="P37" s="150" t="s">
        <v>10</v>
      </c>
      <c r="Q37" s="150">
        <v>-35</v>
      </c>
      <c r="R37" s="150">
        <f>K39</f>
        <v>342.58</v>
      </c>
      <c r="S37" s="150" t="s">
        <v>10</v>
      </c>
      <c r="T37" s="150">
        <v>-35</v>
      </c>
      <c r="U37" s="150">
        <f>L39</f>
        <v>388.57638888888891</v>
      </c>
      <c r="V37" s="150" t="s">
        <v>10</v>
      </c>
      <c r="W37" s="150">
        <v>-35</v>
      </c>
      <c r="X37" s="150">
        <f>M39</f>
        <v>357.16</v>
      </c>
      <c r="Y37" s="150" t="s">
        <v>10</v>
      </c>
      <c r="Z37" s="150">
        <v>-35</v>
      </c>
      <c r="AA37" s="150">
        <f>N39</f>
        <v>327.23</v>
      </c>
    </row>
    <row r="38" spans="2:27">
      <c r="B38">
        <f>B30/45</f>
        <v>-25673961.28296797</v>
      </c>
      <c r="J38" s="150">
        <v>100</v>
      </c>
      <c r="K38" s="150">
        <v>364.82</v>
      </c>
      <c r="L38" s="150">
        <f>(630-21)/6*4.75/1.2</f>
        <v>401.77083333333337</v>
      </c>
      <c r="M38" s="150">
        <v>379.01</v>
      </c>
      <c r="N38" s="150">
        <v>349.75</v>
      </c>
      <c r="O38" s="141"/>
      <c r="P38" s="150" t="s">
        <v>10</v>
      </c>
      <c r="Q38" s="150">
        <v>-40</v>
      </c>
      <c r="R38" s="150">
        <f>K44</f>
        <v>346.07</v>
      </c>
      <c r="S38" s="150" t="s">
        <v>10</v>
      </c>
      <c r="T38" s="150">
        <v>-40</v>
      </c>
      <c r="U38" s="150">
        <f>L44</f>
        <v>394.51388888888891</v>
      </c>
      <c r="V38" s="150" t="s">
        <v>10</v>
      </c>
      <c r="W38" s="150">
        <v>-40</v>
      </c>
      <c r="X38" s="150">
        <f>M44</f>
        <v>360.81</v>
      </c>
      <c r="Y38" s="150" t="s">
        <v>10</v>
      </c>
      <c r="Z38" s="150">
        <v>-40</v>
      </c>
      <c r="AA38" s="150">
        <f>N44</f>
        <v>330.55</v>
      </c>
    </row>
    <row r="39" spans="2:27">
      <c r="J39" s="150">
        <v>90</v>
      </c>
      <c r="K39" s="150">
        <v>342.58</v>
      </c>
      <c r="L39" s="150">
        <f>(630-41)/6*4.75/1.2</f>
        <v>388.57638888888891</v>
      </c>
      <c r="M39" s="150">
        <v>357.16</v>
      </c>
      <c r="N39" s="150">
        <v>327.23</v>
      </c>
      <c r="O39" s="141"/>
      <c r="P39" s="150" t="s">
        <v>10</v>
      </c>
      <c r="Q39" s="150">
        <v>-45</v>
      </c>
      <c r="R39" s="150">
        <f>K49</f>
        <v>349.31</v>
      </c>
      <c r="S39" s="150" t="s">
        <v>10</v>
      </c>
      <c r="T39" s="150">
        <v>-45</v>
      </c>
      <c r="U39" s="150">
        <f>L49</f>
        <v>401.11111111111109</v>
      </c>
      <c r="V39" s="150" t="s">
        <v>10</v>
      </c>
      <c r="W39" s="150">
        <v>-45</v>
      </c>
      <c r="X39" s="150">
        <f>M49</f>
        <v>364.2</v>
      </c>
      <c r="Y39" s="150" t="s">
        <v>10</v>
      </c>
      <c r="Z39" s="150">
        <v>-45</v>
      </c>
      <c r="AA39" s="150">
        <f>N49</f>
        <v>333.63</v>
      </c>
    </row>
    <row r="40" spans="2:27">
      <c r="J40" s="150">
        <v>80</v>
      </c>
      <c r="K40" s="150">
        <v>317.33</v>
      </c>
      <c r="L40" s="150">
        <f>(630-65)/6*4.75/1.2</f>
        <v>372.7430555555556</v>
      </c>
      <c r="M40" s="150">
        <v>332.06</v>
      </c>
      <c r="N40" s="150">
        <v>301.7</v>
      </c>
      <c r="P40" s="150" t="s">
        <v>10</v>
      </c>
      <c r="Q40" s="150">
        <v>-50</v>
      </c>
      <c r="R40" s="150">
        <f>K54</f>
        <v>352.32</v>
      </c>
      <c r="S40" s="150" t="s">
        <v>10</v>
      </c>
      <c r="T40" s="150">
        <v>-50</v>
      </c>
      <c r="U40" s="150">
        <f>L54</f>
        <v>406.91666666666669</v>
      </c>
      <c r="V40" s="150" t="s">
        <v>10</v>
      </c>
      <c r="W40" s="150">
        <v>-50</v>
      </c>
      <c r="X40" s="150">
        <f>M54</f>
        <v>367.35</v>
      </c>
      <c r="Y40" s="150" t="s">
        <v>10</v>
      </c>
      <c r="Z40" s="150">
        <v>-50</v>
      </c>
      <c r="AA40" s="150">
        <f>N54</f>
        <v>336.5</v>
      </c>
    </row>
    <row r="41" spans="2:27">
      <c r="D41"/>
      <c r="P41" s="150" t="s">
        <v>11</v>
      </c>
      <c r="Q41" s="9">
        <f>$B$2</f>
        <v>6.0220000000000002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311.88030873901153</v>
      </c>
      <c r="S41" s="150" t="s">
        <v>11</v>
      </c>
      <c r="T41" s="9">
        <f>$B$2</f>
        <v>6.0220000000000002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2805.1781794049457</v>
      </c>
      <c r="V41" s="150" t="s">
        <v>11</v>
      </c>
      <c r="W41" s="9">
        <f>$B$2</f>
        <v>6.0220000000000002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312.81664982484654</v>
      </c>
      <c r="Y41" s="150" t="s">
        <v>11</v>
      </c>
      <c r="Z41" s="9">
        <f>$B$2</f>
        <v>6.0220000000000002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317.75287009299791</v>
      </c>
    </row>
    <row r="42" spans="2:27">
      <c r="D42"/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1" t="s">
        <v>12</v>
      </c>
      <c r="S42" s="1"/>
      <c r="T42" s="1"/>
      <c r="U42" s="1" t="s">
        <v>13</v>
      </c>
      <c r="V42" s="1"/>
      <c r="W42" s="1"/>
      <c r="X42" s="1" t="s">
        <v>8</v>
      </c>
      <c r="Y42" s="1"/>
      <c r="Z42" s="1"/>
      <c r="AA42" s="1" t="s">
        <v>9</v>
      </c>
    </row>
    <row r="43" spans="2:27">
      <c r="D43"/>
      <c r="J43" s="150">
        <v>100</v>
      </c>
      <c r="K43" s="150">
        <v>368.1</v>
      </c>
      <c r="L43" s="150">
        <f>(630-11)/6*4.75/1.2</f>
        <v>408.3680555555556</v>
      </c>
      <c r="M43" s="150">
        <v>382.43</v>
      </c>
      <c r="N43" s="150">
        <v>352.87</v>
      </c>
      <c r="P43" s="150" t="s">
        <v>10</v>
      </c>
      <c r="Q43" s="150">
        <v>-25</v>
      </c>
      <c r="R43" s="150">
        <f>K30</f>
        <v>308.82</v>
      </c>
      <c r="S43" s="150" t="s">
        <v>10</v>
      </c>
      <c r="T43" s="150">
        <v>-25</v>
      </c>
      <c r="U43" s="150">
        <f>L30</f>
        <v>356.25</v>
      </c>
      <c r="V43" s="150" t="s">
        <v>10</v>
      </c>
      <c r="W43" s="150">
        <v>-25</v>
      </c>
      <c r="X43" s="150">
        <f>M30</f>
        <v>323.16000000000003</v>
      </c>
      <c r="Y43" s="150" t="s">
        <v>10</v>
      </c>
      <c r="Z43" s="150">
        <v>-25</v>
      </c>
      <c r="AA43" s="150">
        <f>N30</f>
        <v>293.61</v>
      </c>
    </row>
    <row r="44" spans="2:27">
      <c r="D44"/>
      <c r="J44" s="150">
        <v>90</v>
      </c>
      <c r="K44" s="150">
        <v>346.07</v>
      </c>
      <c r="L44" s="150">
        <f>(630-32)/6*4.75/1.2</f>
        <v>394.51388888888891</v>
      </c>
      <c r="M44" s="150">
        <v>360.81</v>
      </c>
      <c r="N44" s="150">
        <v>330.55</v>
      </c>
      <c r="P44" s="150" t="s">
        <v>10</v>
      </c>
      <c r="Q44" s="150">
        <v>-30</v>
      </c>
      <c r="R44" s="150">
        <f>K35</f>
        <v>313.26</v>
      </c>
      <c r="S44" s="150" t="s">
        <v>10</v>
      </c>
      <c r="T44" s="150">
        <v>-30</v>
      </c>
      <c r="U44" s="150">
        <f>L35</f>
        <v>364.82638888888891</v>
      </c>
      <c r="V44" s="150" t="s">
        <v>10</v>
      </c>
      <c r="W44" s="150">
        <v>-30</v>
      </c>
      <c r="X44" s="150">
        <f>M35</f>
        <v>327.81</v>
      </c>
      <c r="Y44" s="150" t="s">
        <v>10</v>
      </c>
      <c r="Z44" s="150">
        <v>-30</v>
      </c>
      <c r="AA44" s="150">
        <f>N35</f>
        <v>297.83</v>
      </c>
    </row>
    <row r="45" spans="2:27">
      <c r="D45"/>
      <c r="J45" s="150">
        <v>80</v>
      </c>
      <c r="K45" s="150">
        <v>321.08</v>
      </c>
      <c r="L45" s="150">
        <f>(630-55)/6*4.75/1.2</f>
        <v>379.34027777777777</v>
      </c>
      <c r="M45" s="150">
        <v>335.98</v>
      </c>
      <c r="N45" s="150">
        <v>305.25</v>
      </c>
      <c r="O45" s="140"/>
      <c r="P45" s="150" t="s">
        <v>10</v>
      </c>
      <c r="Q45" s="150">
        <v>-35</v>
      </c>
      <c r="R45" s="150">
        <f>K40</f>
        <v>317.33</v>
      </c>
      <c r="S45" s="150" t="s">
        <v>10</v>
      </c>
      <c r="T45" s="150">
        <v>-35</v>
      </c>
      <c r="U45" s="150">
        <f>L40</f>
        <v>372.7430555555556</v>
      </c>
      <c r="V45" s="150" t="s">
        <v>10</v>
      </c>
      <c r="W45" s="150">
        <v>-35</v>
      </c>
      <c r="X45" s="150">
        <f>M40</f>
        <v>332.06</v>
      </c>
      <c r="Y45" s="150" t="s">
        <v>10</v>
      </c>
      <c r="Z45" s="150">
        <v>-35</v>
      </c>
      <c r="AA45" s="150">
        <f>N40</f>
        <v>301.7</v>
      </c>
    </row>
    <row r="46" spans="2:27">
      <c r="O46" s="140"/>
      <c r="P46" s="150" t="s">
        <v>10</v>
      </c>
      <c r="Q46" s="150">
        <v>-40</v>
      </c>
      <c r="R46" s="150">
        <f>K45</f>
        <v>321.08</v>
      </c>
      <c r="S46" s="150" t="s">
        <v>10</v>
      </c>
      <c r="T46" s="150">
        <v>-40</v>
      </c>
      <c r="U46" s="150">
        <f>L45</f>
        <v>379.34027777777777</v>
      </c>
      <c r="V46" s="150" t="s">
        <v>10</v>
      </c>
      <c r="W46" s="150">
        <v>-40</v>
      </c>
      <c r="X46" s="150">
        <f>M45</f>
        <v>335.98</v>
      </c>
      <c r="Y46" s="150" t="s">
        <v>10</v>
      </c>
      <c r="Z46" s="150">
        <v>-40</v>
      </c>
      <c r="AA46" s="150">
        <f>N45</f>
        <v>305.25</v>
      </c>
    </row>
    <row r="47" spans="2:27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O47" s="140"/>
      <c r="P47" s="150" t="s">
        <v>10</v>
      </c>
      <c r="Q47" s="150">
        <v>-45</v>
      </c>
      <c r="R47" s="150">
        <f>K50</f>
        <v>324.54000000000002</v>
      </c>
      <c r="S47" s="150" t="s">
        <v>10</v>
      </c>
      <c r="T47" s="150">
        <v>-45</v>
      </c>
      <c r="U47" s="150">
        <f>L50</f>
        <v>386.59722222222223</v>
      </c>
      <c r="V47" s="150" t="s">
        <v>10</v>
      </c>
      <c r="W47" s="150">
        <v>-45</v>
      </c>
      <c r="X47" s="150">
        <f>M50</f>
        <v>339.61</v>
      </c>
      <c r="Y47" s="150" t="s">
        <v>10</v>
      </c>
      <c r="Z47" s="150">
        <v>-45</v>
      </c>
      <c r="AA47" s="150">
        <f>N50</f>
        <v>308.54000000000002</v>
      </c>
    </row>
    <row r="48" spans="2:27">
      <c r="J48" s="150">
        <v>100</v>
      </c>
      <c r="K48" s="150">
        <v>371.15</v>
      </c>
      <c r="L48" s="150">
        <f>(630-3)/6*4.75/1.2</f>
        <v>413.64583333333337</v>
      </c>
      <c r="M48" s="150">
        <v>385.62</v>
      </c>
      <c r="N48" s="150">
        <v>355.77</v>
      </c>
      <c r="P48" s="150" t="s">
        <v>10</v>
      </c>
      <c r="Q48" s="150">
        <v>-50</v>
      </c>
      <c r="R48" s="150">
        <f>K55</f>
        <v>327.76</v>
      </c>
      <c r="S48" s="150" t="s">
        <v>10</v>
      </c>
      <c r="T48" s="150">
        <v>-50</v>
      </c>
      <c r="U48" s="150">
        <f>L55</f>
        <v>392.66666666666669</v>
      </c>
      <c r="V48" s="150" t="s">
        <v>10</v>
      </c>
      <c r="W48" s="150">
        <v>-50</v>
      </c>
      <c r="X48" s="150">
        <f>M55</f>
        <v>342.98</v>
      </c>
      <c r="Y48" s="150" t="s">
        <v>10</v>
      </c>
      <c r="Z48" s="150">
        <v>-50</v>
      </c>
      <c r="AA48" s="150">
        <f>N55</f>
        <v>311.58</v>
      </c>
    </row>
    <row r="49" spans="10:27">
      <c r="J49" s="150">
        <v>90</v>
      </c>
      <c r="K49" s="150">
        <v>349.31</v>
      </c>
      <c r="L49" s="150">
        <f>(630-22)/6*4.75/1.2</f>
        <v>401.11111111111109</v>
      </c>
      <c r="M49" s="150">
        <v>364.2</v>
      </c>
      <c r="N49" s="150">
        <v>333.63</v>
      </c>
      <c r="O49" s="139"/>
      <c r="P49" s="150" t="s">
        <v>11</v>
      </c>
      <c r="Q49" s="9">
        <f>$B$2</f>
        <v>6.0220000000000002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255.65245681867236</v>
      </c>
      <c r="S49" s="150" t="s">
        <v>11</v>
      </c>
      <c r="T49" s="9">
        <f>$B$2</f>
        <v>6.0220000000000002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2555.5768445839785</v>
      </c>
      <c r="V49" s="150" t="s">
        <v>11</v>
      </c>
      <c r="W49" s="9">
        <f>$B$2</f>
        <v>6.0220000000000002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271.13100547963404</v>
      </c>
      <c r="Y49" s="150" t="s">
        <v>11</v>
      </c>
      <c r="Z49" s="9">
        <f>$B$2</f>
        <v>6.0220000000000002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284.95425846641592</v>
      </c>
    </row>
    <row r="50" spans="10:27">
      <c r="J50" s="150">
        <v>80</v>
      </c>
      <c r="K50" s="150">
        <v>324.54000000000002</v>
      </c>
      <c r="L50" s="150">
        <f>(630-44)/6*4.75/1.2</f>
        <v>386.59722222222223</v>
      </c>
      <c r="M50" s="150">
        <v>339.61</v>
      </c>
      <c r="N50" s="150">
        <v>308.54000000000002</v>
      </c>
    </row>
    <row r="51" spans="10:27">
      <c r="R51" s="1" t="s">
        <v>12</v>
      </c>
      <c r="S51" s="1"/>
      <c r="T51" s="1"/>
      <c r="U51" s="1" t="s">
        <v>13</v>
      </c>
      <c r="V51" s="1"/>
      <c r="W51" s="1"/>
      <c r="X51" s="1" t="s">
        <v>8</v>
      </c>
      <c r="Y51" s="1"/>
      <c r="Z51" s="1"/>
      <c r="AA51" s="1" t="s">
        <v>9</v>
      </c>
    </row>
    <row r="52" spans="10:27"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50" t="s">
        <v>10</v>
      </c>
      <c r="Q52" s="150">
        <v>-50</v>
      </c>
      <c r="R52" s="150">
        <f>K53</f>
        <v>373.99</v>
      </c>
      <c r="S52" s="150" t="s">
        <v>10</v>
      </c>
      <c r="T52" s="150">
        <v>-50</v>
      </c>
      <c r="U52" s="150">
        <f>L53</f>
        <v>419.58333333333337</v>
      </c>
      <c r="V52" s="150" t="s">
        <v>10</v>
      </c>
      <c r="W52" s="150">
        <v>-50</v>
      </c>
      <c r="X52" s="150">
        <f>M53</f>
        <v>388.59</v>
      </c>
      <c r="Y52" s="150" t="s">
        <v>10</v>
      </c>
      <c r="Z52" s="150">
        <v>-50</v>
      </c>
      <c r="AA52" s="150">
        <f>N53</f>
        <v>358.48</v>
      </c>
    </row>
    <row r="53" spans="10:27">
      <c r="J53" s="150">
        <v>100</v>
      </c>
      <c r="K53" s="150">
        <v>373.99</v>
      </c>
      <c r="L53" s="150">
        <f>(630-100)/5*4.75/1.2</f>
        <v>419.58333333333337</v>
      </c>
      <c r="M53" s="150">
        <v>388.59</v>
      </c>
      <c r="N53" s="150">
        <v>358.48</v>
      </c>
      <c r="O53" s="139"/>
      <c r="P53" s="150" t="s">
        <v>10</v>
      </c>
      <c r="Q53" s="150">
        <v>-55</v>
      </c>
      <c r="R53" s="150">
        <f>K58</f>
        <v>376.64</v>
      </c>
      <c r="S53" s="150" t="s">
        <v>10</v>
      </c>
      <c r="T53" s="150">
        <v>-55</v>
      </c>
      <c r="U53" s="150">
        <f>L58</f>
        <v>424.33333333333331</v>
      </c>
      <c r="V53" s="150" t="s">
        <v>10</v>
      </c>
      <c r="W53" s="150">
        <v>-55</v>
      </c>
      <c r="X53" s="150">
        <f>M58</f>
        <v>391.38</v>
      </c>
      <c r="Y53" s="150" t="s">
        <v>10</v>
      </c>
      <c r="Z53" s="150">
        <v>-55</v>
      </c>
      <c r="AA53" s="150">
        <f>N58</f>
        <v>360.99</v>
      </c>
    </row>
    <row r="54" spans="10:27">
      <c r="J54" s="150">
        <v>90</v>
      </c>
      <c r="K54" s="150">
        <v>352.32</v>
      </c>
      <c r="L54" s="150">
        <f>(630-116)/5*4.75/1.2</f>
        <v>406.91666666666669</v>
      </c>
      <c r="M54" s="150">
        <v>367.35</v>
      </c>
      <c r="N54" s="150">
        <v>336.5</v>
      </c>
      <c r="O54" s="140"/>
      <c r="P54" s="150" t="s">
        <v>10</v>
      </c>
      <c r="Q54" s="150">
        <v>-60</v>
      </c>
      <c r="R54" s="150">
        <f>K63</f>
        <v>379.13</v>
      </c>
      <c r="S54" s="150" t="s">
        <v>10</v>
      </c>
      <c r="T54" s="150">
        <v>-60</v>
      </c>
      <c r="U54" s="150">
        <f>L63</f>
        <v>429.87500000000006</v>
      </c>
      <c r="V54" s="150" t="s">
        <v>10</v>
      </c>
      <c r="W54" s="150">
        <v>-60</v>
      </c>
      <c r="X54" s="150">
        <f>M63</f>
        <v>393.99</v>
      </c>
      <c r="Y54" s="150" t="s">
        <v>10</v>
      </c>
      <c r="Z54" s="150">
        <v>-60</v>
      </c>
      <c r="AA54" s="150">
        <f>N63</f>
        <v>363.35</v>
      </c>
    </row>
    <row r="55" spans="10:27">
      <c r="J55" s="150">
        <v>80</v>
      </c>
      <c r="K55" s="150">
        <v>327.76</v>
      </c>
      <c r="L55" s="150">
        <f>(630-134)/5*4.75/1.2</f>
        <v>392.66666666666669</v>
      </c>
      <c r="M55" s="150">
        <v>342.98</v>
      </c>
      <c r="N55" s="150">
        <v>311.58</v>
      </c>
      <c r="O55" s="140"/>
      <c r="P55" s="150" t="s">
        <v>10</v>
      </c>
      <c r="Q55" s="150">
        <v>-65</v>
      </c>
      <c r="R55" s="150">
        <f>K68</f>
        <v>381.47</v>
      </c>
      <c r="S55" s="150" t="s">
        <v>10</v>
      </c>
      <c r="T55" s="150">
        <v>-65</v>
      </c>
      <c r="U55" s="150">
        <f>L68</f>
        <v>433.83333333333337</v>
      </c>
      <c r="V55" s="150" t="s">
        <v>10</v>
      </c>
      <c r="W55" s="150">
        <v>-65</v>
      </c>
      <c r="X55" s="150">
        <f>M68</f>
        <v>396.45</v>
      </c>
      <c r="Y55" s="150" t="s">
        <v>10</v>
      </c>
      <c r="Z55" s="150">
        <v>-65</v>
      </c>
      <c r="AA55" s="150">
        <f>N68</f>
        <v>365.56</v>
      </c>
    </row>
    <row r="56" spans="10:27">
      <c r="O56" s="140"/>
      <c r="P56" s="150" t="s">
        <v>10</v>
      </c>
      <c r="Q56" s="150">
        <v>-70</v>
      </c>
      <c r="R56" s="150">
        <f>K73</f>
        <v>383.67</v>
      </c>
      <c r="S56" s="150" t="s">
        <v>10</v>
      </c>
      <c r="T56" s="150">
        <v>-70</v>
      </c>
      <c r="U56" s="150">
        <f>L73</f>
        <v>438.58333333333331</v>
      </c>
      <c r="V56" s="150" t="s">
        <v>10</v>
      </c>
      <c r="W56" s="150">
        <v>-70</v>
      </c>
      <c r="X56" s="150">
        <f>M73</f>
        <v>398.77</v>
      </c>
      <c r="Y56" s="150" t="s">
        <v>10</v>
      </c>
      <c r="Z56" s="150">
        <v>-70</v>
      </c>
      <c r="AA56" s="150">
        <f>N73</f>
        <v>367.64</v>
      </c>
    </row>
    <row r="57" spans="10:27"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50" t="s">
        <v>10</v>
      </c>
      <c r="Q57" s="150">
        <v>-75</v>
      </c>
      <c r="R57" s="150">
        <f>K78</f>
        <v>385.75</v>
      </c>
      <c r="S57" s="150" t="s">
        <v>10</v>
      </c>
      <c r="T57" s="150">
        <v>-75</v>
      </c>
      <c r="U57" s="150">
        <f>L78</f>
        <v>443.33333333333337</v>
      </c>
      <c r="V57" s="150" t="s">
        <v>10</v>
      </c>
      <c r="W57" s="150">
        <v>-75</v>
      </c>
      <c r="X57" s="150">
        <f>M78</f>
        <v>400.96</v>
      </c>
      <c r="Y57" s="150" t="s">
        <v>10</v>
      </c>
      <c r="Z57" s="150">
        <v>-75</v>
      </c>
      <c r="AA57" s="150">
        <f>N78</f>
        <v>369.6</v>
      </c>
    </row>
    <row r="58" spans="10:27">
      <c r="J58" s="150">
        <v>100</v>
      </c>
      <c r="K58" s="150">
        <v>376.64</v>
      </c>
      <c r="L58" s="150">
        <f>(630-94)/5*4.75/1.2</f>
        <v>424.33333333333331</v>
      </c>
      <c r="M58" s="150">
        <v>391.38</v>
      </c>
      <c r="N58" s="150">
        <v>360.99</v>
      </c>
      <c r="P58" s="150" t="s">
        <v>11</v>
      </c>
      <c r="Q58" s="9">
        <f>$B$2</f>
        <v>6.0220000000000002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297.85319879208691</v>
      </c>
      <c r="S58" s="150" t="s">
        <v>11</v>
      </c>
      <c r="T58" s="9">
        <f>$B$2</f>
        <v>6.0220000000000002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31937.576763328863</v>
      </c>
      <c r="V58" s="150" t="s">
        <v>11</v>
      </c>
      <c r="W58" s="9">
        <f>$B$2</f>
        <v>6.0220000000000002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249.62910811905749</v>
      </c>
      <c r="Y58" s="150" t="s">
        <v>11</v>
      </c>
      <c r="Z58" s="9">
        <f>$B$2</f>
        <v>6.0220000000000002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438.96328983665444</v>
      </c>
    </row>
    <row r="59" spans="10:27">
      <c r="J59" s="150">
        <v>90</v>
      </c>
      <c r="K59" s="150">
        <v>355.13</v>
      </c>
      <c r="L59" s="150">
        <f>(630-109)/5*4.75/1.2</f>
        <v>412.45833333333331</v>
      </c>
      <c r="M59" s="150">
        <v>370.3</v>
      </c>
      <c r="N59" s="150">
        <v>339.15</v>
      </c>
      <c r="R59" s="1" t="s">
        <v>12</v>
      </c>
      <c r="S59" s="1"/>
      <c r="T59" s="1"/>
      <c r="U59" s="1" t="s">
        <v>13</v>
      </c>
      <c r="V59" s="1"/>
      <c r="W59" s="1"/>
      <c r="X59" s="1" t="s">
        <v>8</v>
      </c>
      <c r="Y59" s="1"/>
      <c r="Z59" s="1"/>
      <c r="AA59" s="1" t="s">
        <v>9</v>
      </c>
    </row>
    <row r="60" spans="10:27">
      <c r="J60" s="150">
        <v>80</v>
      </c>
      <c r="K60" s="150">
        <v>330.75</v>
      </c>
      <c r="L60" s="150">
        <f>(630-126)/5*4.75/1.2</f>
        <v>399</v>
      </c>
      <c r="M60" s="150">
        <v>346.12</v>
      </c>
      <c r="N60" s="150">
        <v>314.42</v>
      </c>
      <c r="P60" s="150" t="s">
        <v>10</v>
      </c>
      <c r="Q60" s="150">
        <v>-50</v>
      </c>
      <c r="R60" s="150">
        <f>K54</f>
        <v>352.32</v>
      </c>
      <c r="S60" s="150" t="s">
        <v>10</v>
      </c>
      <c r="T60" s="150">
        <v>-50</v>
      </c>
      <c r="U60" s="150">
        <f>L54</f>
        <v>406.91666666666669</v>
      </c>
      <c r="V60" s="150" t="s">
        <v>10</v>
      </c>
      <c r="W60" s="150">
        <v>-50</v>
      </c>
      <c r="X60" s="150">
        <f>M54</f>
        <v>367.35</v>
      </c>
      <c r="Y60" s="150" t="s">
        <v>10</v>
      </c>
      <c r="Z60" s="150">
        <v>-50</v>
      </c>
      <c r="AA60" s="150">
        <f>N54</f>
        <v>336.5</v>
      </c>
    </row>
    <row r="61" spans="10:27">
      <c r="P61" s="150" t="s">
        <v>10</v>
      </c>
      <c r="Q61" s="150">
        <v>-55</v>
      </c>
      <c r="R61" s="150">
        <f>K59</f>
        <v>355.13</v>
      </c>
      <c r="S61" s="150" t="s">
        <v>10</v>
      </c>
      <c r="T61" s="150">
        <v>-55</v>
      </c>
      <c r="U61" s="150">
        <f>L59</f>
        <v>412.45833333333331</v>
      </c>
      <c r="V61" s="150" t="s">
        <v>10</v>
      </c>
      <c r="W61" s="150">
        <v>-55</v>
      </c>
      <c r="X61" s="150">
        <f>M59</f>
        <v>370.3</v>
      </c>
      <c r="Y61" s="150" t="s">
        <v>10</v>
      </c>
      <c r="Z61" s="150">
        <v>-55</v>
      </c>
      <c r="AA61" s="150">
        <f>N59</f>
        <v>339.15</v>
      </c>
    </row>
    <row r="62" spans="10:27"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O62" s="141"/>
      <c r="P62" s="150" t="s">
        <v>10</v>
      </c>
      <c r="Q62" s="150">
        <v>-60</v>
      </c>
      <c r="R62" s="150">
        <f>K64</f>
        <v>357.76</v>
      </c>
      <c r="S62" s="150" t="s">
        <v>10</v>
      </c>
      <c r="T62" s="150">
        <v>-60</v>
      </c>
      <c r="U62" s="150">
        <f>L64</f>
        <v>418</v>
      </c>
      <c r="V62" s="150" t="s">
        <v>10</v>
      </c>
      <c r="W62" s="150">
        <v>-60</v>
      </c>
      <c r="X62" s="150">
        <f>M64</f>
        <v>373.06</v>
      </c>
      <c r="Y62" s="150" t="s">
        <v>10</v>
      </c>
      <c r="Z62" s="150">
        <v>-60</v>
      </c>
      <c r="AA62" s="150">
        <f>N64</f>
        <v>341.64</v>
      </c>
    </row>
    <row r="63" spans="10:27">
      <c r="J63" s="150">
        <v>100</v>
      </c>
      <c r="K63" s="150">
        <v>379.13</v>
      </c>
      <c r="L63" s="150">
        <f>(630-87)/5*4.75/1.2</f>
        <v>429.87500000000006</v>
      </c>
      <c r="M63" s="150">
        <v>393.99</v>
      </c>
      <c r="N63" s="150">
        <v>363.35</v>
      </c>
      <c r="O63" s="141"/>
      <c r="P63" s="150" t="s">
        <v>10</v>
      </c>
      <c r="Q63" s="150">
        <v>-65</v>
      </c>
      <c r="R63" s="150">
        <f>K69</f>
        <v>360.23</v>
      </c>
      <c r="S63" s="150" t="s">
        <v>10</v>
      </c>
      <c r="T63" s="150">
        <v>-65</v>
      </c>
      <c r="U63" s="150">
        <f>L69</f>
        <v>422.75</v>
      </c>
      <c r="V63" s="150" t="s">
        <v>10</v>
      </c>
      <c r="W63" s="150">
        <v>-65</v>
      </c>
      <c r="X63" s="150">
        <f>M69</f>
        <v>375.65</v>
      </c>
      <c r="Y63" s="150" t="s">
        <v>10</v>
      </c>
      <c r="Z63" s="150">
        <v>-65</v>
      </c>
      <c r="AA63" s="150">
        <f>N69</f>
        <v>343.97</v>
      </c>
    </row>
    <row r="64" spans="10:27">
      <c r="J64" s="150">
        <v>90</v>
      </c>
      <c r="K64" s="150">
        <v>357.76</v>
      </c>
      <c r="L64" s="150">
        <f>(630-102)/5*4.75/1.2</f>
        <v>418</v>
      </c>
      <c r="M64" s="150">
        <v>373.06</v>
      </c>
      <c r="N64" s="150">
        <v>341.64</v>
      </c>
      <c r="O64" s="141"/>
      <c r="P64" s="150" t="s">
        <v>10</v>
      </c>
      <c r="Q64" s="150">
        <v>-70</v>
      </c>
      <c r="R64" s="150">
        <f>K74</f>
        <v>362.54</v>
      </c>
      <c r="S64" s="150" t="s">
        <v>10</v>
      </c>
      <c r="T64" s="150">
        <v>-70</v>
      </c>
      <c r="U64" s="150">
        <f>L74</f>
        <v>427.5</v>
      </c>
      <c r="V64" s="150" t="s">
        <v>10</v>
      </c>
      <c r="W64" s="150">
        <v>-70</v>
      </c>
      <c r="X64" s="150">
        <f>M74</f>
        <v>378.09</v>
      </c>
      <c r="Y64" s="150" t="s">
        <v>10</v>
      </c>
      <c r="Z64" s="150">
        <v>-70</v>
      </c>
      <c r="AA64" s="150">
        <f>N74</f>
        <v>346.16</v>
      </c>
    </row>
    <row r="65" spans="10:27">
      <c r="J65" s="150">
        <v>80</v>
      </c>
      <c r="K65" s="150">
        <v>333.54</v>
      </c>
      <c r="L65" s="150">
        <f>(630-119)/5*4.75/1.2</f>
        <v>404.54166666666669</v>
      </c>
      <c r="M65" s="150">
        <v>349.06</v>
      </c>
      <c r="N65" s="150">
        <v>317.05</v>
      </c>
      <c r="P65" s="150" t="s">
        <v>10</v>
      </c>
      <c r="Q65" s="150">
        <v>-75</v>
      </c>
      <c r="R65" s="150">
        <f>K79</f>
        <v>364.73</v>
      </c>
      <c r="S65" s="150" t="s">
        <v>10</v>
      </c>
      <c r="T65" s="150">
        <v>-75</v>
      </c>
      <c r="U65" s="150">
        <f>L79</f>
        <v>432.25000000000006</v>
      </c>
      <c r="V65" s="150" t="s">
        <v>10</v>
      </c>
      <c r="W65" s="150">
        <v>-75</v>
      </c>
      <c r="X65" s="150">
        <f>M79</f>
        <v>380.39</v>
      </c>
      <c r="Y65" s="150" t="s">
        <v>10</v>
      </c>
      <c r="Z65" s="150">
        <v>-75</v>
      </c>
      <c r="AA65" s="150">
        <f>N79</f>
        <v>348.22</v>
      </c>
    </row>
    <row r="66" spans="10:27">
      <c r="P66" s="150" t="s">
        <v>11</v>
      </c>
      <c r="Q66" s="9">
        <f>$B$2</f>
        <v>6.0220000000000002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86.158950317418203</v>
      </c>
      <c r="S66" s="150" t="s">
        <v>11</v>
      </c>
      <c r="T66" s="9">
        <f>$B$2</f>
        <v>6.0220000000000002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9992.9785612055566</v>
      </c>
      <c r="V66" s="150" t="s">
        <v>11</v>
      </c>
      <c r="W66" s="9">
        <f>$B$2</f>
        <v>6.0220000000000002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347.78409483470023</v>
      </c>
      <c r="Y66" s="150" t="s">
        <v>11</v>
      </c>
      <c r="Z66" s="9">
        <f>$B$2</f>
        <v>6.0220000000000002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414.7309589383658</v>
      </c>
    </row>
    <row r="67" spans="10:27"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1" t="s">
        <v>12</v>
      </c>
      <c r="S67" s="1"/>
      <c r="T67" s="1"/>
      <c r="U67" s="1" t="s">
        <v>13</v>
      </c>
      <c r="V67" s="1"/>
      <c r="W67" s="1"/>
      <c r="X67" s="1" t="s">
        <v>8</v>
      </c>
      <c r="Y67" s="1"/>
      <c r="Z67" s="1"/>
      <c r="AA67" s="1" t="s">
        <v>9</v>
      </c>
    </row>
    <row r="68" spans="10:27">
      <c r="J68" s="150">
        <v>100</v>
      </c>
      <c r="K68" s="150">
        <v>381.47</v>
      </c>
      <c r="L68" s="150">
        <f>(630-82)/5*4.75/1.2</f>
        <v>433.83333333333337</v>
      </c>
      <c r="M68" s="150">
        <v>396.45</v>
      </c>
      <c r="N68" s="150">
        <v>365.56</v>
      </c>
      <c r="P68" s="150" t="s">
        <v>10</v>
      </c>
      <c r="Q68" s="150">
        <v>-50</v>
      </c>
      <c r="R68" s="150">
        <f>K55</f>
        <v>327.76</v>
      </c>
      <c r="S68" s="150" t="s">
        <v>10</v>
      </c>
      <c r="T68" s="150">
        <v>-50</v>
      </c>
      <c r="U68" s="150">
        <f>L55</f>
        <v>392.66666666666669</v>
      </c>
      <c r="V68" s="150" t="s">
        <v>10</v>
      </c>
      <c r="W68" s="150">
        <v>-50</v>
      </c>
      <c r="X68" s="150">
        <f>M55</f>
        <v>342.98</v>
      </c>
      <c r="Y68" s="150" t="s">
        <v>10</v>
      </c>
      <c r="Z68" s="150">
        <v>-50</v>
      </c>
      <c r="AA68" s="150">
        <f>N55</f>
        <v>311.58</v>
      </c>
    </row>
    <row r="69" spans="10:27">
      <c r="J69" s="150">
        <v>90</v>
      </c>
      <c r="K69" s="150">
        <v>360.23</v>
      </c>
      <c r="L69" s="150">
        <f>(630-96)/5*4.75/1.2</f>
        <v>422.75</v>
      </c>
      <c r="M69" s="150">
        <v>375.65</v>
      </c>
      <c r="N69" s="150">
        <v>343.97</v>
      </c>
      <c r="P69" s="150" t="s">
        <v>10</v>
      </c>
      <c r="Q69" s="150">
        <v>-55</v>
      </c>
      <c r="R69" s="150">
        <f>K60</f>
        <v>330.75</v>
      </c>
      <c r="S69" s="150" t="s">
        <v>10</v>
      </c>
      <c r="T69" s="150">
        <v>-55</v>
      </c>
      <c r="U69" s="150">
        <f>L60</f>
        <v>399</v>
      </c>
      <c r="V69" s="150" t="s">
        <v>10</v>
      </c>
      <c r="W69" s="150">
        <v>-55</v>
      </c>
      <c r="X69" s="150">
        <f>M60</f>
        <v>346.12</v>
      </c>
      <c r="Y69" s="150" t="s">
        <v>10</v>
      </c>
      <c r="Z69" s="150">
        <v>-55</v>
      </c>
      <c r="AA69" s="150">
        <f>N60</f>
        <v>314.42</v>
      </c>
    </row>
    <row r="70" spans="10:27">
      <c r="J70" s="150">
        <v>80</v>
      </c>
      <c r="K70" s="150">
        <v>336.16</v>
      </c>
      <c r="L70" s="150">
        <f>(630-112)/5*4.75/1.2</f>
        <v>410.08333333333331</v>
      </c>
      <c r="M70" s="150">
        <v>351.81</v>
      </c>
      <c r="N70" s="150">
        <v>319.52</v>
      </c>
      <c r="O70" s="140"/>
      <c r="P70" s="150" t="s">
        <v>10</v>
      </c>
      <c r="Q70" s="150">
        <v>-60</v>
      </c>
      <c r="R70" s="150">
        <f>K65</f>
        <v>333.54</v>
      </c>
      <c r="S70" s="150" t="s">
        <v>10</v>
      </c>
      <c r="T70" s="150">
        <v>-60</v>
      </c>
      <c r="U70" s="150">
        <f>L65</f>
        <v>404.54166666666669</v>
      </c>
      <c r="V70" s="150" t="s">
        <v>10</v>
      </c>
      <c r="W70" s="150">
        <v>-60</v>
      </c>
      <c r="X70" s="150">
        <f>M65</f>
        <v>349.06</v>
      </c>
      <c r="Y70" s="150" t="s">
        <v>10</v>
      </c>
      <c r="Z70" s="150">
        <v>-60</v>
      </c>
      <c r="AA70" s="150">
        <f>N65</f>
        <v>317.05</v>
      </c>
    </row>
    <row r="71" spans="10:27">
      <c r="O71" s="140"/>
      <c r="P71" s="150" t="s">
        <v>10</v>
      </c>
      <c r="Q71" s="150">
        <v>-65</v>
      </c>
      <c r="R71" s="150">
        <f>K70</f>
        <v>336.16</v>
      </c>
      <c r="S71" s="150" t="s">
        <v>10</v>
      </c>
      <c r="T71" s="150">
        <v>-65</v>
      </c>
      <c r="U71" s="150">
        <f>L70</f>
        <v>410.08333333333331</v>
      </c>
      <c r="V71" s="150" t="s">
        <v>10</v>
      </c>
      <c r="W71" s="150">
        <v>-65</v>
      </c>
      <c r="X71" s="150">
        <f>M70</f>
        <v>351.81</v>
      </c>
      <c r="Y71" s="150" t="s">
        <v>10</v>
      </c>
      <c r="Z71" s="150">
        <v>-65</v>
      </c>
      <c r="AA71" s="150">
        <f>N70</f>
        <v>319.52</v>
      </c>
    </row>
    <row r="72" spans="10:27"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O72" s="140"/>
      <c r="P72" s="150" t="s">
        <v>10</v>
      </c>
      <c r="Q72" s="150">
        <v>-70</v>
      </c>
      <c r="R72" s="150">
        <f>K75</f>
        <v>338.61</v>
      </c>
      <c r="S72" s="150" t="s">
        <v>10</v>
      </c>
      <c r="T72" s="150">
        <v>-70</v>
      </c>
      <c r="U72" s="150">
        <f>L75</f>
        <v>414.83333333333337</v>
      </c>
      <c r="V72" s="150" t="s">
        <v>10</v>
      </c>
      <c r="W72" s="150">
        <v>-70</v>
      </c>
      <c r="X72" s="150">
        <f>M75</f>
        <v>354.4</v>
      </c>
      <c r="Y72" s="150" t="s">
        <v>10</v>
      </c>
      <c r="Z72" s="150">
        <v>-70</v>
      </c>
      <c r="AA72" s="150">
        <f>N75</f>
        <v>321.83</v>
      </c>
    </row>
    <row r="73" spans="10:27">
      <c r="J73" s="150">
        <v>100</v>
      </c>
      <c r="K73" s="150">
        <v>383.67</v>
      </c>
      <c r="L73" s="150">
        <f>(630-76)/5*4.75/1.2</f>
        <v>438.58333333333331</v>
      </c>
      <c r="M73" s="150">
        <v>398.77</v>
      </c>
      <c r="N73" s="150">
        <v>367.64</v>
      </c>
      <c r="P73" s="150" t="s">
        <v>10</v>
      </c>
      <c r="Q73" s="150">
        <v>-75</v>
      </c>
      <c r="R73" s="150">
        <f>K80</f>
        <v>340.92</v>
      </c>
      <c r="S73" s="150" t="s">
        <v>10</v>
      </c>
      <c r="T73" s="150">
        <v>-75</v>
      </c>
      <c r="U73" s="150">
        <f>L80</f>
        <v>420.375</v>
      </c>
      <c r="V73" s="150" t="s">
        <v>10</v>
      </c>
      <c r="W73" s="150">
        <v>-75</v>
      </c>
      <c r="X73" s="150">
        <f>M80</f>
        <v>356.83</v>
      </c>
      <c r="Y73" s="150" t="s">
        <v>10</v>
      </c>
      <c r="Z73" s="150">
        <v>-75</v>
      </c>
      <c r="AA73" s="150">
        <f>N80</f>
        <v>324</v>
      </c>
    </row>
    <row r="74" spans="10:27">
      <c r="J74" s="150">
        <v>90</v>
      </c>
      <c r="K74" s="150">
        <v>362.54</v>
      </c>
      <c r="L74" s="150">
        <f>(630-90)/5*4.75/1.2</f>
        <v>427.5</v>
      </c>
      <c r="M74" s="150">
        <v>378.09</v>
      </c>
      <c r="N74" s="150">
        <v>346.16</v>
      </c>
      <c r="O74" s="139"/>
      <c r="P74" s="150" t="s">
        <v>11</v>
      </c>
      <c r="Q74" s="9">
        <f>$B$2</f>
        <v>6.0220000000000002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44.518883349606767</v>
      </c>
      <c r="S74" s="150" t="s">
        <v>11</v>
      </c>
      <c r="T74" s="9">
        <f>$B$2</f>
        <v>6.0220000000000002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-14525.831041316967</v>
      </c>
      <c r="V74" s="150" t="s">
        <v>11</v>
      </c>
      <c r="W74" s="9">
        <f>$B$2</f>
        <v>6.0220000000000002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474.96930408338085</v>
      </c>
      <c r="Y74" s="150" t="s">
        <v>11</v>
      </c>
      <c r="Z74" s="9">
        <f>$B$2</f>
        <v>6.0220000000000002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-30.552216426003724</v>
      </c>
    </row>
    <row r="75" spans="10:27">
      <c r="J75" s="150">
        <v>80</v>
      </c>
      <c r="K75" s="150">
        <v>338.61</v>
      </c>
      <c r="L75" s="150">
        <f>(630-106)/5*4.75/1.2</f>
        <v>414.83333333333337</v>
      </c>
      <c r="M75" s="150">
        <v>354.4</v>
      </c>
      <c r="N75" s="150">
        <v>321.83</v>
      </c>
    </row>
    <row r="77" spans="10:27"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10:27">
      <c r="J78" s="150">
        <v>100</v>
      </c>
      <c r="K78" s="150">
        <v>385.75</v>
      </c>
      <c r="L78" s="150">
        <f>(630-70)/5*4.75/1.2</f>
        <v>443.33333333333337</v>
      </c>
      <c r="M78" s="150">
        <v>400.96</v>
      </c>
      <c r="N78" s="150">
        <v>369.6</v>
      </c>
    </row>
    <row r="79" spans="10:27">
      <c r="J79" s="150">
        <v>90</v>
      </c>
      <c r="K79" s="150">
        <v>364.73</v>
      </c>
      <c r="L79" s="150">
        <f>(630-84)/5*4.75/1.2</f>
        <v>432.25000000000006</v>
      </c>
      <c r="M79" s="150">
        <v>380.39</v>
      </c>
      <c r="N79" s="150">
        <v>348.22</v>
      </c>
    </row>
    <row r="80" spans="10:27">
      <c r="J80" s="150">
        <v>80</v>
      </c>
      <c r="K80" s="150">
        <v>340.92</v>
      </c>
      <c r="L80" s="150">
        <f>(630-99)/5*4.75/1.2</f>
        <v>420.375</v>
      </c>
      <c r="M80" s="150">
        <v>356.83</v>
      </c>
      <c r="N80" s="150">
        <v>324</v>
      </c>
    </row>
    <row r="82" spans="4:28">
      <c r="D82" s="266" t="s">
        <v>140</v>
      </c>
      <c r="E82" s="267"/>
      <c r="F82" s="267"/>
      <c r="G82" s="267"/>
      <c r="H82" s="267"/>
      <c r="I82" s="267"/>
      <c r="J82" s="267"/>
      <c r="K82" s="267"/>
      <c r="L82" s="267"/>
      <c r="M82" s="267"/>
      <c r="N82" s="267"/>
      <c r="O82" s="267"/>
      <c r="P82" s="267"/>
      <c r="Q82" s="267"/>
      <c r="R82" s="267"/>
      <c r="S82" s="267"/>
      <c r="T82" s="267"/>
      <c r="U82" s="267"/>
      <c r="V82" s="267"/>
      <c r="W82" s="267"/>
      <c r="X82" s="267"/>
      <c r="Y82" s="267"/>
      <c r="Z82" s="267"/>
    </row>
    <row r="83" spans="4:28">
      <c r="D83" s="152"/>
      <c r="E83" s="104">
        <v>25</v>
      </c>
      <c r="F83" s="104">
        <v>20</v>
      </c>
      <c r="G83" s="104">
        <v>15</v>
      </c>
      <c r="H83" s="104">
        <v>10</v>
      </c>
      <c r="I83" s="104">
        <v>5</v>
      </c>
      <c r="J83" s="104">
        <v>0</v>
      </c>
      <c r="K83" s="104">
        <v>-5</v>
      </c>
      <c r="L83" s="104">
        <v>-10</v>
      </c>
      <c r="M83" s="104">
        <v>-15</v>
      </c>
      <c r="N83" s="104">
        <v>-20</v>
      </c>
      <c r="O83" s="104">
        <v>-25</v>
      </c>
      <c r="P83" s="104">
        <v>-30</v>
      </c>
      <c r="Q83" s="104">
        <v>-35</v>
      </c>
      <c r="R83" s="104">
        <v>-40</v>
      </c>
      <c r="S83" s="104">
        <v>-45</v>
      </c>
      <c r="T83" s="104">
        <v>-50</v>
      </c>
      <c r="U83" s="104">
        <v>-55</v>
      </c>
      <c r="V83" s="104">
        <v>-60</v>
      </c>
      <c r="W83" s="104">
        <v>-65</v>
      </c>
      <c r="X83" s="104">
        <v>-70</v>
      </c>
      <c r="Y83" s="104">
        <v>-75</v>
      </c>
      <c r="Z83" s="104">
        <v>-80</v>
      </c>
      <c r="AB83" t="s">
        <v>185</v>
      </c>
    </row>
    <row r="84" spans="4:28" ht="15" customHeight="1">
      <c r="D84" s="152">
        <v>100</v>
      </c>
      <c r="E84" s="104"/>
      <c r="F84" s="104"/>
      <c r="G84" s="104"/>
      <c r="H84" s="104"/>
      <c r="I84" s="104"/>
      <c r="J84" s="150">
        <v>345</v>
      </c>
      <c r="K84" s="150">
        <v>355</v>
      </c>
      <c r="L84" s="150">
        <v>365</v>
      </c>
      <c r="M84" s="150">
        <v>373.33300000000003</v>
      </c>
      <c r="N84" s="150">
        <f>(630-52)/6*4.75/1.2</f>
        <v>381.31944444444446</v>
      </c>
      <c r="O84" s="150">
        <f>(630-41)/6*4.75/1.2</f>
        <v>388.57638888888891</v>
      </c>
      <c r="P84" s="150">
        <f>(630-30)/6*4.75/1.2</f>
        <v>395.83333333333337</v>
      </c>
      <c r="Q84" s="150">
        <f>(630-21)/6*4.75/1.2</f>
        <v>401.77083333333337</v>
      </c>
      <c r="R84" s="150">
        <f>(630-11)/6*4.75/1.2</f>
        <v>408.3680555555556</v>
      </c>
      <c r="S84" s="150">
        <f>(630-3)/6*4.75/1.2</f>
        <v>413.64583333333337</v>
      </c>
      <c r="T84" s="150">
        <f>(630-100)/5*4.75/1.2</f>
        <v>419.58333333333337</v>
      </c>
      <c r="U84" s="150">
        <f>(630-94)/5*4.75/1.2</f>
        <v>424.33333333333331</v>
      </c>
      <c r="V84" s="150">
        <f>(630-87)/5*4.75/1.2</f>
        <v>429.87500000000006</v>
      </c>
      <c r="W84" s="150">
        <f>(630-82)/5*4.75/1.2</f>
        <v>433.83333333333337</v>
      </c>
      <c r="X84" s="150">
        <f>(630-76)/5*4.75/1.2</f>
        <v>438.58333333333331</v>
      </c>
      <c r="Y84" s="150">
        <f>(630-70)/5*4.75/1.2</f>
        <v>443.33333333333337</v>
      </c>
      <c r="Z84" s="104"/>
      <c r="AB84" s="153" t="s">
        <v>173</v>
      </c>
    </row>
    <row r="85" spans="4:28" ht="15" customHeight="1">
      <c r="D85" s="152">
        <v>95</v>
      </c>
      <c r="E85" s="104"/>
      <c r="F85" s="104"/>
      <c r="G85" s="104"/>
      <c r="H85" s="104"/>
      <c r="I85" s="104"/>
      <c r="J85" s="150">
        <v>337.5</v>
      </c>
      <c r="K85" s="150">
        <v>348.33333333333337</v>
      </c>
      <c r="L85" s="150">
        <v>357.5</v>
      </c>
      <c r="M85" s="150">
        <v>366.66699999999997</v>
      </c>
      <c r="N85" s="150">
        <f>(630-62)/6*4.75/1.2</f>
        <v>374.72222222222223</v>
      </c>
      <c r="O85" s="150">
        <f>(630-50)/6*4.75/1.2</f>
        <v>382.63888888888891</v>
      </c>
      <c r="P85" s="150">
        <f>(630-39)/6*4.75/1.2</f>
        <v>389.89583333333337</v>
      </c>
      <c r="Q85" s="150">
        <f>(630-29)/6*4.75/1.2</f>
        <v>396.4930555555556</v>
      </c>
      <c r="R85" s="150">
        <f>(630-19)/6*4.75/1.2</f>
        <v>403.09027777777777</v>
      </c>
      <c r="S85" s="150">
        <f>(630-10)/6*4.75/1.2</f>
        <v>409.02777777777777</v>
      </c>
      <c r="T85" s="150">
        <f>(630-107)/5*4.75/1.2</f>
        <v>414.04166666666663</v>
      </c>
      <c r="U85" s="150">
        <f>(630-100)/5*4.75/1.2</f>
        <v>419.58333333333337</v>
      </c>
      <c r="V85" s="150">
        <f>(630-93)/5*4.75/1.2</f>
        <v>425.12500000000006</v>
      </c>
      <c r="W85" s="150">
        <f>(630-87)/5*4.75/1.2</f>
        <v>429.87500000000006</v>
      </c>
      <c r="X85" s="150">
        <f>(630-82)/5*4.75/1.2</f>
        <v>433.83333333333337</v>
      </c>
      <c r="Y85" s="150">
        <f>(630-76)/5*4.75/1.2</f>
        <v>438.58333333333331</v>
      </c>
      <c r="Z85" s="104"/>
      <c r="AB85" s="153" t="s">
        <v>174</v>
      </c>
    </row>
    <row r="86" spans="4:28" ht="15" customHeight="1">
      <c r="D86" s="152">
        <v>90</v>
      </c>
      <c r="E86" s="104"/>
      <c r="F86" s="104"/>
      <c r="G86" s="104"/>
      <c r="H86" s="104"/>
      <c r="I86" s="104"/>
      <c r="J86" s="150">
        <v>325.83300000000003</v>
      </c>
      <c r="K86" s="150">
        <v>336.66666666666669</v>
      </c>
      <c r="L86" s="150">
        <v>347.5</v>
      </c>
      <c r="M86" s="150">
        <v>357.5</v>
      </c>
      <c r="N86" s="150">
        <f>(630-76)/6*4.75/1.2</f>
        <v>365.48611111111109</v>
      </c>
      <c r="O86" s="150">
        <f>(630-64)/6*4.75/1.2</f>
        <v>373.40277777777777</v>
      </c>
      <c r="P86" s="150">
        <f>(630-52)/6*4.75/1.2</f>
        <v>381.31944444444446</v>
      </c>
      <c r="Q86" s="150">
        <f>(630-41)/6*4.75/1.2</f>
        <v>388.57638888888891</v>
      </c>
      <c r="R86" s="150">
        <f>(630-32)/6*4.75/1.2</f>
        <v>394.51388888888891</v>
      </c>
      <c r="S86" s="150">
        <f>(630-22)/6*4.75/1.2</f>
        <v>401.11111111111109</v>
      </c>
      <c r="T86" s="150">
        <f>(630-116)/5*4.75/1.2</f>
        <v>406.91666666666669</v>
      </c>
      <c r="U86" s="150">
        <f>(630-109)/5*4.75/1.2</f>
        <v>412.45833333333331</v>
      </c>
      <c r="V86" s="150">
        <f>(630-102)/5*4.75/1.2</f>
        <v>418</v>
      </c>
      <c r="W86" s="150">
        <f>(630-96)/5*4.75/1.2</f>
        <v>422.75</v>
      </c>
      <c r="X86" s="150">
        <f>(630-90)/5*4.75/1.2</f>
        <v>427.5</v>
      </c>
      <c r="Y86" s="150">
        <f>(630-84)/5*4.75/1.2</f>
        <v>432.25000000000006</v>
      </c>
      <c r="Z86" s="104"/>
      <c r="AB86" s="153" t="s">
        <v>175</v>
      </c>
    </row>
    <row r="87" spans="4:28">
      <c r="D87" s="152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4:28">
      <c r="D88" s="152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4:28">
      <c r="D89" s="152"/>
      <c r="E89" s="104" t="s">
        <v>92</v>
      </c>
      <c r="F89" s="104" t="s">
        <v>92</v>
      </c>
      <c r="G89" s="104" t="s">
        <v>92</v>
      </c>
      <c r="H89" s="104" t="s">
        <v>92</v>
      </c>
      <c r="I89" s="104" t="s">
        <v>92</v>
      </c>
      <c r="J89" s="104" t="s">
        <v>92</v>
      </c>
      <c r="K89" s="104" t="s">
        <v>92</v>
      </c>
      <c r="L89" s="104" t="s">
        <v>92</v>
      </c>
      <c r="M89" s="104" t="s">
        <v>92</v>
      </c>
      <c r="N89" s="104" t="s">
        <v>92</v>
      </c>
      <c r="O89" s="104" t="s">
        <v>92</v>
      </c>
      <c r="P89" s="104" t="s">
        <v>92</v>
      </c>
      <c r="Q89" s="104" t="s">
        <v>92</v>
      </c>
      <c r="R89" s="104" t="s">
        <v>92</v>
      </c>
      <c r="S89" s="104" t="s">
        <v>92</v>
      </c>
      <c r="T89" s="104" t="s">
        <v>92</v>
      </c>
      <c r="U89" s="104" t="s">
        <v>92</v>
      </c>
      <c r="V89" s="104" t="s">
        <v>92</v>
      </c>
      <c r="W89" s="104" t="s">
        <v>92</v>
      </c>
      <c r="X89" s="104" t="s">
        <v>92</v>
      </c>
      <c r="Y89" s="104" t="s">
        <v>92</v>
      </c>
      <c r="Z89" s="104" t="s">
        <v>92</v>
      </c>
    </row>
    <row r="90" spans="4:28"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</row>
    <row r="91" spans="4:28">
      <c r="D91" s="266" t="s">
        <v>170</v>
      </c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</row>
    <row r="92" spans="4:28">
      <c r="D92" s="148"/>
      <c r="E92" s="104">
        <v>25</v>
      </c>
      <c r="F92" s="104">
        <v>20</v>
      </c>
      <c r="G92" s="104">
        <v>15</v>
      </c>
      <c r="H92" s="104">
        <v>10</v>
      </c>
      <c r="I92" s="104">
        <v>5</v>
      </c>
      <c r="J92" s="104">
        <v>0</v>
      </c>
      <c r="K92" s="104">
        <v>-5</v>
      </c>
      <c r="L92" s="104">
        <v>-10</v>
      </c>
      <c r="M92" s="104">
        <v>-15</v>
      </c>
      <c r="N92" s="104">
        <v>-20</v>
      </c>
      <c r="O92" s="104">
        <v>-25</v>
      </c>
      <c r="P92" s="104">
        <v>-30</v>
      </c>
      <c r="Q92" s="104">
        <v>-35</v>
      </c>
      <c r="R92" s="104">
        <v>-40</v>
      </c>
      <c r="S92" s="104">
        <v>-45</v>
      </c>
      <c r="T92" s="104">
        <v>-50</v>
      </c>
      <c r="U92" s="104">
        <v>-55</v>
      </c>
      <c r="V92" s="104">
        <v>-60</v>
      </c>
      <c r="W92" s="104">
        <v>-65</v>
      </c>
      <c r="X92" s="104">
        <v>-70</v>
      </c>
      <c r="Y92" s="104">
        <v>-75</v>
      </c>
      <c r="Z92" s="104">
        <v>-80</v>
      </c>
      <c r="AB92" t="s">
        <v>185</v>
      </c>
    </row>
    <row r="93" spans="4:28" ht="15" customHeight="1">
      <c r="D93" s="152">
        <v>100</v>
      </c>
      <c r="E93" s="104"/>
      <c r="F93" s="104"/>
      <c r="G93" s="104"/>
      <c r="H93" s="104"/>
      <c r="I93" s="104"/>
      <c r="J93" s="150">
        <v>331.41</v>
      </c>
      <c r="K93" s="150">
        <v>337.83</v>
      </c>
      <c r="L93" s="150">
        <v>343.52</v>
      </c>
      <c r="M93" s="150">
        <v>348.62</v>
      </c>
      <c r="N93" s="150">
        <v>353.23</v>
      </c>
      <c r="O93" s="150">
        <v>357.43</v>
      </c>
      <c r="P93" s="150">
        <v>361.27</v>
      </c>
      <c r="Q93" s="150">
        <v>364.82</v>
      </c>
      <c r="R93" s="150">
        <v>368.1</v>
      </c>
      <c r="S93" s="150">
        <v>371.15</v>
      </c>
      <c r="T93" s="150">
        <v>373.99</v>
      </c>
      <c r="U93" s="150">
        <v>376.64</v>
      </c>
      <c r="V93" s="150">
        <v>379.13</v>
      </c>
      <c r="W93" s="150">
        <v>381.47</v>
      </c>
      <c r="X93" s="150">
        <v>383.67</v>
      </c>
      <c r="Y93" s="150">
        <v>385.75</v>
      </c>
      <c r="Z93" s="104"/>
      <c r="AB93" s="153" t="s">
        <v>176</v>
      </c>
    </row>
    <row r="94" spans="4:28">
      <c r="D94" s="152">
        <v>95</v>
      </c>
      <c r="E94" s="104"/>
      <c r="F94" s="104"/>
      <c r="G94" s="104"/>
      <c r="H94" s="104"/>
      <c r="I94" s="104"/>
      <c r="J94" s="150">
        <v>320.19</v>
      </c>
      <c r="K94" s="150">
        <v>326.82</v>
      </c>
      <c r="L94" s="150">
        <v>332.69</v>
      </c>
      <c r="M94" s="150">
        <v>337.94</v>
      </c>
      <c r="N94" s="150">
        <v>342.69</v>
      </c>
      <c r="O94" s="150">
        <v>347</v>
      </c>
      <c r="P94" s="150">
        <v>350.95</v>
      </c>
      <c r="Q94" s="150">
        <v>354.58</v>
      </c>
      <c r="R94" s="150">
        <v>357.93</v>
      </c>
      <c r="S94" s="150">
        <v>361.05</v>
      </c>
      <c r="T94" s="150">
        <v>363.95</v>
      </c>
      <c r="U94" s="150">
        <v>366.66</v>
      </c>
      <c r="V94" s="150">
        <v>369.2</v>
      </c>
      <c r="W94" s="150">
        <v>371.58</v>
      </c>
      <c r="X94" s="150">
        <v>373.83</v>
      </c>
      <c r="Y94" s="150">
        <v>375.94</v>
      </c>
      <c r="Z94" s="104"/>
      <c r="AB94" t="s">
        <v>177</v>
      </c>
    </row>
    <row r="95" spans="4:28">
      <c r="D95" s="152">
        <v>90</v>
      </c>
      <c r="E95" s="104"/>
      <c r="F95" s="104"/>
      <c r="G95" s="104"/>
      <c r="H95" s="104"/>
      <c r="I95" s="104"/>
      <c r="J95" s="150">
        <v>306.45</v>
      </c>
      <c r="K95" s="150">
        <v>313.45999999999998</v>
      </c>
      <c r="L95" s="150">
        <v>319.64999999999998</v>
      </c>
      <c r="M95" s="150">
        <v>325.17</v>
      </c>
      <c r="N95" s="150">
        <v>330.15</v>
      </c>
      <c r="O95" s="150">
        <v>334.66</v>
      </c>
      <c r="P95" s="150">
        <v>338.79</v>
      </c>
      <c r="Q95" s="150">
        <v>342.58</v>
      </c>
      <c r="R95" s="150">
        <v>346.07</v>
      </c>
      <c r="S95" s="150">
        <v>349.31</v>
      </c>
      <c r="T95" s="150">
        <v>352.32</v>
      </c>
      <c r="U95" s="150">
        <v>355.13</v>
      </c>
      <c r="V95" s="150">
        <v>357.76</v>
      </c>
      <c r="W95" s="150">
        <v>360.23</v>
      </c>
      <c r="X95" s="150">
        <v>362.54</v>
      </c>
      <c r="Y95" s="150">
        <v>364.73</v>
      </c>
      <c r="Z95" s="104"/>
      <c r="AB95" t="s">
        <v>178</v>
      </c>
    </row>
    <row r="96" spans="4:28">
      <c r="D96" s="152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4:28">
      <c r="D97" s="152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4:28">
      <c r="D98" s="152"/>
      <c r="E98" s="104" t="s">
        <v>92</v>
      </c>
      <c r="F98" s="104" t="s">
        <v>92</v>
      </c>
      <c r="G98" s="104" t="s">
        <v>92</v>
      </c>
      <c r="H98" s="104" t="s">
        <v>92</v>
      </c>
      <c r="I98" s="104" t="s">
        <v>92</v>
      </c>
      <c r="J98" s="104" t="s">
        <v>92</v>
      </c>
      <c r="K98" s="104" t="s">
        <v>92</v>
      </c>
      <c r="L98" s="104" t="s">
        <v>92</v>
      </c>
      <c r="M98" s="104" t="s">
        <v>92</v>
      </c>
      <c r="N98" s="104" t="s">
        <v>92</v>
      </c>
      <c r="O98" s="104" t="s">
        <v>92</v>
      </c>
      <c r="P98" s="104" t="s">
        <v>92</v>
      </c>
      <c r="Q98" s="104" t="s">
        <v>92</v>
      </c>
      <c r="R98" s="104" t="s">
        <v>92</v>
      </c>
      <c r="S98" s="104" t="s">
        <v>92</v>
      </c>
      <c r="T98" s="104" t="s">
        <v>92</v>
      </c>
      <c r="U98" s="104" t="s">
        <v>92</v>
      </c>
      <c r="V98" s="104" t="s">
        <v>92</v>
      </c>
      <c r="W98" s="104" t="s">
        <v>92</v>
      </c>
      <c r="X98" s="104" t="s">
        <v>92</v>
      </c>
      <c r="Y98" s="104" t="s">
        <v>92</v>
      </c>
      <c r="Z98" s="104" t="s">
        <v>92</v>
      </c>
    </row>
    <row r="99" spans="4:28"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</row>
    <row r="100" spans="4:28">
      <c r="D100" s="265" t="s">
        <v>171</v>
      </c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</row>
    <row r="101" spans="4:28">
      <c r="D101" s="148"/>
      <c r="E101" s="104">
        <v>25</v>
      </c>
      <c r="F101" s="104">
        <v>20</v>
      </c>
      <c r="G101" s="104">
        <v>15</v>
      </c>
      <c r="H101" s="104">
        <v>10</v>
      </c>
      <c r="I101" s="104">
        <v>5</v>
      </c>
      <c r="J101" s="104">
        <v>0</v>
      </c>
      <c r="K101" s="104">
        <v>-5</v>
      </c>
      <c r="L101" s="104">
        <v>-10</v>
      </c>
      <c r="M101" s="104">
        <v>-15</v>
      </c>
      <c r="N101" s="104">
        <v>-20</v>
      </c>
      <c r="O101" s="104">
        <v>-25</v>
      </c>
      <c r="P101" s="104">
        <v>-30</v>
      </c>
      <c r="Q101" s="104">
        <v>-35</v>
      </c>
      <c r="R101" s="104">
        <v>-40</v>
      </c>
      <c r="S101" s="104">
        <v>-45</v>
      </c>
      <c r="T101" s="104">
        <v>-50</v>
      </c>
      <c r="U101" s="104">
        <v>-55</v>
      </c>
      <c r="V101" s="104">
        <v>-60</v>
      </c>
      <c r="W101" s="104">
        <v>-65</v>
      </c>
      <c r="X101" s="104">
        <v>-70</v>
      </c>
      <c r="Y101" s="104">
        <v>-75</v>
      </c>
      <c r="Z101" s="104">
        <v>-80</v>
      </c>
      <c r="AB101" t="s">
        <v>185</v>
      </c>
    </row>
    <row r="102" spans="4:28" ht="15" customHeight="1">
      <c r="D102" s="152">
        <v>100</v>
      </c>
      <c r="E102" s="104"/>
      <c r="F102" s="104"/>
      <c r="G102" s="104"/>
      <c r="H102" s="104"/>
      <c r="I102" s="104"/>
      <c r="J102" s="150">
        <v>344.3</v>
      </c>
      <c r="K102" s="150">
        <v>350.94</v>
      </c>
      <c r="L102" s="150">
        <v>356.85</v>
      </c>
      <c r="M102" s="150">
        <v>362.14</v>
      </c>
      <c r="N102" s="150">
        <v>366.93</v>
      </c>
      <c r="O102" s="150">
        <v>371.3</v>
      </c>
      <c r="P102" s="150">
        <v>375.31</v>
      </c>
      <c r="Q102" s="150">
        <v>379.01</v>
      </c>
      <c r="R102" s="150">
        <v>382.43</v>
      </c>
      <c r="S102" s="150">
        <v>385.62</v>
      </c>
      <c r="T102" s="150">
        <v>388.59</v>
      </c>
      <c r="U102" s="150">
        <v>391.38</v>
      </c>
      <c r="V102" s="150">
        <v>393.99</v>
      </c>
      <c r="W102" s="150">
        <v>396.45</v>
      </c>
      <c r="X102" s="150">
        <v>398.77</v>
      </c>
      <c r="Y102" s="150">
        <v>400.96</v>
      </c>
      <c r="Z102" s="104"/>
      <c r="AB102" s="153" t="s">
        <v>179</v>
      </c>
    </row>
    <row r="103" spans="4:28" ht="15" customHeight="1">
      <c r="D103" s="152">
        <v>95</v>
      </c>
      <c r="E103" s="104"/>
      <c r="F103" s="104"/>
      <c r="G103" s="104"/>
      <c r="H103" s="104"/>
      <c r="I103" s="104"/>
      <c r="J103" s="150">
        <v>333.29</v>
      </c>
      <c r="K103" s="150">
        <v>340.17</v>
      </c>
      <c r="L103" s="150">
        <v>346.26</v>
      </c>
      <c r="M103" s="150">
        <v>351.72</v>
      </c>
      <c r="N103" s="150">
        <v>356.65</v>
      </c>
      <c r="O103" s="150">
        <v>361.14</v>
      </c>
      <c r="P103" s="150">
        <v>365.26</v>
      </c>
      <c r="Q103" s="150">
        <v>369.04</v>
      </c>
      <c r="R103" s="150">
        <v>372.55</v>
      </c>
      <c r="S103" s="150">
        <v>375.81</v>
      </c>
      <c r="T103" s="150">
        <v>378.85</v>
      </c>
      <c r="U103" s="150">
        <v>381.69</v>
      </c>
      <c r="V103" s="150">
        <v>384.35</v>
      </c>
      <c r="W103" s="150">
        <v>386.86</v>
      </c>
      <c r="X103" s="150">
        <v>389.22</v>
      </c>
      <c r="Y103" s="150">
        <v>391.45</v>
      </c>
      <c r="Z103" s="104"/>
      <c r="AB103" s="153" t="s">
        <v>180</v>
      </c>
    </row>
    <row r="104" spans="4:28">
      <c r="D104" s="152">
        <v>90</v>
      </c>
      <c r="E104" s="104"/>
      <c r="F104" s="104"/>
      <c r="G104" s="104"/>
      <c r="H104" s="104"/>
      <c r="I104" s="104"/>
      <c r="J104" s="150">
        <v>319.58</v>
      </c>
      <c r="K104" s="150">
        <v>326.86</v>
      </c>
      <c r="L104" s="150">
        <v>333.29</v>
      </c>
      <c r="M104" s="150">
        <v>339.03</v>
      </c>
      <c r="N104" s="150">
        <v>344.21</v>
      </c>
      <c r="O104" s="150">
        <v>348.91</v>
      </c>
      <c r="P104" s="150">
        <v>353.21</v>
      </c>
      <c r="Q104" s="150">
        <v>357.16</v>
      </c>
      <c r="R104" s="150">
        <v>360.81</v>
      </c>
      <c r="S104" s="150">
        <v>364.2</v>
      </c>
      <c r="T104" s="150">
        <v>367.35</v>
      </c>
      <c r="U104" s="150">
        <v>370.3</v>
      </c>
      <c r="V104" s="150">
        <v>373.06</v>
      </c>
      <c r="W104" s="150">
        <v>375.65</v>
      </c>
      <c r="X104" s="150">
        <v>378.09</v>
      </c>
      <c r="Y104" s="150">
        <v>380.39</v>
      </c>
      <c r="Z104" s="104"/>
      <c r="AB104" t="s">
        <v>181</v>
      </c>
    </row>
    <row r="105" spans="4:28">
      <c r="D105" s="152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4:28">
      <c r="D106" s="152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4:28">
      <c r="D107" s="152"/>
      <c r="E107" s="104" t="s">
        <v>92</v>
      </c>
      <c r="F107" s="104" t="s">
        <v>92</v>
      </c>
      <c r="G107" s="104" t="s">
        <v>92</v>
      </c>
      <c r="H107" s="104" t="s">
        <v>92</v>
      </c>
      <c r="I107" s="104" t="s">
        <v>92</v>
      </c>
      <c r="J107" s="104" t="s">
        <v>92</v>
      </c>
      <c r="K107" s="104" t="s">
        <v>92</v>
      </c>
      <c r="L107" s="104">
        <v>4</v>
      </c>
      <c r="M107" s="104">
        <v>5</v>
      </c>
      <c r="N107" s="104">
        <v>6</v>
      </c>
      <c r="O107" s="104">
        <v>7</v>
      </c>
      <c r="P107" s="104">
        <v>8</v>
      </c>
      <c r="Q107" s="104">
        <v>9</v>
      </c>
      <c r="R107" s="104">
        <v>10</v>
      </c>
      <c r="S107" s="104">
        <v>11</v>
      </c>
      <c r="T107" s="104">
        <v>12</v>
      </c>
      <c r="U107" s="104">
        <v>13</v>
      </c>
      <c r="V107" s="104">
        <v>14</v>
      </c>
      <c r="W107" s="104">
        <v>15</v>
      </c>
      <c r="X107" s="104">
        <v>16</v>
      </c>
      <c r="Y107" s="104">
        <v>17</v>
      </c>
      <c r="Z107" s="104">
        <v>18</v>
      </c>
    </row>
    <row r="108" spans="4:28"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</row>
    <row r="109" spans="4:28">
      <c r="D109" s="265" t="s">
        <v>172</v>
      </c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</row>
    <row r="110" spans="4:28">
      <c r="D110" s="148"/>
      <c r="E110" s="104">
        <v>25</v>
      </c>
      <c r="F110" s="104">
        <v>20</v>
      </c>
      <c r="G110" s="104">
        <v>15</v>
      </c>
      <c r="H110" s="104">
        <v>10</v>
      </c>
      <c r="I110" s="104">
        <v>5</v>
      </c>
      <c r="J110" s="104">
        <v>0</v>
      </c>
      <c r="K110" s="104">
        <v>-5</v>
      </c>
      <c r="L110" s="104">
        <v>-10</v>
      </c>
      <c r="M110" s="104">
        <v>-15</v>
      </c>
      <c r="N110" s="104">
        <v>-20</v>
      </c>
      <c r="O110" s="104">
        <v>-25</v>
      </c>
      <c r="P110" s="104">
        <v>-30</v>
      </c>
      <c r="Q110" s="104">
        <v>-35</v>
      </c>
      <c r="R110" s="104">
        <v>-40</v>
      </c>
      <c r="S110" s="104">
        <v>-45</v>
      </c>
      <c r="T110" s="104">
        <v>-50</v>
      </c>
      <c r="U110" s="104">
        <v>-55</v>
      </c>
      <c r="V110" s="104">
        <v>-60</v>
      </c>
      <c r="W110" s="104">
        <v>-65</v>
      </c>
      <c r="X110" s="104">
        <v>-70</v>
      </c>
      <c r="Y110" s="104">
        <v>-75</v>
      </c>
      <c r="Z110" s="104">
        <v>-80</v>
      </c>
      <c r="AB110" t="s">
        <v>185</v>
      </c>
    </row>
    <row r="111" spans="4:28" ht="15" customHeight="1">
      <c r="D111" s="152">
        <v>100</v>
      </c>
      <c r="E111" s="104"/>
      <c r="F111" s="104"/>
      <c r="G111" s="104"/>
      <c r="H111" s="104"/>
      <c r="I111" s="104"/>
      <c r="J111" s="150">
        <v>317.74</v>
      </c>
      <c r="K111" s="150">
        <v>323.89999999999998</v>
      </c>
      <c r="L111" s="150">
        <v>329.36</v>
      </c>
      <c r="M111" s="150">
        <v>334.26</v>
      </c>
      <c r="N111" s="150">
        <v>338.67</v>
      </c>
      <c r="O111" s="150">
        <v>342.69</v>
      </c>
      <c r="P111" s="150">
        <v>346.36</v>
      </c>
      <c r="Q111" s="150">
        <v>349.75</v>
      </c>
      <c r="R111" s="150">
        <v>352.87</v>
      </c>
      <c r="S111" s="150">
        <v>355.77</v>
      </c>
      <c r="T111" s="150">
        <v>358.48</v>
      </c>
      <c r="U111" s="150">
        <v>360.99</v>
      </c>
      <c r="V111" s="150">
        <v>363.35</v>
      </c>
      <c r="W111" s="150">
        <v>365.56</v>
      </c>
      <c r="X111" s="150">
        <v>367.64</v>
      </c>
      <c r="Y111" s="150">
        <v>369.6</v>
      </c>
      <c r="Z111" s="104"/>
      <c r="AB111" s="153" t="s">
        <v>182</v>
      </c>
    </row>
    <row r="112" spans="4:28">
      <c r="D112" s="152">
        <v>95</v>
      </c>
      <c r="E112" s="104"/>
      <c r="F112" s="104"/>
      <c r="G112" s="104"/>
      <c r="H112" s="104"/>
      <c r="I112" s="104"/>
      <c r="J112" s="150">
        <v>306.45</v>
      </c>
      <c r="K112" s="150">
        <v>312.81</v>
      </c>
      <c r="L112" s="150">
        <v>318.44</v>
      </c>
      <c r="M112" s="150">
        <v>323.47000000000003</v>
      </c>
      <c r="N112" s="150">
        <v>328.01</v>
      </c>
      <c r="O112" s="150">
        <v>332.14</v>
      </c>
      <c r="P112" s="150">
        <v>335.9</v>
      </c>
      <c r="Q112" s="150">
        <v>339.37</v>
      </c>
      <c r="R112" s="150">
        <v>342.57</v>
      </c>
      <c r="S112" s="150">
        <v>345.53</v>
      </c>
      <c r="T112" s="150">
        <v>348.29</v>
      </c>
      <c r="U112" s="150">
        <v>350.85</v>
      </c>
      <c r="V112" s="150">
        <v>353.26</v>
      </c>
      <c r="W112" s="150">
        <v>355.51</v>
      </c>
      <c r="X112" s="150">
        <v>357.63</v>
      </c>
      <c r="Y112" s="150">
        <v>359.62</v>
      </c>
      <c r="Z112" s="104"/>
      <c r="AB112" t="s">
        <v>183</v>
      </c>
    </row>
    <row r="113" spans="4:28">
      <c r="D113" s="152">
        <v>90</v>
      </c>
      <c r="E113" s="104"/>
      <c r="F113" s="104"/>
      <c r="G113" s="104"/>
      <c r="H113" s="104"/>
      <c r="I113" s="104"/>
      <c r="J113" s="150">
        <v>292.69</v>
      </c>
      <c r="K113" s="150">
        <v>299.39999999999998</v>
      </c>
      <c r="L113" s="150">
        <v>305.32</v>
      </c>
      <c r="M113" s="150">
        <v>310.61</v>
      </c>
      <c r="N113" s="150">
        <v>315.37</v>
      </c>
      <c r="O113" s="150">
        <v>319.68</v>
      </c>
      <c r="P113" s="150">
        <v>323.61</v>
      </c>
      <c r="Q113" s="150">
        <v>327.23</v>
      </c>
      <c r="R113" s="150">
        <v>330.55</v>
      </c>
      <c r="S113" s="150">
        <v>333.63</v>
      </c>
      <c r="T113" s="150">
        <v>336.5</v>
      </c>
      <c r="U113" s="150">
        <v>339.15</v>
      </c>
      <c r="V113" s="150">
        <v>341.64</v>
      </c>
      <c r="W113" s="150">
        <v>343.97</v>
      </c>
      <c r="X113" s="150">
        <v>346.16</v>
      </c>
      <c r="Y113" s="150">
        <v>348.22</v>
      </c>
      <c r="Z113" s="104"/>
      <c r="AB113" t="s">
        <v>184</v>
      </c>
    </row>
    <row r="114" spans="4:28">
      <c r="D114" s="152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4:28">
      <c r="D115" s="152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4:28">
      <c r="D116" s="152"/>
      <c r="E116" s="104" t="s">
        <v>92</v>
      </c>
      <c r="F116" s="104" t="s">
        <v>92</v>
      </c>
      <c r="G116" s="104" t="s">
        <v>92</v>
      </c>
      <c r="H116" s="104" t="s">
        <v>92</v>
      </c>
      <c r="I116" s="104" t="s">
        <v>92</v>
      </c>
      <c r="J116" s="104" t="s">
        <v>92</v>
      </c>
      <c r="K116" s="104" t="s">
        <v>92</v>
      </c>
      <c r="L116" s="104" t="s">
        <v>92</v>
      </c>
      <c r="M116" s="104" t="s">
        <v>92</v>
      </c>
      <c r="N116" s="104" t="s">
        <v>92</v>
      </c>
      <c r="O116" s="104" t="s">
        <v>92</v>
      </c>
      <c r="P116" s="104" t="s">
        <v>92</v>
      </c>
      <c r="Q116" s="104" t="s">
        <v>92</v>
      </c>
      <c r="R116" s="104" t="s">
        <v>92</v>
      </c>
      <c r="S116" s="104" t="s">
        <v>92</v>
      </c>
      <c r="T116" s="104" t="s">
        <v>92</v>
      </c>
      <c r="U116" s="104" t="s">
        <v>92</v>
      </c>
      <c r="V116" s="104" t="s">
        <v>92</v>
      </c>
      <c r="W116" s="104" t="s">
        <v>92</v>
      </c>
      <c r="X116" s="104" t="s">
        <v>92</v>
      </c>
      <c r="Y116" s="104" t="s">
        <v>92</v>
      </c>
      <c r="Z116" s="104" t="s">
        <v>92</v>
      </c>
    </row>
    <row r="117" spans="4:28">
      <c r="D117"/>
      <c r="O117"/>
    </row>
    <row r="118" spans="4:28">
      <c r="D118"/>
      <c r="O118"/>
    </row>
    <row r="119" spans="4:28">
      <c r="D119"/>
      <c r="O119"/>
    </row>
    <row r="120" spans="4:28">
      <c r="D120"/>
      <c r="O120"/>
    </row>
    <row r="121" spans="4:28">
      <c r="D121"/>
      <c r="O121"/>
    </row>
    <row r="122" spans="4:28">
      <c r="D122"/>
      <c r="O122"/>
    </row>
    <row r="123" spans="4:28">
      <c r="D123"/>
      <c r="O123"/>
    </row>
    <row r="124" spans="4:28">
      <c r="D124"/>
      <c r="O124"/>
    </row>
    <row r="125" spans="4:28">
      <c r="D125"/>
      <c r="O125"/>
    </row>
    <row r="126" spans="4:28">
      <c r="D126"/>
      <c r="O126"/>
    </row>
    <row r="127" spans="4:28">
      <c r="D127"/>
      <c r="O127"/>
    </row>
    <row r="128" spans="4:28">
      <c r="D128"/>
      <c r="O128"/>
    </row>
    <row r="129" spans="4:15">
      <c r="D129"/>
      <c r="O129"/>
    </row>
    <row r="130" spans="4:15">
      <c r="D130"/>
      <c r="O130"/>
    </row>
    <row r="131" spans="4:15">
      <c r="D131"/>
      <c r="O131"/>
    </row>
    <row r="132" spans="4:15">
      <c r="D132"/>
      <c r="O132"/>
    </row>
    <row r="133" spans="4:15">
      <c r="D133"/>
      <c r="O133"/>
    </row>
    <row r="134" spans="4:15">
      <c r="D134"/>
      <c r="O134"/>
    </row>
    <row r="135" spans="4:15">
      <c r="D135"/>
      <c r="O135"/>
    </row>
    <row r="136" spans="4:15">
      <c r="D136"/>
      <c r="O136"/>
    </row>
    <row r="137" spans="4:15">
      <c r="D137"/>
      <c r="O137"/>
    </row>
    <row r="138" spans="4:15">
      <c r="D138"/>
      <c r="O138"/>
    </row>
    <row r="139" spans="4:15">
      <c r="D139"/>
      <c r="O139"/>
    </row>
    <row r="140" spans="4:15">
      <c r="D140"/>
      <c r="O140"/>
    </row>
    <row r="141" spans="4:15">
      <c r="D141"/>
      <c r="O141"/>
    </row>
    <row r="142" spans="4:15">
      <c r="D142"/>
      <c r="O142"/>
    </row>
    <row r="143" spans="4:15">
      <c r="D143"/>
      <c r="O143"/>
    </row>
    <row r="144" spans="4:15">
      <c r="D144"/>
      <c r="O144"/>
    </row>
    <row r="145" spans="4:15">
      <c r="D145"/>
      <c r="O145"/>
    </row>
    <row r="146" spans="4:15">
      <c r="D146"/>
      <c r="O146"/>
    </row>
    <row r="147" spans="4:15">
      <c r="D147"/>
      <c r="O147"/>
    </row>
    <row r="148" spans="4:15">
      <c r="D148"/>
      <c r="O148"/>
    </row>
    <row r="149" spans="4:15">
      <c r="D149"/>
      <c r="O149"/>
    </row>
    <row r="150" spans="4:15">
      <c r="D150"/>
      <c r="O150"/>
    </row>
    <row r="151" spans="4:15">
      <c r="D151"/>
      <c r="O151"/>
    </row>
    <row r="152" spans="4:15">
      <c r="D152"/>
      <c r="O152"/>
    </row>
    <row r="153" spans="4:15">
      <c r="D153"/>
      <c r="O153"/>
    </row>
    <row r="154" spans="4:15">
      <c r="D154"/>
      <c r="O154"/>
    </row>
    <row r="155" spans="4:15">
      <c r="D155"/>
      <c r="O155"/>
    </row>
    <row r="156" spans="4:15">
      <c r="D156"/>
      <c r="O156"/>
    </row>
    <row r="157" spans="4:15">
      <c r="D157"/>
      <c r="O157"/>
    </row>
    <row r="158" spans="4:15">
      <c r="D158"/>
      <c r="O158"/>
    </row>
    <row r="159" spans="4:15">
      <c r="D159"/>
      <c r="O159"/>
    </row>
    <row r="160" spans="4:15">
      <c r="D160"/>
      <c r="O160"/>
    </row>
    <row r="161" spans="10:14">
      <c r="J161" s="150">
        <v>92.5</v>
      </c>
      <c r="K161" s="150">
        <v>370.39</v>
      </c>
      <c r="L161" s="150">
        <f>(630-80)/5*4.75/1.2</f>
        <v>435.41666666666669</v>
      </c>
      <c r="M161" s="150">
        <v>385.98</v>
      </c>
      <c r="N161" s="150">
        <v>353.97</v>
      </c>
    </row>
    <row r="162" spans="10:14">
      <c r="J162" s="150">
        <v>90</v>
      </c>
      <c r="K162" s="150">
        <v>364.73</v>
      </c>
      <c r="L162" s="150">
        <f>(630-84)/5*4.75/1.2</f>
        <v>432.25000000000006</v>
      </c>
      <c r="M162" s="150">
        <v>380.39</v>
      </c>
      <c r="N162" s="150">
        <v>348.22</v>
      </c>
    </row>
  </sheetData>
  <mergeCells count="8">
    <mergeCell ref="C1:E1"/>
    <mergeCell ref="F2:G2"/>
    <mergeCell ref="E17:F17"/>
    <mergeCell ref="A26:B26"/>
    <mergeCell ref="D82:Z82"/>
    <mergeCell ref="D91:Z91"/>
    <mergeCell ref="D100:Z100"/>
    <mergeCell ref="D109:Z109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A87"/>
  <sheetViews>
    <sheetView topLeftCell="A43" zoomScale="80" zoomScaleNormal="80" workbookViewId="0">
      <selection activeCell="N14" sqref="N14"/>
    </sheetView>
  </sheetViews>
  <sheetFormatPr defaultRowHeight="15"/>
  <cols>
    <col min="1" max="2" width="9.85546875" customWidth="1"/>
    <col min="4" max="4" width="10" style="1" customWidth="1"/>
    <col min="14" max="14" width="11.5703125" bestFit="1" customWidth="1"/>
  </cols>
  <sheetData>
    <row r="1" spans="1:27">
      <c r="A1" s="7" t="s">
        <v>0</v>
      </c>
      <c r="B1" s="26">
        <f>Plan1!B1</f>
        <v>246.59</v>
      </c>
      <c r="C1" s="238" t="s">
        <v>46</v>
      </c>
      <c r="D1" s="238"/>
      <c r="E1" s="238"/>
      <c r="F1" s="268" t="s">
        <v>191</v>
      </c>
      <c r="G1" s="268"/>
      <c r="H1" s="268"/>
      <c r="I1" s="268"/>
      <c r="J1" s="268"/>
      <c r="K1" s="15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</row>
    <row r="2" spans="1:27">
      <c r="A2" s="7" t="s">
        <v>1</v>
      </c>
      <c r="B2" s="27">
        <f>Plan1!B2</f>
        <v>6.0220000000000002</v>
      </c>
      <c r="C2" s="5"/>
      <c r="D2" s="26">
        <f>A9</f>
        <v>246.1552762616987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157" t="s">
        <v>10</v>
      </c>
      <c r="M2" s="157">
        <v>0</v>
      </c>
      <c r="N2" s="157">
        <f>G3</f>
        <v>218.6</v>
      </c>
      <c r="O2" s="157" t="s">
        <v>10</v>
      </c>
      <c r="P2" s="157">
        <v>0</v>
      </c>
      <c r="Q2" s="157">
        <f>H3</f>
        <v>428.33333333333337</v>
      </c>
      <c r="R2" s="157" t="s">
        <v>10</v>
      </c>
      <c r="S2" s="157">
        <v>0</v>
      </c>
      <c r="T2" s="157">
        <f>I3</f>
        <v>230.47</v>
      </c>
      <c r="U2" s="157" t="s">
        <v>10</v>
      </c>
      <c r="V2" s="157">
        <v>0</v>
      </c>
      <c r="W2" s="157">
        <f>J3</f>
        <v>206.42</v>
      </c>
      <c r="Z2" s="163">
        <v>100</v>
      </c>
      <c r="AA2" s="163">
        <f>F38</f>
        <v>120.01309885158344</v>
      </c>
    </row>
    <row r="3" spans="1:27">
      <c r="A3" s="7" t="s">
        <v>2</v>
      </c>
      <c r="B3" s="27">
        <f>Plan1!B3</f>
        <v>1</v>
      </c>
      <c r="C3" s="5"/>
      <c r="D3" s="26">
        <f>A9</f>
        <v>246.1552762616987</v>
      </c>
      <c r="F3" s="157">
        <v>100</v>
      </c>
      <c r="G3" s="157">
        <v>218.6</v>
      </c>
      <c r="H3" s="157">
        <v>428.33333333333337</v>
      </c>
      <c r="I3" s="157">
        <v>230.47</v>
      </c>
      <c r="J3" s="157">
        <v>206.42</v>
      </c>
      <c r="L3" s="169" t="s">
        <v>10</v>
      </c>
      <c r="M3" s="169">
        <v>-2.5</v>
      </c>
      <c r="N3" s="169">
        <f>G10</f>
        <v>220.12</v>
      </c>
      <c r="O3" s="169" t="s">
        <v>10</v>
      </c>
      <c r="P3" s="169">
        <v>-2.5</v>
      </c>
      <c r="Q3" s="169">
        <f>H10</f>
        <v>480</v>
      </c>
      <c r="R3" s="169" t="s">
        <v>10</v>
      </c>
      <c r="S3" s="169">
        <v>-2.5</v>
      </c>
      <c r="T3" s="169">
        <f>I10</f>
        <v>232.29</v>
      </c>
      <c r="U3" s="169" t="s">
        <v>10</v>
      </c>
      <c r="V3" s="169">
        <v>-2.5</v>
      </c>
      <c r="W3" s="169">
        <f>J10</f>
        <v>207.62</v>
      </c>
      <c r="Z3" s="163">
        <v>97.5</v>
      </c>
      <c r="AA3" s="163">
        <f>F39</f>
        <v>232.20628601777389</v>
      </c>
    </row>
    <row r="4" spans="1:27">
      <c r="A4" s="7" t="s">
        <v>3</v>
      </c>
      <c r="B4" s="28">
        <f>Plan1!B4</f>
        <v>106.667</v>
      </c>
      <c r="C4" s="3"/>
      <c r="D4" s="26">
        <f>D2</f>
        <v>246.1552762616987</v>
      </c>
      <c r="F4" s="157">
        <v>97.5</v>
      </c>
      <c r="G4" s="157">
        <v>211.52</v>
      </c>
      <c r="H4" s="157">
        <v>210</v>
      </c>
      <c r="I4" s="157">
        <v>222.45</v>
      </c>
      <c r="J4" s="157">
        <v>200.34</v>
      </c>
      <c r="K4" s="16"/>
      <c r="L4" s="157" t="s">
        <v>10</v>
      </c>
      <c r="M4" s="170">
        <v>-5</v>
      </c>
      <c r="N4" s="170">
        <f>G17</f>
        <v>221.56</v>
      </c>
      <c r="O4" s="170" t="s">
        <v>10</v>
      </c>
      <c r="P4" s="170">
        <v>-5</v>
      </c>
      <c r="Q4" s="170">
        <f>H17</f>
        <v>528.33333333333337</v>
      </c>
      <c r="R4" s="170" t="s">
        <v>10</v>
      </c>
      <c r="S4" s="170">
        <v>-5</v>
      </c>
      <c r="T4" s="170">
        <f>I17</f>
        <v>234.03</v>
      </c>
      <c r="U4" s="170" t="s">
        <v>10</v>
      </c>
      <c r="V4" s="170">
        <v>-5</v>
      </c>
      <c r="W4" s="170">
        <f>J17</f>
        <v>208.78</v>
      </c>
      <c r="Z4" s="163">
        <v>95</v>
      </c>
      <c r="AA4" s="163">
        <f>F40</f>
        <v>148.60969243467798</v>
      </c>
    </row>
    <row r="5" spans="1:27">
      <c r="A5" s="7" t="s">
        <v>4</v>
      </c>
      <c r="B5" s="7">
        <f>Plan1!B5*B8</f>
        <v>-1.6100879196344162</v>
      </c>
      <c r="C5" s="2"/>
      <c r="F5" s="157">
        <v>95</v>
      </c>
      <c r="G5" s="157">
        <v>204.46</v>
      </c>
      <c r="H5" s="157">
        <v>23.333333333333336</v>
      </c>
      <c r="I5" s="157">
        <v>214.53</v>
      </c>
      <c r="J5" s="157">
        <v>194.17</v>
      </c>
      <c r="K5" s="16"/>
      <c r="L5" s="170" t="s">
        <v>10</v>
      </c>
      <c r="M5" s="170">
        <v>-7.5</v>
      </c>
      <c r="N5" s="170">
        <f>G24</f>
        <v>222.93</v>
      </c>
      <c r="O5" s="170" t="s">
        <v>10</v>
      </c>
      <c r="P5" s="170">
        <v>-7.5</v>
      </c>
      <c r="Q5" s="170">
        <f>H24</f>
        <v>578.33333333333337</v>
      </c>
      <c r="R5" s="170" t="s">
        <v>10</v>
      </c>
      <c r="S5" s="170">
        <v>-7.5</v>
      </c>
      <c r="T5" s="170">
        <f>I24</f>
        <v>235.69</v>
      </c>
      <c r="U5" s="170" t="s">
        <v>10</v>
      </c>
      <c r="V5" s="170">
        <v>-7.5</v>
      </c>
      <c r="W5" s="170">
        <f>J24</f>
        <v>209.84</v>
      </c>
      <c r="Z5" s="163">
        <v>92.5</v>
      </c>
      <c r="AA5" s="163">
        <f>F41</f>
        <v>221.91816609597484</v>
      </c>
    </row>
    <row r="6" spans="1:27">
      <c r="A6" s="7" t="s">
        <v>5</v>
      </c>
      <c r="B6" s="29">
        <f>Plan1!B6</f>
        <v>0.85</v>
      </c>
      <c r="C6" s="6"/>
      <c r="D6" s="165">
        <f>F38*(D2-I39)*(D2-I40)*(D2-I41)*(D2-I42)/((I38-I39)*(I38-I40)*(I38-I41)*(I38-I42))+F39*(D2-I38)*(D2-I40)*(D2-I41)*(D2-I42)/((I39-I38)*(I39-I40)*(I39-I41)*(I39-I42))+F40*(D2-I39)*(D2-I38)*(D2-I41)*(D2-I42)/((I40-I39)*(I40-I39)*(I40-I41)*(I40-I42))+F41*(D2-I39)*(D2-I40)*(D2-I38)*(D2-I42)/((I41-I39)*(I41-I40)*(I41-I38)*(I41-I42))+F42*(D2-I39)*(D2-I40)*(D2-I41)*(D2-I38)/((I42-I39)*(I42-I40)*(I42-I41)*(I42-I38))</f>
        <v>20033.156108382405</v>
      </c>
      <c r="F6" s="157">
        <v>92.5</v>
      </c>
      <c r="G6" s="157">
        <v>197.44</v>
      </c>
      <c r="H6" s="157">
        <v>-140</v>
      </c>
      <c r="I6" s="157">
        <v>206.73</v>
      </c>
      <c r="J6" s="157">
        <v>187.98</v>
      </c>
      <c r="K6" s="1"/>
      <c r="L6" s="157" t="s">
        <v>10</v>
      </c>
      <c r="M6" s="157">
        <v>-10</v>
      </c>
      <c r="N6" s="170">
        <f>G31</f>
        <v>224.25</v>
      </c>
      <c r="O6" s="157" t="s">
        <v>10</v>
      </c>
      <c r="P6" s="157">
        <v>-10</v>
      </c>
      <c r="Q6" s="157">
        <f>H31</f>
        <v>625</v>
      </c>
      <c r="R6" s="157" t="s">
        <v>10</v>
      </c>
      <c r="S6" s="157">
        <v>-10</v>
      </c>
      <c r="T6" s="157">
        <f>I31</f>
        <v>237.29</v>
      </c>
      <c r="U6" s="157" t="s">
        <v>10</v>
      </c>
      <c r="V6" s="157">
        <v>-10</v>
      </c>
      <c r="W6" s="157">
        <f>J31</f>
        <v>210.88</v>
      </c>
      <c r="X6" s="1"/>
      <c r="Z6" s="163">
        <v>90</v>
      </c>
      <c r="AA6" s="163">
        <f>F42</f>
        <v>263.09500260176401</v>
      </c>
    </row>
    <row r="7" spans="1:27">
      <c r="A7">
        <f>30/35</f>
        <v>0.8571428571428571</v>
      </c>
      <c r="B7">
        <f>31/35</f>
        <v>0.88571428571428568</v>
      </c>
      <c r="D7" s="1">
        <f>G38*(D2-I39)*(D2-I40)*(D2-I41)*(D2-I42)/((I38-I39)*(I38-I40)*(I38-I41)*(I38-I42))+G39*(D2-I38)*(D2-I40)*(D2-I41)*(D2-I42)/((I39-I38)*(I39-I40)*(I39-I41)*(I39-I42))+G40*(D2-I39)*(D2-I38)*(D2-I41)*(D2-I42)/((I40-I39)*(I40-I39)*(I40-I41)*(I40-I42))+G41*(D2-I39)*(D2-I40)*(D2-I38)*(D2-I42)/((I41-I39)*(I41-I40)*(I41-I38)*(I41-I42))+G42*(D2-I39)*(D2-I40)*(D2-I41)*(D2-I38)/((I42-I39)*(I42-I40)*(I42-I41)*(I42-I38))</f>
        <v>-148107.66748630733</v>
      </c>
      <c r="F7" s="157">
        <v>90</v>
      </c>
      <c r="G7" s="157">
        <v>190.5</v>
      </c>
      <c r="H7" s="157">
        <v>-278.33333333333337</v>
      </c>
      <c r="I7" s="157">
        <v>199.08</v>
      </c>
      <c r="J7" s="157">
        <v>181.78</v>
      </c>
      <c r="K7" s="1"/>
      <c r="L7" s="157" t="s">
        <v>11</v>
      </c>
      <c r="M7" s="9">
        <f>$B$2</f>
        <v>6.0220000000000002</v>
      </c>
      <c r="N7" s="170">
        <f>N2*(M7-M4)*(M7-M6)*(M7-M3)*(M7-M5)/((M2-M4)*(M2-M6)*(M2-M3)*(M2-M5))+N4*(M7-M2)*(M7-M6)*(M7-M3)*(M7-M5)/((M4-M2)*(M4-M6)*(M4-M3)*(M4-M5))+N6*(M7-M2)*(M7-M4)*(M7-M3)*(M7-M5)/((M6-M2)*(M6-M4)*(M6-M3)*(M6-M5))+N3*(M7-M4)*(M7-M6)*(M7-M2)*(M7-M5)/((M3-M4)*(M3-M6)*(M3-M2)*(M3-M5))+N5*(M7-M4)*(M7-M6)*(M7-M2)*(M7-M3)/((M5-M4)*(M5-M6)*(M5-M2)*(M5-M3))</f>
        <v>214.63142939187128</v>
      </c>
      <c r="O7" s="169" t="s">
        <v>10</v>
      </c>
      <c r="P7" s="9">
        <f>$B$2</f>
        <v>6.0220000000000002</v>
      </c>
      <c r="Q7" s="170">
        <f>Q2*(P7-P4)*(P7-P6)*(P7-P3)*(P7-P5)/((P2-P4)*(P2-P6)*(P2-P3)*(P2-P5))+Q4*(P7-P2)*(P7-P6)*(P7-P3)*(P7-P5)/((P4-P2)*(P4-P6)*(P4-P3)*(P4-P5))+Q6*(P7-P2)*(P7-P4)*(P7-P3)*(P7-P5)/((P6-P2)*(P6-P4)*(P6-P3)*(P6-P5))+Q3*(P7-P4)*(P7-P6)*(P7-P2)*(P7-P5)/((P3-P4)*(P3-P6)*(P3-P2)*(P3-P5))+Q5*(P7-P4)*(P7-P6)*(P7-P2)*(P7-P3)/((P5-P4)*(P5-P6)*(P5-P2)*(P5-P3))</f>
        <v>178.44044503737314</v>
      </c>
      <c r="R7" s="169" t="s">
        <v>10</v>
      </c>
      <c r="S7" s="9">
        <f>$B$2</f>
        <v>6.0220000000000002</v>
      </c>
      <c r="T7" s="170">
        <f>T2*(S7-S4)*(S7-S6)*(S7-S3)*(S7-S5)/((S2-S4)*(S2-S6)*(S2-S3)*(S2-S5))+T4*(S7-S2)*(S7-S6)*(S7-S3)*(S7-S5)/((S4-S2)*(S4-S6)*(S4-S3)*(S4-S5))+T6*(S7-S2)*(S7-S4)*(S7-S3)*(S7-S5)/((S6-S2)*(S6-S4)*(S6-S3)*(S6-S5))+T3*(S7-S4)*(S7-S6)*(S7-S2)*(S7-S5)/((S3-S4)*(S3-S6)*(S3-S2)*(S3-S5))+T5*(S7-S4)*(S7-S6)*(S7-S2)*(S7-S3)/((S5-S4)*(S5-S6)*(S5-S2)*(S5-S3))</f>
        <v>225.92071006324659</v>
      </c>
      <c r="U7" s="169" t="s">
        <v>10</v>
      </c>
      <c r="V7" s="9">
        <f>$B$2</f>
        <v>6.0220000000000002</v>
      </c>
      <c r="W7" s="170">
        <f>W2*(V7-V4)*(V7-V6)*(V7-V3)*(V7-V5)/((V2-V4)*(V2-V6)*(V2-V3)*(V2-V5))+W4*(V7-V2)*(V7-V6)*(V7-V3)*(V7-V5)/((V4-V2)*(V4-V6)*(V4-V3)*(V4-V5))+W6*(V7-V2)*(V7-V4)*(V7-V3)*(V7-V5)/((V6-V2)*(V6-V4)*(V6-V3)*(V6-V5))+W3*(V7-V4)*(V7-V6)*(V7-V2)*(V7-V5)/((V3-V4)*(V3-V6)*(V3-V2)*(V3-V5))+W5*(V7-V4)*(V7-V6)*(V7-V2)*(V7-V3)/((V5-V4)*(V5-V6)*(V5-V2)*(V5-V3))</f>
        <v>204.86942472279407</v>
      </c>
      <c r="X7" s="1"/>
      <c r="Y7" s="163" t="s">
        <v>193</v>
      </c>
      <c r="Z7" s="164">
        <f>$A$30</f>
        <v>206.3050992888393</v>
      </c>
      <c r="AA7" s="164">
        <f>AA2*(Z7-Z3)*(Z7-Z4)*(Z7-Z5)*(Z7-Z6)/((Z2-Z3)*(Z2-Z4)*(Z2-Z5)*(Z2-Z6))+AA3*(Z7-Z2)*(Z7-Z4)*(Z7-Z5)*(Z7-Z6)/((Z3-Z2)*(Z3-Z4)*(Z3-Z5)*(Z3-Z6))+AA4*(Z7-Z2)*(Z7-Z3)*(Z7-Z5)*(Z7-Z6)/((Z4-Z2)*(Z4-Z3)*(Z4-Z5)*(Z4-Z6))+AA5*(Z7-Z2)*(Z7-Z3)*(Z7-Z4)*(Z7-Z6)/((Z5-Z2)*(Z5-Z3)*(Z5-Z4)*(Z5-Z6))+AA6*(Z7-Z2)*(Z7-Z3)*(Z7-Z4)*(Z7-Z5)/((Z6-Z2)*(Z6-Z3)*(Z6-Z4)*(Z6-Z5))</f>
        <v>-89692043.575145394</v>
      </c>
    </row>
    <row r="8" spans="1:27">
      <c r="B8">
        <f>IF(Plan1!$E$16=4,'3w 18s 7c'!A7,'3w 18s 7c'!B7)</f>
        <v>0.8571428571428571</v>
      </c>
      <c r="K8" s="13"/>
      <c r="N8" s="170" t="s">
        <v>12</v>
      </c>
      <c r="O8" s="1"/>
      <c r="P8" s="1"/>
      <c r="Q8" s="1" t="s">
        <v>13</v>
      </c>
      <c r="R8" s="1"/>
      <c r="S8" s="1"/>
      <c r="T8" s="1" t="s">
        <v>8</v>
      </c>
      <c r="U8" s="1"/>
      <c r="V8" s="1"/>
      <c r="W8" s="1" t="s">
        <v>9</v>
      </c>
      <c r="X8" s="1"/>
    </row>
    <row r="9" spans="1:27">
      <c r="A9" s="4">
        <f>B1-(ABS(B5*0.27))</f>
        <v>246.1552762616987</v>
      </c>
      <c r="F9" s="15">
        <v>-2.5</v>
      </c>
      <c r="G9" s="7" t="s">
        <v>6</v>
      </c>
      <c r="H9" s="7" t="s">
        <v>7</v>
      </c>
      <c r="I9" s="7" t="s">
        <v>8</v>
      </c>
      <c r="J9" s="7" t="s">
        <v>9</v>
      </c>
      <c r="K9" s="13"/>
      <c r="L9" s="169" t="s">
        <v>10</v>
      </c>
      <c r="M9" s="169">
        <v>0</v>
      </c>
      <c r="N9" s="170">
        <f>G4</f>
        <v>211.52</v>
      </c>
      <c r="O9" s="169" t="s">
        <v>10</v>
      </c>
      <c r="P9" s="169">
        <v>0</v>
      </c>
      <c r="Q9" s="169">
        <f>H4</f>
        <v>210</v>
      </c>
      <c r="R9" s="169" t="s">
        <v>10</v>
      </c>
      <c r="S9" s="169">
        <v>0</v>
      </c>
      <c r="T9" s="169">
        <f>I4</f>
        <v>222.45</v>
      </c>
      <c r="U9" s="169" t="s">
        <v>10</v>
      </c>
      <c r="V9" s="169">
        <v>0</v>
      </c>
      <c r="W9" s="169">
        <f>J4</f>
        <v>200.34</v>
      </c>
      <c r="X9" s="1"/>
    </row>
    <row r="10" spans="1:27">
      <c r="F10" s="169">
        <v>100</v>
      </c>
      <c r="G10" s="169">
        <v>220.12</v>
      </c>
      <c r="H10" s="169">
        <v>480</v>
      </c>
      <c r="I10" s="169">
        <v>232.29</v>
      </c>
      <c r="J10" s="169">
        <v>207.62</v>
      </c>
      <c r="K10" s="13"/>
      <c r="L10" s="169" t="s">
        <v>10</v>
      </c>
      <c r="M10" s="169">
        <v>-2.5</v>
      </c>
      <c r="N10" s="170">
        <f>G11</f>
        <v>213.19</v>
      </c>
      <c r="O10" s="169" t="s">
        <v>10</v>
      </c>
      <c r="P10" s="169">
        <v>-2.5</v>
      </c>
      <c r="Q10" s="169">
        <f>H11</f>
        <v>260</v>
      </c>
      <c r="R10" s="169" t="s">
        <v>10</v>
      </c>
      <c r="S10" s="169">
        <v>-2.5</v>
      </c>
      <c r="T10" s="169">
        <f>I11</f>
        <v>224.42</v>
      </c>
      <c r="U10" s="169" t="s">
        <v>10</v>
      </c>
      <c r="V10" s="169">
        <v>-2.5</v>
      </c>
      <c r="W10" s="169">
        <f>J11</f>
        <v>201.69</v>
      </c>
      <c r="X10" s="1"/>
    </row>
    <row r="11" spans="1:27">
      <c r="A11" s="157" t="s">
        <v>23</v>
      </c>
      <c r="B11" s="157">
        <f>Plan1!B17</f>
        <v>86</v>
      </c>
      <c r="D11" s="165">
        <f>(($B$16*D6)+D7+(D6*$B$14))/($D$2*(44/17.5))</f>
        <v>-260.41374626964182</v>
      </c>
      <c r="F11" s="169">
        <v>97.5</v>
      </c>
      <c r="G11" s="169">
        <v>213.19</v>
      </c>
      <c r="H11" s="169">
        <v>260</v>
      </c>
      <c r="I11" s="169">
        <v>224.42</v>
      </c>
      <c r="J11" s="169">
        <v>201.69</v>
      </c>
      <c r="K11" s="13"/>
      <c r="L11" s="169" t="s">
        <v>10</v>
      </c>
      <c r="M11" s="169">
        <v>-5</v>
      </c>
      <c r="N11" s="170">
        <f>G18</f>
        <v>214.77</v>
      </c>
      <c r="O11" s="169" t="s">
        <v>10</v>
      </c>
      <c r="P11" s="169">
        <v>-5</v>
      </c>
      <c r="Q11" s="169">
        <f>H18</f>
        <v>308.33333333333337</v>
      </c>
      <c r="R11" s="169" t="s">
        <v>10</v>
      </c>
      <c r="S11" s="169">
        <v>-5</v>
      </c>
      <c r="T11" s="169">
        <f>I18</f>
        <v>226.84</v>
      </c>
      <c r="U11" s="170" t="s">
        <v>10</v>
      </c>
      <c r="V11" s="170">
        <v>-5</v>
      </c>
      <c r="W11" s="170">
        <f>J18</f>
        <v>202.97</v>
      </c>
      <c r="X11" s="1"/>
    </row>
    <row r="12" spans="1:27">
      <c r="A12" s="157" t="s">
        <v>24</v>
      </c>
      <c r="B12" s="157">
        <f>Plan1!B18</f>
        <v>49.06</v>
      </c>
      <c r="F12" s="169">
        <v>95</v>
      </c>
      <c r="G12" s="169">
        <v>206.28</v>
      </c>
      <c r="H12" s="169">
        <v>70</v>
      </c>
      <c r="I12" s="169">
        <v>216.66</v>
      </c>
      <c r="J12" s="169">
        <v>195.68</v>
      </c>
      <c r="K12" s="1"/>
      <c r="L12" s="170" t="s">
        <v>10</v>
      </c>
      <c r="M12" s="170">
        <v>-7.5</v>
      </c>
      <c r="N12" s="170">
        <f>G25</f>
        <v>216.27</v>
      </c>
      <c r="O12" s="170" t="s">
        <v>10</v>
      </c>
      <c r="P12" s="170">
        <v>-7.5</v>
      </c>
      <c r="Q12">
        <f>H25</f>
        <v>353.33333333333337</v>
      </c>
      <c r="R12" s="170" t="s">
        <v>10</v>
      </c>
      <c r="S12" s="170">
        <v>-7.5</v>
      </c>
      <c r="T12" s="170">
        <f>I25</f>
        <v>228.09</v>
      </c>
      <c r="U12" s="170" t="s">
        <v>10</v>
      </c>
      <c r="V12" s="170">
        <v>-7.5</v>
      </c>
      <c r="W12" s="170">
        <f>J25</f>
        <v>204.16</v>
      </c>
      <c r="X12" s="1"/>
    </row>
    <row r="13" spans="1:27">
      <c r="A13" s="157" t="s">
        <v>25</v>
      </c>
      <c r="B13" s="157">
        <f>COS(RADIANS(B12))</f>
        <v>0.65526833938609963</v>
      </c>
      <c r="D13" s="166">
        <f>SIN(RADIANS(B4+D11*0.707))*B3</f>
        <v>-0.9760897577697476</v>
      </c>
      <c r="F13" s="169">
        <v>92.5</v>
      </c>
      <c r="G13" s="169">
        <v>199.42</v>
      </c>
      <c r="H13" s="169">
        <v>-96</v>
      </c>
      <c r="I13" s="169">
        <v>209.02</v>
      </c>
      <c r="J13" s="169">
        <v>189.64</v>
      </c>
      <c r="K13" s="1"/>
      <c r="L13" s="169" t="s">
        <v>10</v>
      </c>
      <c r="M13" s="169">
        <v>-10</v>
      </c>
      <c r="N13" s="170">
        <f>G32</f>
        <v>217.69</v>
      </c>
      <c r="O13" s="169" t="s">
        <v>10</v>
      </c>
      <c r="P13" s="169">
        <v>-10</v>
      </c>
      <c r="Q13" s="169">
        <f>H32</f>
        <v>400</v>
      </c>
      <c r="R13" s="169" t="s">
        <v>10</v>
      </c>
      <c r="S13" s="169">
        <v>-10</v>
      </c>
      <c r="T13" s="170">
        <f>I32</f>
        <v>229.81</v>
      </c>
      <c r="U13" s="170" t="s">
        <v>10</v>
      </c>
      <c r="V13" s="170">
        <v>-10</v>
      </c>
      <c r="W13" s="170">
        <f>J32</f>
        <v>205.31</v>
      </c>
      <c r="X13" s="1"/>
    </row>
    <row r="14" spans="1:27">
      <c r="A14" s="157" t="s">
        <v>26</v>
      </c>
      <c r="B14" s="157">
        <f>B5</f>
        <v>-1.6100879196344162</v>
      </c>
      <c r="D14" s="166">
        <f>COS(RADIANS(B4+D11*0.5))*B3</f>
        <v>0.91678235589143053</v>
      </c>
      <c r="F14" s="169">
        <v>90</v>
      </c>
      <c r="G14" s="169">
        <v>192.64</v>
      </c>
      <c r="H14" s="169">
        <v>-236</v>
      </c>
      <c r="I14" s="169">
        <v>201.54</v>
      </c>
      <c r="J14" s="169">
        <v>183.6</v>
      </c>
      <c r="K14" s="1"/>
      <c r="L14" s="169" t="s">
        <v>11</v>
      </c>
      <c r="M14" s="9">
        <f>$B$2</f>
        <v>6.0220000000000002</v>
      </c>
      <c r="N14" s="170">
        <f>N9*(M14-M11)*(M14-M13)*(M14-M10)*(M14-M12)/((M9-M11)*(M9-M13)*(M9-M10)*(M9-M12))+N11*(M14-M9)*(M14-M13)*(M14-M10)*(M14-M12)/((M11-M9)*(M11-M13)*(M11-M10)*(M11-M12))+N13*(M14-M9)*(M14-M11)*(M14-M10)*(M14-M12)/((M13-M9)*(M13-M11)*(M13-M10)*(M13-M12))+N10*(M14-M11)*(M14-M13)*(M14-M9)*(M14-M12)/((M10-M11)*(M10-M13)*(M10-M9)*(M10-M12))+N12*(M14-M11)*(M14-M13)*(M14-M9)*(M14-M10)/((M12-M11)*(M12-M13)*(M12-M9)*(M12-M10))</f>
        <v>206.98588304382974</v>
      </c>
      <c r="O14" s="169" t="s">
        <v>11</v>
      </c>
      <c r="P14" s="9">
        <f>$B$2</f>
        <v>6.0220000000000002</v>
      </c>
      <c r="Q14" s="170">
        <f>Q9*(P14-P11)*(P14-P13)*(P14-P10)*(P14-P12)/((P9-P11)*(P9-P13)*(P9-P10)*(P9-P12))+Q11*(P14-P9)*(P14-P13)*(P14-P10)*(P14-P12)/((P11-P9)*(P11-P13)*(P11-P10)*(P11-P12))+Q13*(P14-P9)*(P14-P11)*(P14-P10)*(P14-P12)/((P13-P9)*(P13-P11)*(P13-P10)*(P13-P12))+Q10*(P14-P11)*(P14-P13)*(P14-P9)*(P14-P12)/((P10-P11)*(P10-P13)*(P10-P9)*(P10-P12))+Q12*(P14-P11)*(P14-P13)*(P14-P9)*(P14-P10)/((P12-P11)*(P12-P13)*(P12-P9)*(P12-P10))</f>
        <v>147.16353757244906</v>
      </c>
      <c r="R14" s="169" t="s">
        <v>11</v>
      </c>
      <c r="S14" s="9">
        <f>$B$2</f>
        <v>6.0220000000000002</v>
      </c>
      <c r="T14" s="170">
        <f>T9*(S14-S11)*(S14-S13)*(S14-S10)*(S14-S12)/((S9-S11)*(S9-S13)*(S9-S10)*(S9-S12))+T11*(S14-S9)*(S14-S13)*(S14-S10)*(S14-S12)/((S11-S9)*(S11-S13)*(S11-S10)*(S11-S12))+T13*(S14-S9)*(S14-S11)*(S14-S10)*(S14-S12)/((S13-S9)*(S13-S11)*(S13-S10)*(S13-S12))+T10*(S14-S11)*(S14-S13)*(S14-S9)*(S14-S12)/((S10-S11)*(S10-S13)*(S10-S9)*(S10-S12))+T12*(S14-S11)*(S14-S13)*(S14-S9)*(S14-S10)/((S12-S11)*(S12-S13)*(S12-S9)*(S12-S10))</f>
        <v>255.92331657513023</v>
      </c>
      <c r="U14" s="169" t="s">
        <v>11</v>
      </c>
      <c r="V14" s="9">
        <f>$B$2</f>
        <v>6.0220000000000002</v>
      </c>
      <c r="W14" s="170">
        <f>W9*(V14-V11)*(V14-V13)*(V14-V10)*(V14-V12)/((V9-V11)*(V9-V13)*(V9-V10)*(V9-V12))+W11*(V14-V9)*(V14-V13)*(V14-V10)*(V14-V12)/((V11-V9)*(V11-V13)*(V11-V10)*(V11-V12))+W13*(V14-V9)*(V14-V11)*(V14-V10)*(V14-V12)/((V13-V9)*(V13-V11)*(V13-V10)*(V13-V12))+W10*(V14-V11)*(V14-V13)*(V14-V9)*(V14-V12)/((V10-V11)*(V10-V13)*(V10-V9)*(V10-V12))+W12*(V14-V11)*(V14-V13)*(V14-V9)*(V14-V10)/((V12-V11)*(V12-V13)*(V12-V9)*(V12-V10))</f>
        <v>197.49249913445055</v>
      </c>
      <c r="X14" s="1"/>
      <c r="Z14" s="163">
        <v>100</v>
      </c>
      <c r="AA14" s="164">
        <f>G38</f>
        <v>58.427346185789702</v>
      </c>
    </row>
    <row r="15" spans="1:27">
      <c r="A15" s="171">
        <f>B16/B3</f>
        <v>0.95798784374570456</v>
      </c>
      <c r="B15" s="167">
        <f>D13/B3</f>
        <v>-0.9760897577697476</v>
      </c>
      <c r="K15" s="1"/>
      <c r="N15" s="170" t="s">
        <v>12</v>
      </c>
      <c r="O15" s="1"/>
      <c r="P15" s="1"/>
      <c r="Q15" s="1" t="s">
        <v>13</v>
      </c>
      <c r="R15" s="1"/>
      <c r="S15" s="1"/>
      <c r="T15" s="1" t="s">
        <v>8</v>
      </c>
      <c r="U15" s="1"/>
      <c r="V15" s="1"/>
      <c r="W15" s="1" t="s">
        <v>9</v>
      </c>
      <c r="X15" s="1"/>
      <c r="Z15" s="163">
        <v>97.5</v>
      </c>
      <c r="AA15" s="164">
        <f>G39</f>
        <v>-85.042748445324833</v>
      </c>
    </row>
    <row r="16" spans="1:27">
      <c r="A16" s="157" t="s">
        <v>32</v>
      </c>
      <c r="B16" s="23">
        <f>B3*SIN(RADIANS(B4))</f>
        <v>0.95798784374570456</v>
      </c>
      <c r="D16" s="168">
        <f>N38*(D2-M39)*(D2-M40)*(D2-M41)*(D2-M42)/((M38-M39)*(M38-M40)*(M38-M41)*(M38-M42))+N39*(D2-M38)*(D2-M40)*(D2-M41)*(D2-M42)/((M39-M38)*(M39-M40)*(M39-M41)*(M39-M42))+N40*(D2-M39)*(D2-M38)*(D2-M41)*(D2-M42)/((M40-M39)*(M40-M38)*(M40-M41)*(M40-M42))+N41*(D2-M39)*(D2-M40)*(D2-M38)*(D2-M42)/((M41-M39)*(M41-M40)*(M41-M38)*(M41-M42))+N42*(D2-M39)*(D2-M40)*(D2-M41)*(D2-M38)/((M42-M39)*(M42-M40)*(M42-M41)*(M42-M41))</f>
        <v>19842.024354910773</v>
      </c>
      <c r="F16" s="15">
        <v>-5</v>
      </c>
      <c r="G16" s="7" t="s">
        <v>6</v>
      </c>
      <c r="H16" s="7" t="s">
        <v>7</v>
      </c>
      <c r="I16" s="7" t="s">
        <v>8</v>
      </c>
      <c r="J16" s="7" t="s">
        <v>9</v>
      </c>
      <c r="K16" s="1"/>
      <c r="L16" s="169" t="s">
        <v>10</v>
      </c>
      <c r="M16" s="169">
        <v>0</v>
      </c>
      <c r="N16" s="170">
        <f>G5</f>
        <v>204.46</v>
      </c>
      <c r="O16" s="169" t="s">
        <v>10</v>
      </c>
      <c r="P16" s="169">
        <v>0</v>
      </c>
      <c r="Q16" s="169">
        <f>H5</f>
        <v>23.333333333333336</v>
      </c>
      <c r="R16" s="169" t="s">
        <v>10</v>
      </c>
      <c r="S16" s="169">
        <v>0</v>
      </c>
      <c r="T16" s="169">
        <f>I5</f>
        <v>214.53</v>
      </c>
      <c r="U16" s="169" t="s">
        <v>10</v>
      </c>
      <c r="V16" s="169">
        <v>0</v>
      </c>
      <c r="W16" s="169">
        <f>J5</f>
        <v>194.17</v>
      </c>
      <c r="X16" s="1"/>
      <c r="Z16" s="163">
        <v>95</v>
      </c>
      <c r="AA16" s="164">
        <f>G40</f>
        <v>-349.52768399373645</v>
      </c>
    </row>
    <row r="17" spans="1:27">
      <c r="A17" s="157" t="s">
        <v>33</v>
      </c>
      <c r="B17" s="23">
        <f>B3*COS(RADIANS(B4))</f>
        <v>-0.28680880606329973</v>
      </c>
      <c r="D17" s="1">
        <f>O38*(D2-M39)*(D2-M40)*(D2-M41)*(D2-M42)/((M38-M39)*(M38-M40)*(M38-M41)*(M38-M42))+O39*(D2-M38)*(D2-M40)*(D2-M41)*(D2-M42)/((M39-M38)*(M39-M40)*(M39-M41)*(M39-M42))+O40*(D2-M39)*(D2-M38)*(D2-M41)*(D2-M42)/((M40-M39)*(M40-M38)*(M40-M41)*(M40-M42))+O41*(D2-M39)*(D2-M40)*(D2-M38)*(D2-M42)/((M41-M39)*(M41-M40)*(M41-M38)*(M41-M42))+O42*(D2-M39)*(D2-M40)*(D2-M41)*(D2-M38)/((M42-M39)*(M42-M40)*(M42-M41)*(M42-M41))</f>
        <v>19877.981855933871</v>
      </c>
      <c r="F17" s="157">
        <v>100</v>
      </c>
      <c r="G17" s="157">
        <v>221.56</v>
      </c>
      <c r="H17" s="157">
        <v>528.33333333333337</v>
      </c>
      <c r="I17" s="157">
        <v>234.03</v>
      </c>
      <c r="J17" s="157">
        <v>208.78</v>
      </c>
      <c r="K17" s="1"/>
      <c r="L17" s="169" t="s">
        <v>10</v>
      </c>
      <c r="M17" s="169">
        <v>-2.5</v>
      </c>
      <c r="N17" s="170">
        <f>G12</f>
        <v>206.28</v>
      </c>
      <c r="O17" s="169" t="s">
        <v>10</v>
      </c>
      <c r="P17" s="169">
        <v>-2.5</v>
      </c>
      <c r="Q17" s="169">
        <f>H12</f>
        <v>70</v>
      </c>
      <c r="R17" s="169" t="s">
        <v>10</v>
      </c>
      <c r="S17" s="169">
        <v>-2.5</v>
      </c>
      <c r="T17" s="169">
        <f>I12</f>
        <v>216.66</v>
      </c>
      <c r="U17" s="169" t="s">
        <v>10</v>
      </c>
      <c r="V17" s="169">
        <v>-2.5</v>
      </c>
      <c r="W17" s="169">
        <f>J12</f>
        <v>195.68</v>
      </c>
      <c r="X17" s="1"/>
      <c r="Z17" s="163">
        <v>92.5</v>
      </c>
      <c r="AA17" s="164">
        <f>G41</f>
        <v>-469.95159539285305</v>
      </c>
    </row>
    <row r="18" spans="1:27">
      <c r="F18" s="157">
        <v>97.5</v>
      </c>
      <c r="G18" s="157">
        <v>214.77</v>
      </c>
      <c r="H18" s="157">
        <v>308.33333333333337</v>
      </c>
      <c r="I18" s="157">
        <v>226.84</v>
      </c>
      <c r="J18" s="157">
        <v>202.97</v>
      </c>
      <c r="K18" s="1"/>
      <c r="L18" s="169" t="s">
        <v>10</v>
      </c>
      <c r="M18" s="169">
        <v>-5</v>
      </c>
      <c r="N18" s="170">
        <f>G19</f>
        <v>208</v>
      </c>
      <c r="O18" s="169" t="s">
        <v>10</v>
      </c>
      <c r="P18" s="169">
        <v>-5</v>
      </c>
      <c r="Q18" s="169">
        <f>H19</f>
        <v>113.33333333333334</v>
      </c>
      <c r="R18" s="169" t="s">
        <v>10</v>
      </c>
      <c r="S18" s="169">
        <v>-5</v>
      </c>
      <c r="T18" s="169">
        <f>I19</f>
        <v>218.68</v>
      </c>
      <c r="U18" s="170" t="s">
        <v>10</v>
      </c>
      <c r="V18" s="170">
        <v>-5</v>
      </c>
      <c r="W18" s="170">
        <f>J19</f>
        <v>197.1</v>
      </c>
      <c r="X18" s="1"/>
      <c r="Z18" s="163">
        <v>90</v>
      </c>
      <c r="AA18" s="164">
        <f>G42</f>
        <v>-489.60046617069702</v>
      </c>
    </row>
    <row r="19" spans="1:27">
      <c r="A19" s="157" t="s">
        <v>31</v>
      </c>
      <c r="B19" s="157" t="s">
        <v>35</v>
      </c>
      <c r="F19" s="157">
        <v>95</v>
      </c>
      <c r="G19" s="157">
        <v>208</v>
      </c>
      <c r="H19" s="157">
        <v>113.33333333333334</v>
      </c>
      <c r="I19" s="157">
        <v>218.68</v>
      </c>
      <c r="J19" s="157">
        <v>197.1</v>
      </c>
      <c r="K19" s="1"/>
      <c r="L19" s="170" t="s">
        <v>10</v>
      </c>
      <c r="M19" s="170">
        <v>-7.5</v>
      </c>
      <c r="N19" s="170">
        <f>G26</f>
        <v>209.62</v>
      </c>
      <c r="O19" s="170" t="s">
        <v>10</v>
      </c>
      <c r="P19" s="170">
        <v>-7.5</v>
      </c>
      <c r="Q19">
        <f>H26</f>
        <v>158.33333333333334</v>
      </c>
      <c r="R19" s="170" t="s">
        <v>10</v>
      </c>
      <c r="S19" s="170">
        <v>-7.5</v>
      </c>
      <c r="T19" s="170">
        <f>I26</f>
        <v>220.6</v>
      </c>
      <c r="U19" s="170" t="s">
        <v>10</v>
      </c>
      <c r="V19" s="170">
        <v>-7.5</v>
      </c>
      <c r="W19" s="170">
        <f>J26</f>
        <v>198.42</v>
      </c>
      <c r="X19" s="1"/>
      <c r="Y19" s="163" t="s">
        <v>194</v>
      </c>
      <c r="Z19" s="164">
        <f>$A$30</f>
        <v>206.3050992888393</v>
      </c>
      <c r="AA19" s="164">
        <f>AA14*(Z19-Z15)*(Z19-Z16)*(Z19-Z17)*(Z19-Z18)/((Z14-Z15)*(Z14-Z16)*(Z14-Z17)*(Z14-Z18))+AA15*(Z19-Z14)*(Z19-Z16)*(Z19-Z17)*(Z19-Z18)/((Z15-Z14)*(Z15-Z16)*(Z15-Z17)*(Z15-Z18))+AA16*(Z19-Z14)*(Z19-Z15)*(Z19-Z17)*(Z19-Z18)/((Z16-Z14)*(Z16-Z15)*(Z16-Z17)*(Z16-Z18))+AA17*(Z19-Z14)*(Z19-Z15)*(Z19-Z16)*(Z19-Z18)/((Z17-Z14)*(Z17-Z15)*(Z17-Z16)*(Z17-Z18))+AA18*(Z19-Z14)*(Z19-Z15)*(Z19-Z16)*(Z19-Z17)/((Z18-Z14)*(Z18-Z15)*(Z18-Z16)*(Z18-Z17))</f>
        <v>-51937346.927588478</v>
      </c>
    </row>
    <row r="20" spans="1:27">
      <c r="A20" s="22">
        <f>(I51*(D2-H52)*(D2-H53)/((H51-H52)*(H51-H53))+I52*(D2-H51)*(D2-H53)/((H52-H51)*(H52-H53))+I53*(D2-H51)*(D2-H52)/((H53-H51)*(H53-H52)))</f>
        <v>149.45862106884195</v>
      </c>
      <c r="B20" s="23">
        <f>(B16*A20+(A21*B14))/(D2*(44/17.5))</f>
        <v>-0.15747493756542172</v>
      </c>
      <c r="D20"/>
      <c r="F20" s="157">
        <v>92.5</v>
      </c>
      <c r="G20" s="157">
        <v>201.28</v>
      </c>
      <c r="H20" s="157">
        <v>-53.333333333333336</v>
      </c>
      <c r="I20" s="157">
        <v>211.19</v>
      </c>
      <c r="J20" s="157">
        <v>191.2</v>
      </c>
      <c r="K20" s="1"/>
      <c r="L20" s="169" t="s">
        <v>10</v>
      </c>
      <c r="M20" s="169">
        <v>-10</v>
      </c>
      <c r="N20" s="170">
        <f>G33</f>
        <v>211.17</v>
      </c>
      <c r="O20" s="169" t="s">
        <v>10</v>
      </c>
      <c r="P20" s="169">
        <v>-10</v>
      </c>
      <c r="Q20" s="169">
        <f>H33</f>
        <v>201.66666666666669</v>
      </c>
      <c r="R20" s="169" t="s">
        <v>10</v>
      </c>
      <c r="S20" s="169">
        <v>-10</v>
      </c>
      <c r="T20" s="170">
        <f>I33</f>
        <v>222.43</v>
      </c>
      <c r="U20" s="170" t="s">
        <v>10</v>
      </c>
      <c r="V20" s="170">
        <v>-10</v>
      </c>
      <c r="W20" s="170">
        <f>J33</f>
        <v>199.68</v>
      </c>
      <c r="X20" s="1"/>
    </row>
    <row r="21" spans="1:27">
      <c r="A21" s="22">
        <f>A20*1</f>
        <v>149.45862106884195</v>
      </c>
      <c r="D21"/>
      <c r="F21" s="157">
        <v>90</v>
      </c>
      <c r="G21" s="157">
        <v>194.65</v>
      </c>
      <c r="H21" s="157">
        <v>-193.33333333333334</v>
      </c>
      <c r="I21" s="157">
        <v>203.85</v>
      </c>
      <c r="J21" s="157">
        <v>185.3</v>
      </c>
      <c r="K21" s="1"/>
      <c r="L21" s="169" t="s">
        <v>11</v>
      </c>
      <c r="M21" s="9">
        <f>$B$2</f>
        <v>6.0220000000000002</v>
      </c>
      <c r="N21" s="170">
        <f>N16*(M21-M18)*(M21-M20)*(M21-M17)*(M21-M19)/((M16-M18)*(M16-M20)*(M16-M17)*(M16-M19))+N18*(M21-M16)*(M21-M20)*(M21-M17)*(M21-M19)/((M18-M16)*(M18-M20)*(M18-M17)*(M18-M19))+N20*(M21-M16)*(M21-M18)*(M21-M17)*(M21-M19)/((M20-M16)*(M20-M18)*(M20-M17)*(M20-M19))+N17*(M21-M18)*(M21-M20)*(M21-M16)*(M21-M19)/((M17-M18)*(M17-M20)*(M17-M16)*(M17-M19))+N19*(M21-M18)*(M21-M20)*(M21-M16)*(M21-M17)/((M19-M18)*(M19-M20)*(M19-M16)*(M19-M17))</f>
        <v>199.91018426926621</v>
      </c>
      <c r="O21" s="169" t="s">
        <v>11</v>
      </c>
      <c r="P21" s="9">
        <f>$B$2</f>
        <v>6.0220000000000002</v>
      </c>
      <c r="Q21" s="170">
        <f>Q16*(P21-P18)*(P21-P20)*(P21-P17)*(P21-P19)/((P16-P18)*(P16-P20)*(P16-P17)*(P16-P19))+Q18*(P21-P16)*(P21-P20)*(P21-P17)*(P21-P19)/((P18-P16)*(P18-P20)*(P18-P17)*(P18-P19))+Q20*(P21-P16)*(P21-P18)*(P21-P17)*(P21-P19)/((P20-P16)*(P20-P18)*(P20-P17)*(P20-P19))+Q17*(P21-P18)*(P21-P20)*(P21-P16)*(P21-P19)/((P17-P18)*(P17-P20)*(P17-P16)*(P17-P19))+Q19*(P21-P18)*(P21-P20)*(P21-P16)*(P21-P17)/((P19-P18)*(P19-P20)*(P19-P16)*(P19-P17))</f>
        <v>-200.91799155905846</v>
      </c>
      <c r="R21" s="169" t="s">
        <v>11</v>
      </c>
      <c r="S21" s="9">
        <f>$B$2</f>
        <v>6.0220000000000002</v>
      </c>
      <c r="T21" s="170">
        <f>T16*(S21-S18)*(S21-S20)*(S21-S17)*(S21-S19)/((S16-S18)*(S16-S20)*(S16-S17)*(S16-S19))+T18*(S21-S16)*(S21-S20)*(S21-S17)*(S21-S19)/((S18-S16)*(S18-S20)*(S18-S17)*(S18-S19))+T20*(S21-S16)*(S21-S18)*(S21-S17)*(S21-S19)/((S20-S16)*(S20-S18)*(S20-S17)*(S20-S19))+T17*(S21-S18)*(S21-S20)*(S21-S16)*(S21-S19)/((S17-S18)*(S17-S20)*(S17-S16)*(S17-S19))+T19*(S21-S18)*(S21-S20)*(S21-S16)*(S21-S17)/((S19-S18)*(S19-S20)*(S19-S16)*(S19-S17))</f>
        <v>208.88730924985612</v>
      </c>
      <c r="U21" s="169" t="s">
        <v>11</v>
      </c>
      <c r="V21" s="9">
        <f>$B$2</f>
        <v>6.0220000000000002</v>
      </c>
      <c r="W21" s="170">
        <f>W16*(V21-V18)*(V21-V20)*(V21-V17)*(V21-V19)/((V16-V18)*(V16-V20)*(V16-V17)*(V16-V19))+W18*(V21-V16)*(V21-V20)*(V21-V17)*(V21-V19)/((V18-V16)*(V18-V20)*(V18-V17)*(V18-V19))+W20*(V21-V16)*(V21-V18)*(V21-V17)*(V21-V19)/((V20-V16)*(V20-V18)*(V20-V17)*(V20-V19))+W17*(V21-V18)*(V21-V20)*(V21-V16)*(V21-V19)/((V17-V18)*(V17-V20)*(V17-V16)*(V17-V19))+W19*(V21-V18)*(V21-V20)*(V21-V16)*(V21-V17)/((V19-V18)*(V19-V20)*(V19-V16)*(V19-V17))</f>
        <v>190.63147390825816</v>
      </c>
      <c r="X21" s="1"/>
    </row>
    <row r="22" spans="1:27">
      <c r="D22"/>
      <c r="K22" s="1"/>
      <c r="N22" s="170" t="s">
        <v>12</v>
      </c>
      <c r="O22" s="1"/>
      <c r="P22" s="1"/>
      <c r="Q22" s="1" t="s">
        <v>13</v>
      </c>
      <c r="R22" s="1"/>
      <c r="S22" s="1"/>
      <c r="T22" s="1" t="s">
        <v>8</v>
      </c>
      <c r="U22" s="1"/>
      <c r="V22" s="1"/>
      <c r="W22" s="1" t="s">
        <v>9</v>
      </c>
      <c r="X22" s="1"/>
    </row>
    <row r="23" spans="1:27">
      <c r="A23" s="157" t="s">
        <v>36</v>
      </c>
      <c r="B23" s="23">
        <f>D13</f>
        <v>-0.9760897577697476</v>
      </c>
      <c r="D23"/>
      <c r="F23" s="15">
        <v>-7.5</v>
      </c>
      <c r="G23" s="7" t="s">
        <v>6</v>
      </c>
      <c r="H23" s="7" t="s">
        <v>7</v>
      </c>
      <c r="I23" s="7" t="s">
        <v>8</v>
      </c>
      <c r="J23" s="7" t="s">
        <v>9</v>
      </c>
      <c r="K23" s="1"/>
      <c r="L23" s="169" t="s">
        <v>10</v>
      </c>
      <c r="M23" s="169">
        <v>0</v>
      </c>
      <c r="N23" s="170">
        <f>G6</f>
        <v>197.44</v>
      </c>
      <c r="O23" s="169" t="s">
        <v>10</v>
      </c>
      <c r="P23" s="169">
        <v>0</v>
      </c>
      <c r="Q23" s="169">
        <f>H6</f>
        <v>-140</v>
      </c>
      <c r="R23" s="169" t="s">
        <v>10</v>
      </c>
      <c r="S23" s="169">
        <v>0</v>
      </c>
      <c r="T23" s="169">
        <f>I6</f>
        <v>206.73</v>
      </c>
      <c r="U23" s="169" t="s">
        <v>10</v>
      </c>
      <c r="V23" s="169">
        <v>0</v>
      </c>
      <c r="W23" s="169">
        <f>J6</f>
        <v>187.98</v>
      </c>
      <c r="X23" s="1"/>
    </row>
    <row r="24" spans="1:27">
      <c r="A24" s="157" t="s">
        <v>37</v>
      </c>
      <c r="B24" s="23">
        <f>D14</f>
        <v>0.91678235589143053</v>
      </c>
      <c r="D24"/>
      <c r="F24" s="170">
        <v>100</v>
      </c>
      <c r="G24" s="170">
        <v>222.93</v>
      </c>
      <c r="H24" s="170">
        <v>578.33333333333337</v>
      </c>
      <c r="I24" s="170">
        <v>235.69</v>
      </c>
      <c r="J24" s="170">
        <v>209.84</v>
      </c>
      <c r="L24" s="169" t="s">
        <v>10</v>
      </c>
      <c r="M24" s="169">
        <v>-2.5</v>
      </c>
      <c r="N24" s="170">
        <f>G13</f>
        <v>199.42</v>
      </c>
      <c r="O24" s="169" t="s">
        <v>10</v>
      </c>
      <c r="P24" s="169">
        <v>-2.5</v>
      </c>
      <c r="Q24" s="169">
        <f>H13</f>
        <v>-96</v>
      </c>
      <c r="R24" s="169" t="s">
        <v>10</v>
      </c>
      <c r="S24" s="169">
        <v>-2.5</v>
      </c>
      <c r="T24" s="169">
        <f>I13</f>
        <v>209.02</v>
      </c>
      <c r="U24" s="169" t="s">
        <v>10</v>
      </c>
      <c r="V24" s="169">
        <v>-2.5</v>
      </c>
      <c r="W24" s="169">
        <f>J13</f>
        <v>189.64</v>
      </c>
      <c r="X24" s="1"/>
    </row>
    <row r="25" spans="1:27">
      <c r="D25"/>
      <c r="F25" s="170">
        <v>97.5</v>
      </c>
      <c r="G25" s="170">
        <v>216.27</v>
      </c>
      <c r="H25" s="170">
        <v>353.33333333333337</v>
      </c>
      <c r="I25" s="170">
        <v>228.09</v>
      </c>
      <c r="J25" s="170">
        <v>204.16</v>
      </c>
      <c r="L25" s="169" t="s">
        <v>10</v>
      </c>
      <c r="M25" s="169">
        <v>-5</v>
      </c>
      <c r="N25" s="170">
        <f>G20</f>
        <v>201.28</v>
      </c>
      <c r="O25" s="169" t="s">
        <v>10</v>
      </c>
      <c r="P25" s="169">
        <v>-5</v>
      </c>
      <c r="Q25" s="169">
        <f>H20</f>
        <v>-53.333333333333336</v>
      </c>
      <c r="R25" s="169" t="s">
        <v>10</v>
      </c>
      <c r="S25" s="169">
        <v>-5</v>
      </c>
      <c r="T25" s="169">
        <f>I20</f>
        <v>211.19</v>
      </c>
      <c r="U25" s="170" t="s">
        <v>10</v>
      </c>
      <c r="V25" s="170">
        <v>-5</v>
      </c>
      <c r="W25" s="170">
        <f>J20</f>
        <v>191.2</v>
      </c>
      <c r="X25" s="1"/>
    </row>
    <row r="26" spans="1:27">
      <c r="A26" s="240" t="s">
        <v>39</v>
      </c>
      <c r="B26" s="241"/>
      <c r="D26"/>
      <c r="F26" s="170">
        <v>95</v>
      </c>
      <c r="G26" s="170">
        <v>209.62</v>
      </c>
      <c r="H26" s="170">
        <v>158.33333333333334</v>
      </c>
      <c r="I26" s="170">
        <v>220.6</v>
      </c>
      <c r="J26" s="170">
        <v>198.42</v>
      </c>
      <c r="L26" s="170" t="s">
        <v>10</v>
      </c>
      <c r="M26" s="170">
        <v>-7.5</v>
      </c>
      <c r="N26" s="170">
        <f>G27</f>
        <v>203.04</v>
      </c>
      <c r="O26" s="170" t="s">
        <v>10</v>
      </c>
      <c r="P26" s="170">
        <v>-7.5</v>
      </c>
      <c r="Q26">
        <f>H27</f>
        <v>-11.666666666666668</v>
      </c>
      <c r="R26" s="170" t="s">
        <v>10</v>
      </c>
      <c r="S26" s="170">
        <v>-7.5</v>
      </c>
      <c r="T26" s="170">
        <f>I27</f>
        <v>213.24</v>
      </c>
      <c r="U26" s="170" t="s">
        <v>10</v>
      </c>
      <c r="V26" s="170">
        <v>-7.5</v>
      </c>
      <c r="W26" s="170">
        <f>J27</f>
        <v>192.64</v>
      </c>
    </row>
    <row r="27" spans="1:27">
      <c r="A27" s="11">
        <f>D16</f>
        <v>19842.024354910773</v>
      </c>
      <c r="B27" s="157">
        <f>D17</f>
        <v>19877.981855933871</v>
      </c>
      <c r="D27"/>
      <c r="F27" s="170">
        <v>92.5</v>
      </c>
      <c r="G27" s="170">
        <v>203.04</v>
      </c>
      <c r="H27" s="170">
        <v>-11.666666666666668</v>
      </c>
      <c r="I27" s="170">
        <v>213.24</v>
      </c>
      <c r="J27" s="170">
        <v>192.64</v>
      </c>
      <c r="L27" s="169" t="s">
        <v>10</v>
      </c>
      <c r="M27" s="169">
        <v>-10</v>
      </c>
      <c r="N27" s="170">
        <f>G34</f>
        <v>204.7</v>
      </c>
      <c r="O27" s="169" t="s">
        <v>10</v>
      </c>
      <c r="P27" s="169">
        <v>-10</v>
      </c>
      <c r="Q27" s="169">
        <f>H34</f>
        <v>30</v>
      </c>
      <c r="R27" s="169" t="s">
        <v>10</v>
      </c>
      <c r="S27" s="169">
        <v>-10</v>
      </c>
      <c r="T27" s="170">
        <f>I34</f>
        <v>215.19</v>
      </c>
      <c r="U27" s="170" t="s">
        <v>10</v>
      </c>
      <c r="V27" s="170">
        <v>-10</v>
      </c>
      <c r="W27" s="170">
        <f>J34</f>
        <v>194.02</v>
      </c>
      <c r="X27" s="1"/>
    </row>
    <row r="28" spans="1:27">
      <c r="D28"/>
      <c r="F28" s="170">
        <v>90</v>
      </c>
      <c r="G28" s="170">
        <v>196.53</v>
      </c>
      <c r="H28" s="170">
        <v>-156.66666666666669</v>
      </c>
      <c r="I28" s="170">
        <v>206.03</v>
      </c>
      <c r="J28" s="170">
        <v>186.88</v>
      </c>
      <c r="L28" s="169" t="s">
        <v>11</v>
      </c>
      <c r="M28" s="9">
        <f>$B$2</f>
        <v>6.0220000000000002</v>
      </c>
      <c r="N28" s="170">
        <f>N23*(M28-M25)*(M28-M27)*(M28-M24)*(M28-M26)/((M23-M25)*(M23-M27)*(M23-M24)*(M23-M26))+N25*(M28-M23)*(M28-M27)*(M28-M24)*(M28-M26)/((M25-M23)*(M25-M27)*(M25-M24)*(M25-M26))+N27*(M28-M23)*(M28-M25)*(M28-M24)*(M28-M26)/((M27-M23)*(M27-M25)*(M27-M24)*(M27-M26))+N24*(M28-M25)*(M28-M27)*(M28-M23)*(M28-M26)/((M24-M25)*(M24-M27)*(M24-M23)*(M24-M26))+N26*(M28-M25)*(M28-M27)*(M28-M23)*(M28-M24)/((M26-M25)*(M26-M27)*(M26-M23)*(M26-M24))</f>
        <v>191.89406761086047</v>
      </c>
      <c r="O28" s="169" t="s">
        <v>11</v>
      </c>
      <c r="P28" s="9">
        <f>$B$2</f>
        <v>6.0220000000000002</v>
      </c>
      <c r="Q28" s="170">
        <f>Q23*(P28-P25)*(P28-P27)*(P28-P24)*(P28-P26)/((P23-P25)*(P23-P27)*(P23-P24)*(P23-P26))+Q25*(P28-P23)*(P28-P27)*(P28-P24)*(P28-P26)/((P25-P23)*(P25-P27)*(P25-P24)*(P25-P26))+Q27*(P28-P23)*(P28-P25)*(P28-P24)*(P28-P26)/((P27-P23)*(P27-P25)*(P27-P24)*(P27-P26))+Q24*(P28-P25)*(P28-P27)*(P28-P23)*(P28-P26)/((P24-P25)*(P24-P27)*(P24-P23)*(P24-P26))+Q26*(P28-P25)*(P28-P27)*(P28-P23)*(P28-P24)/((P26-P25)*(P26-P27)*(P26-P23)*(P26-P24))</f>
        <v>-248.03342929687818</v>
      </c>
      <c r="R28" s="169" t="s">
        <v>11</v>
      </c>
      <c r="S28" s="9">
        <f>$B$2</f>
        <v>6.0220000000000002</v>
      </c>
      <c r="T28" s="170">
        <f>T23*(S28-S25)*(S28-S27)*(S28-S24)*(S28-S26)/((S23-S25)*(S23-S27)*(S23-S24)*(S23-S26))+T25*(S28-S23)*(S28-S27)*(S28-S24)*(S28-S26)/((S25-S23)*(S25-S27)*(S25-S24)*(S25-S26))+T27*(S28-S23)*(S28-S25)*(S28-S24)*(S28-S26)/((S27-S23)*(S27-S25)*(S27-S24)*(S27-S26))+T24*(S28-S25)*(S28-S27)*(S28-S23)*(S28-S26)/((S24-S25)*(S24-S27)*(S24-S23)*(S24-S26))+T26*(S28-S25)*(S28-S27)*(S28-S23)*(S28-S24)/((S26-S25)*(S26-S27)*(S26-S23)*(S26-S24))</f>
        <v>200.88435171444144</v>
      </c>
      <c r="U28" s="169" t="s">
        <v>11</v>
      </c>
      <c r="V28" s="9">
        <f>$B$2</f>
        <v>6.0220000000000002</v>
      </c>
      <c r="W28" s="170">
        <f>W23*(V28-V25)*(V28-V27)*(V28-V24)*(V28-V26)/((V23-V25)*(V23-V27)*(V23-V24)*(V23-V26))+W25*(V28-V23)*(V28-V27)*(V28-V24)*(V28-V26)/((V25-V23)*(V25-V27)*(V25-V24)*(V25-V26))+W27*(V28-V23)*(V28-V25)*(V28-V24)*(V28-V26)/((V27-V23)*(V27-V25)*(V27-V24)*(V27-V26))+W24*(V28-V25)*(V28-V27)*(V28-V23)*(V28-V26)/((V24-V25)*(V24-V27)*(V24-V23)*(V24-V26))+W26*(V28-V25)*(V28-V27)*(V28-V23)*(V28-V24)/((V26-V25)*(V26-V27)*(V26-V23)*(V26-V24))</f>
        <v>184.34418975326935</v>
      </c>
    </row>
    <row r="29" spans="1:27">
      <c r="A29" s="157" t="s">
        <v>41</v>
      </c>
      <c r="B29" s="157" t="s">
        <v>42</v>
      </c>
      <c r="D29"/>
      <c r="N29" s="170" t="s">
        <v>12</v>
      </c>
      <c r="O29" s="1"/>
      <c r="P29" s="1"/>
      <c r="Q29" s="1" t="s">
        <v>13</v>
      </c>
      <c r="R29" s="1"/>
      <c r="S29" s="1"/>
      <c r="T29" s="1" t="s">
        <v>8</v>
      </c>
      <c r="U29" s="1"/>
      <c r="V29" s="1"/>
      <c r="W29" s="1" t="s">
        <v>9</v>
      </c>
    </row>
    <row r="30" spans="1:27">
      <c r="A30" s="11">
        <f>L38*(D2-J39)*(D2-J40)*(D2-J41)*(D2-J42)/((J38-J39)*(J38-J40)*(J38-J41)*(J38-J42))+L39*(D2-J38)*(D2-J40)*(D2-J41)*(D2-J42)/((J39-J38)*(J39-J40)*(J39-J41)*(J39-J42))+L40*(D2-J39)*(D2-J38)*(D2-J41)*(D2-J42)/((J40-J38)*(J40-J39)*(J40-J41)*(J40-J42))+L41*(D2-J39)*(D2-J40)*(D2-J38)*(D2-J42)/((J41-J39)*(J41-J40)*(J41-J38)*(J41-J42))+L42*(D2-J39)*(D2-J40)*(D2-J41)*(D2-J38)/((J42-J39)*(J42-J40)*(J42-J41)*(J42-J38))</f>
        <v>206.3050992888393</v>
      </c>
      <c r="B30" s="24">
        <f>(AA7*(B23+(B14*7/9*A30/100)))+AA19</f>
        <v>267333064.29712635</v>
      </c>
      <c r="D30"/>
      <c r="F30" s="15">
        <v>-10</v>
      </c>
      <c r="G30" s="7" t="s">
        <v>6</v>
      </c>
      <c r="H30" s="7" t="s">
        <v>7</v>
      </c>
      <c r="I30" s="7" t="s">
        <v>8</v>
      </c>
      <c r="J30" s="7" t="s">
        <v>9</v>
      </c>
      <c r="L30" s="169" t="s">
        <v>10</v>
      </c>
      <c r="M30" s="169">
        <v>0</v>
      </c>
      <c r="N30" s="170">
        <f>G7</f>
        <v>190.5</v>
      </c>
      <c r="O30" s="169" t="s">
        <v>10</v>
      </c>
      <c r="P30" s="169">
        <v>0</v>
      </c>
      <c r="Q30" s="169">
        <f>H7</f>
        <v>-278.33333333333337</v>
      </c>
      <c r="R30" s="169" t="s">
        <v>10</v>
      </c>
      <c r="S30" s="169">
        <v>0</v>
      </c>
      <c r="T30" s="169">
        <f>I7</f>
        <v>199.08</v>
      </c>
      <c r="U30" s="169" t="s">
        <v>10</v>
      </c>
      <c r="V30" s="169">
        <v>0</v>
      </c>
      <c r="W30" s="169">
        <f>J7</f>
        <v>181.78</v>
      </c>
    </row>
    <row r="31" spans="1:27">
      <c r="A31" s="157" t="s">
        <v>44</v>
      </c>
      <c r="B31" s="157" t="s">
        <v>43</v>
      </c>
      <c r="D31"/>
      <c r="F31" s="157">
        <v>100</v>
      </c>
      <c r="G31" s="157">
        <v>224.25</v>
      </c>
      <c r="H31" s="157">
        <v>625</v>
      </c>
      <c r="I31" s="157">
        <v>237.29</v>
      </c>
      <c r="J31" s="157">
        <v>210.88</v>
      </c>
      <c r="L31" s="169" t="s">
        <v>10</v>
      </c>
      <c r="M31" s="169">
        <v>-2.5</v>
      </c>
      <c r="N31" s="170">
        <f>G14</f>
        <v>192.64</v>
      </c>
      <c r="O31" s="169" t="s">
        <v>10</v>
      </c>
      <c r="P31" s="169">
        <v>-2.5</v>
      </c>
      <c r="Q31" s="169">
        <f>H14</f>
        <v>-236</v>
      </c>
      <c r="R31" s="169" t="s">
        <v>10</v>
      </c>
      <c r="S31" s="169">
        <v>-2.5</v>
      </c>
      <c r="T31" s="169">
        <f>I14</f>
        <v>201.54</v>
      </c>
      <c r="U31" s="169" t="s">
        <v>10</v>
      </c>
      <c r="V31" s="169">
        <v>-2.5</v>
      </c>
      <c r="W31" s="169">
        <f>J14</f>
        <v>183.6</v>
      </c>
    </row>
    <row r="32" spans="1:27">
      <c r="A32" s="25">
        <f>(360-ROUNDDOWN((1-(A30/100))*360,0))*236/360</f>
        <v>486.42222222222222</v>
      </c>
      <c r="B32" s="11">
        <f>MOD((A30/100)*-360,1)*-((D2-A27)/(D2-B27))+18</f>
        <v>17.69890992599084</v>
      </c>
      <c r="D32"/>
      <c r="F32" s="157">
        <v>97.5</v>
      </c>
      <c r="G32" s="157">
        <v>217.69</v>
      </c>
      <c r="H32" s="157">
        <v>400</v>
      </c>
      <c r="I32" s="157">
        <v>229.81</v>
      </c>
      <c r="J32" s="157">
        <v>205.31</v>
      </c>
      <c r="L32" s="169" t="s">
        <v>10</v>
      </c>
      <c r="M32" s="169">
        <v>-5</v>
      </c>
      <c r="N32" s="170">
        <f>G21</f>
        <v>194.65</v>
      </c>
      <c r="O32" s="169" t="s">
        <v>10</v>
      </c>
      <c r="P32" s="169">
        <v>-5</v>
      </c>
      <c r="Q32" s="169">
        <f>H21</f>
        <v>-193.33333333333334</v>
      </c>
      <c r="R32" s="169" t="s">
        <v>10</v>
      </c>
      <c r="S32" s="169">
        <v>-5</v>
      </c>
      <c r="T32" s="170">
        <f>I21</f>
        <v>203.85</v>
      </c>
      <c r="U32" s="170" t="s">
        <v>10</v>
      </c>
      <c r="V32" s="170">
        <v>-5</v>
      </c>
      <c r="W32" s="170">
        <f>J21</f>
        <v>185.3</v>
      </c>
    </row>
    <row r="33" spans="1:27">
      <c r="D33"/>
      <c r="F33" s="157">
        <v>95</v>
      </c>
      <c r="G33" s="157">
        <v>211.17</v>
      </c>
      <c r="H33" s="157">
        <v>201.66666666666669</v>
      </c>
      <c r="I33" s="157">
        <v>222.43</v>
      </c>
      <c r="J33" s="157">
        <v>199.68</v>
      </c>
      <c r="L33" s="170" t="s">
        <v>10</v>
      </c>
      <c r="M33" s="170">
        <v>-7.5</v>
      </c>
      <c r="N33" s="170">
        <f>G28</f>
        <v>196.53</v>
      </c>
      <c r="O33" s="170" t="s">
        <v>10</v>
      </c>
      <c r="P33" s="170">
        <v>-7.5</v>
      </c>
      <c r="Q33">
        <f>H28</f>
        <v>-156.66666666666669</v>
      </c>
      <c r="R33" s="170" t="s">
        <v>10</v>
      </c>
      <c r="S33" s="170">
        <v>-7.5</v>
      </c>
      <c r="T33" s="170">
        <f>I28</f>
        <v>206.03</v>
      </c>
      <c r="U33" s="170" t="s">
        <v>10</v>
      </c>
      <c r="V33" s="170">
        <v>-7.5</v>
      </c>
      <c r="W33" s="170">
        <f>J28</f>
        <v>186.88</v>
      </c>
    </row>
    <row r="34" spans="1:27">
      <c r="A34">
        <v>1</v>
      </c>
      <c r="D34"/>
      <c r="F34" s="157">
        <v>92.5</v>
      </c>
      <c r="G34" s="157">
        <v>204.7</v>
      </c>
      <c r="H34" s="157">
        <v>30</v>
      </c>
      <c r="I34" s="157">
        <v>215.19</v>
      </c>
      <c r="J34" s="157">
        <v>194.02</v>
      </c>
      <c r="L34" s="169" t="s">
        <v>10</v>
      </c>
      <c r="M34" s="169">
        <v>-10</v>
      </c>
      <c r="N34" s="170">
        <f>G35</f>
        <v>198.32</v>
      </c>
      <c r="O34" s="169" t="s">
        <v>10</v>
      </c>
      <c r="P34" s="169">
        <v>-10</v>
      </c>
      <c r="Q34" s="169">
        <f>H35</f>
        <v>-118.33333333333334</v>
      </c>
      <c r="R34" s="169" t="s">
        <v>10</v>
      </c>
      <c r="S34" s="169">
        <v>-10</v>
      </c>
      <c r="T34" s="170">
        <f>I35</f>
        <v>208.88</v>
      </c>
      <c r="U34" s="170" t="s">
        <v>10</v>
      </c>
      <c r="V34" s="170">
        <v>-10</v>
      </c>
      <c r="W34" s="170">
        <f>J35</f>
        <v>188.37</v>
      </c>
    </row>
    <row r="35" spans="1:27">
      <c r="D35"/>
      <c r="F35" s="157">
        <v>90</v>
      </c>
      <c r="G35" s="157">
        <v>198.32</v>
      </c>
      <c r="H35" s="157">
        <v>-118.33333333333334</v>
      </c>
      <c r="I35" s="157">
        <v>208.88</v>
      </c>
      <c r="J35" s="157">
        <v>188.37</v>
      </c>
      <c r="L35" s="169" t="s">
        <v>11</v>
      </c>
      <c r="M35" s="9">
        <f>$B$2</f>
        <v>6.0220000000000002</v>
      </c>
      <c r="N35" s="170">
        <f>N30*(M35-M32)*(M35-M34)*(M35-M31)*(M35-M33)/((M30-M32)*(M30-M34)*(M30-M31)*(M30-M33))+N32*(M35-M30)*(M35-M34)*(M35-M31)*(M35-M33)/((M32-M30)*(M32-M34)*(M32-M31)*(M32-M33))+N34*(M35-M30)*(M35-M32)*(M35-M31)*(M35-M33)/((M34-M30)*(M34-M32)*(M34-M31)*(M34-M33))+N31*(M35-M32)*(M35-M34)*(M35-M30)*(M35-M33)/((M31-M32)*(M31-M34)*(M31-M30)*(M31-M33))+N33*(M35-M32)*(M35-M34)*(M35-M30)*(M35-M31)/((M33-M32)*(M33-M34)*(M33-M30)*(M33-M31))</f>
        <v>185.13778688808907</v>
      </c>
      <c r="O35" s="169" t="s">
        <v>11</v>
      </c>
      <c r="P35" s="9">
        <f>$B$2</f>
        <v>6.0220000000000002</v>
      </c>
      <c r="Q35" s="170">
        <f>Q30*(P35-P32)*(P35-P34)*(P35-P31)*(P35-P33)/((P30-P32)*(P30-P34)*(P30-P31)*(P30-P33))+Q32*(P35-P30)*(P35-P34)*(P35-P31)*(P35-P33)/((P32-P30)*(P32-P34)*(P32-P31)*(P32-P33))+Q34*(P35-P30)*(P35-P32)*(P35-P31)*(P35-P33)/((P34-P30)*(P34-P32)*(P34-P31)*(P34-P33))+Q31*(P35-P32)*(P35-P34)*(P35-P30)*(P35-P33)/((P31-P32)*(P31-P34)*(P31-P30)*(P31-P33))+Q33*(P35-P32)*(P35-P34)*(P35-P30)*(P35-P31)/((P33-P32)*(P33-P34)*(P33-P30)*(P33-P31))</f>
        <v>-226.50546356893301</v>
      </c>
      <c r="R35" s="169" t="s">
        <v>11</v>
      </c>
      <c r="S35" s="9">
        <f>$B$2</f>
        <v>6.0220000000000002</v>
      </c>
      <c r="T35" s="170">
        <f>T30*(S35-S32)*(S35-S34)*(S35-S31)*(S35-S33)/((S30-S32)*(S30-S34)*(S30-S31)*(S30-S33))+T32*(S35-S30)*(S35-S34)*(S35-S31)*(S35-S33)/((S32-S30)*(S32-S34)*(S32-S31)*(S32-S33))+T34*(S35-S30)*(S35-S32)*(S35-S31)*(S35-S33)/((S34-S30)*(S34-S32)*(S34-S31)*(S34-S33))+T31*(S35-S32)*(S35-S34)*(S35-S30)*(S35-S33)/((S31-S32)*(S31-S34)*(S31-S30)*(S31-S33))+T33*(S35-S32)*(S35-S34)*(S35-S30)*(S35-S31)/((S33-S32)*(S33-S34)*(S33-S30)*(S33-S31))</f>
        <v>198.78150728297351</v>
      </c>
      <c r="U35" s="169" t="s">
        <v>11</v>
      </c>
      <c r="V35" s="9">
        <f>$B$2</f>
        <v>6.0220000000000002</v>
      </c>
      <c r="W35" s="170">
        <f>W30*(V35-V32)*(V35-V34)*(V35-V31)*(V35-V33)/((V30-V32)*(V30-V34)*(V30-V31)*(V30-V33))+W32*(V35-V30)*(V35-V34)*(V35-V31)*(V35-V33)/((V32-V30)*(V32-V34)*(V32-V31)*(V32-V33))+W34*(V35-V30)*(V35-V32)*(V35-V31)*(V35-V33)/((V34-V30)*(V34-V32)*(V34-V31)*(V34-V33))+W31*(V35-V32)*(V35-V34)*(V35-V30)*(V35-V33)/((V31-V32)*(V31-V34)*(V31-V30)*(V31-V33))+W33*(V35-V32)*(V35-V34)*(V35-V30)*(V35-V31)/((V33-V32)*(V33-V34)*(V33-V30)*(V33-V31))</f>
        <v>177.14807309486787</v>
      </c>
    </row>
    <row r="36" spans="1:27">
      <c r="D36"/>
    </row>
    <row r="37" spans="1:27">
      <c r="E37" s="159" t="s">
        <v>198</v>
      </c>
      <c r="F37" s="159" t="s">
        <v>199</v>
      </c>
      <c r="G37" s="159" t="s">
        <v>200</v>
      </c>
      <c r="H37" s="159" t="s">
        <v>201</v>
      </c>
      <c r="I37" s="159" t="s">
        <v>12</v>
      </c>
      <c r="J37" s="159" t="s">
        <v>197</v>
      </c>
      <c r="N37" s="1" t="s">
        <v>38</v>
      </c>
      <c r="R37" s="14" t="s">
        <v>6</v>
      </c>
      <c r="S37" s="1" t="s">
        <v>14</v>
      </c>
      <c r="T37" s="1" t="s">
        <v>187</v>
      </c>
      <c r="U37" s="14" t="s">
        <v>195</v>
      </c>
      <c r="V37" s="14" t="s">
        <v>196</v>
      </c>
    </row>
    <row r="38" spans="1:27">
      <c r="E38" s="11">
        <f>Q52*A34</f>
        <v>61.585752665793734</v>
      </c>
      <c r="F38" s="157">
        <f>(E38+H38)/2</f>
        <v>120.01309885158344</v>
      </c>
      <c r="G38" s="11">
        <f>H38-F38</f>
        <v>58.427346185789702</v>
      </c>
      <c r="H38" s="11">
        <f>Q7*A34</f>
        <v>178.44044503737314</v>
      </c>
      <c r="I38" s="160">
        <f>$N$7*($B$16--1)/((1--1))+$N$52*($B$16-1)/((-1-1))</f>
        <v>214.63818055376703</v>
      </c>
      <c r="J38" s="160">
        <f>I38*($B$24-9)*($B$24--9)/((0-9)*(0--9))+U38*($B$24-0)*($B$24--9)/((9-0)*(9--9))+V38*($B$24-0)*($B$24-9)/((-9-0)*(-9-9))</f>
        <v>215.71822582654653</v>
      </c>
      <c r="L38" s="157">
        <v>100</v>
      </c>
      <c r="M38" s="157">
        <f>G3</f>
        <v>218.6</v>
      </c>
      <c r="N38" s="11">
        <f>R38*((Q38-(100/360))-Q39)*((Q38-(100/360))-Q40)/((Q38-Q39)*(Q38-Q40))+R39*((Q38-(100/360))-Q38)*((Q38-(100/360))-Q40)/((Q39-Q38)*(Q39-Q40))+R40*((Q38-(100/360))-Q38)*((Q38-(100/360))-Q39)/((Q40-Q38)*(Q40-Q39))</f>
        <v>217.81234567901234</v>
      </c>
      <c r="O38" s="157">
        <f>T38</f>
        <v>218.08</v>
      </c>
      <c r="Q38" s="157">
        <v>100</v>
      </c>
      <c r="R38" s="157">
        <f>G3</f>
        <v>218.6</v>
      </c>
      <c r="S38" s="157">
        <v>219.12</v>
      </c>
      <c r="T38" s="157">
        <v>218.08</v>
      </c>
      <c r="U38" s="11">
        <f>T7</f>
        <v>225.92071006324659</v>
      </c>
      <c r="V38" s="11">
        <f>W7</f>
        <v>204.86942472279407</v>
      </c>
    </row>
    <row r="39" spans="1:27">
      <c r="E39" s="11">
        <f>Q59*A34</f>
        <v>317.24903446309872</v>
      </c>
      <c r="F39" s="157">
        <f t="shared" ref="F39:F40" si="0">(E39+H39)/2</f>
        <v>232.20628601777389</v>
      </c>
      <c r="G39" s="11">
        <f t="shared" ref="G39:G42" si="1">H39-F39</f>
        <v>-85.042748445324833</v>
      </c>
      <c r="H39" s="11">
        <f>Q14*A34</f>
        <v>147.16353757244906</v>
      </c>
      <c r="I39" s="160">
        <f>$N$14*($B$16--1)/((1--1))+$N$59*($B$16-1)/((-1-1))</f>
        <v>207.00205043637428</v>
      </c>
      <c r="J39" s="160">
        <f>I39*($B$24-9)*($B$24--9)/((0-9)*(0--9))+U39*($B$24-0)*($B$24--9)/((9-0)*(9--9))+V39*($B$24-0)*($B$24-9)/((-9-0)*(-9-9))</f>
        <v>210.1825456834197</v>
      </c>
      <c r="L39" s="10">
        <v>97.5</v>
      </c>
      <c r="M39" s="157">
        <f>G4</f>
        <v>211.52</v>
      </c>
      <c r="N39" s="11">
        <f>R41*((Q39-(100/360))-Q39)*((Q39-(100/360))-Q40)/((Q41-Q39)*(Q41-Q40))+R39*((Q39-(100/360))-Q41)*((Q39-(100/360))-Q40)/((Q39-Q41)*(Q39-Q40))+R40*((Q39-(100/360))-Q41)*((Q39-(100/360))-Q39)/((Q40-Q41)*(Q40-Q39))</f>
        <v>210.73358024691359</v>
      </c>
      <c r="O39" s="157">
        <f t="shared" ref="O39:O42" si="2">T39</f>
        <v>211.03</v>
      </c>
      <c r="Q39" s="157">
        <v>97.5</v>
      </c>
      <c r="R39" s="157">
        <f>G4</f>
        <v>211.52</v>
      </c>
      <c r="S39" s="157">
        <v>212.01</v>
      </c>
      <c r="T39" s="157">
        <v>211.03</v>
      </c>
      <c r="U39" s="11">
        <f>T14</f>
        <v>255.92331657513023</v>
      </c>
      <c r="V39" s="11">
        <f>W14</f>
        <v>197.49249913445055</v>
      </c>
    </row>
    <row r="40" spans="1:27">
      <c r="E40" s="11">
        <f>Q66*A34</f>
        <v>498.13737642841443</v>
      </c>
      <c r="F40" s="157">
        <f t="shared" si="0"/>
        <v>148.60969243467798</v>
      </c>
      <c r="G40" s="11">
        <f t="shared" si="1"/>
        <v>-349.52768399373645</v>
      </c>
      <c r="H40" s="11">
        <f>Q21*A34</f>
        <v>-200.91799155905846</v>
      </c>
      <c r="I40" s="160">
        <f>$N$21*($B$16--1)/((1--1))+$N$66*($B$16-1)/((-1-1))</f>
        <v>199.91609518803673</v>
      </c>
      <c r="J40" s="160">
        <f>I40*($B$24-9)*($B$24--9)/((0-9)*(0--9))+U40*($B$24-0)*($B$24--9)/((9-0)*(9--9))+V40*($B$24-0)*($B$24-9)/((-9-0)*(-9-9))</f>
        <v>200.84428181767615</v>
      </c>
      <c r="L40" s="10">
        <v>95</v>
      </c>
      <c r="M40" s="157">
        <f>G5</f>
        <v>204.46</v>
      </c>
      <c r="N40" s="10">
        <f>R41*((Q40-(100/360))-Q42)*((Q40-(100/360))-Q40)/((Q41-Q42)*(Q41-Q40))+R42*((Q40-(100/360))-Q41)*((Q40-(100/360))-Q40)/((Q42-Q41)*(Q42-Q40))+R40*((Q40-(100/360))-Q41)*((Q40-(100/360))-Q42)/((Q40-Q41)*(Q40-Q42))</f>
        <v>203.67604938271606</v>
      </c>
      <c r="O40" s="157">
        <f t="shared" si="2"/>
        <v>203.99</v>
      </c>
      <c r="Q40" s="157">
        <v>95</v>
      </c>
      <c r="R40" s="157">
        <f>G5</f>
        <v>204.46</v>
      </c>
      <c r="S40" s="157">
        <v>204.93</v>
      </c>
      <c r="T40" s="157">
        <v>203.99</v>
      </c>
      <c r="U40" s="11">
        <f>T21</f>
        <v>208.88730924985612</v>
      </c>
      <c r="V40" s="11">
        <f>W21</f>
        <v>190.63147390825816</v>
      </c>
    </row>
    <row r="41" spans="1:27">
      <c r="E41" s="11">
        <f>Q73*A34</f>
        <v>691.86976148882786</v>
      </c>
      <c r="F41" s="157">
        <f t="shared" ref="F41:F42" si="3">(E41+H41)/2</f>
        <v>221.91816609597484</v>
      </c>
      <c r="G41" s="11">
        <f t="shared" si="1"/>
        <v>-469.95159539285305</v>
      </c>
      <c r="H41" s="11">
        <f>Q28*A34</f>
        <v>-248.03342929687818</v>
      </c>
      <c r="I41" s="160">
        <f>$N$28*($B$16--1)/((1--1))+$N$73*($B$16-1)/((-1-1))</f>
        <v>191.90789103218606</v>
      </c>
      <c r="J41" s="160">
        <f>I41*($B$24-9)*($B$24--9)/((0-9)*(0--9))+U41*($B$24-0)*($B$24--9)/((9-0)*(9--9))+V41*($B$24-0)*($B$24-9)/((-9-0)*(-9-9))</f>
        <v>192.75765009292118</v>
      </c>
      <c r="L41" s="10">
        <v>92.5</v>
      </c>
      <c r="M41" s="157">
        <f>G6</f>
        <v>197.44</v>
      </c>
      <c r="N41" s="10">
        <f>R41*((Q41-(100/360))-Q42)*((Q41-(100/360))-Q40)/((Q41-Q42)*(Q41-Q40))+R42*((Q41-(100/360))-Q41)*((Q41-(100/360))-Q40)/((Q42-Q41)*(Q42-Q40))+R40*((Q41-(100/360))-Q41)*((Q41-(100/360))-Q42)/((Q40-Q41)*(Q40-Q42))</f>
        <v>196.66493827160491</v>
      </c>
      <c r="O41" s="157">
        <f t="shared" si="2"/>
        <v>197</v>
      </c>
      <c r="Q41" s="157">
        <v>92.5</v>
      </c>
      <c r="R41" s="157">
        <f>G6</f>
        <v>197.44</v>
      </c>
      <c r="S41" s="157">
        <v>197.89</v>
      </c>
      <c r="T41" s="157">
        <v>197</v>
      </c>
      <c r="U41" s="11">
        <f>T28</f>
        <v>200.88435171444144</v>
      </c>
      <c r="V41" s="11">
        <f>W28</f>
        <v>184.34418975326935</v>
      </c>
    </row>
    <row r="42" spans="1:27">
      <c r="E42" s="11">
        <f>Q80*A34</f>
        <v>752.69546877246103</v>
      </c>
      <c r="F42" s="157">
        <f t="shared" si="3"/>
        <v>263.09500260176401</v>
      </c>
      <c r="G42" s="11">
        <f t="shared" si="1"/>
        <v>-489.60046617069702</v>
      </c>
      <c r="H42" s="11">
        <f>Q35*A34</f>
        <v>-226.50546356893301</v>
      </c>
      <c r="I42" s="160">
        <f>$N$35*($B$16--1)/((1--1))+$N$80*($B$16-1)/((-1-1))</f>
        <v>185.13017941735416</v>
      </c>
      <c r="J42" s="160">
        <f>I42*($B$24-9)*($B$24--9)/((0-9)*(0--9))+U42*($B$24-0)*($B$24--9)/((9-0)*(9--9))+V42*($B$24-0)*($B$24-9)/((-9-0)*(-9-9))</f>
        <v>186.26143423358377</v>
      </c>
      <c r="L42" s="10">
        <v>90</v>
      </c>
      <c r="M42" s="157">
        <f>G7</f>
        <v>190.5</v>
      </c>
      <c r="N42" s="10">
        <f>R41*((Q42-(100/360))-Q42)*((Q42-(100/360))-Q40)/((Q41-Q42)*(Q41-Q40))+R42*((Q42-(100/360))-Q41)*((Q42-(100/360))-Q40)/((Q42-Q41)*(Q42-Q40))+R40*((Q42-(100/360))-Q41)*((Q42-(100/360))-Q42)/((Q40-Q41)*(Q40-Q42))</f>
        <v>189.73382716049383</v>
      </c>
      <c r="O42" s="157">
        <f t="shared" si="2"/>
        <v>190.09</v>
      </c>
      <c r="Q42" s="157">
        <v>90</v>
      </c>
      <c r="R42" s="157">
        <f>G7</f>
        <v>190.5</v>
      </c>
      <c r="S42" s="157">
        <v>190.92</v>
      </c>
      <c r="T42" s="157">
        <v>190.09</v>
      </c>
      <c r="U42" s="11">
        <f>T35</f>
        <v>198.78150728297351</v>
      </c>
      <c r="V42" s="11">
        <f>W35</f>
        <v>177.14807309486787</v>
      </c>
    </row>
    <row r="46" spans="1:27">
      <c r="A46" s="7" t="s">
        <v>0</v>
      </c>
      <c r="B46" s="26">
        <f>Plan1!B1</f>
        <v>246.59</v>
      </c>
      <c r="C46" s="238" t="s">
        <v>46</v>
      </c>
      <c r="D46" s="238"/>
      <c r="E46" s="238"/>
      <c r="F46" s="268" t="s">
        <v>192</v>
      </c>
      <c r="G46" s="268"/>
      <c r="H46" s="268"/>
      <c r="I46" s="268"/>
      <c r="J46" s="268"/>
      <c r="N46" s="1" t="s">
        <v>12</v>
      </c>
      <c r="O46" s="1"/>
      <c r="P46" s="1"/>
      <c r="Q46" s="1" t="s">
        <v>13</v>
      </c>
      <c r="R46" s="1"/>
      <c r="S46" s="1"/>
      <c r="T46" s="1" t="s">
        <v>8</v>
      </c>
      <c r="U46" s="1"/>
      <c r="V46" s="1"/>
      <c r="W46" s="1" t="s">
        <v>9</v>
      </c>
    </row>
    <row r="47" spans="1:27">
      <c r="A47" s="7" t="s">
        <v>1</v>
      </c>
      <c r="B47" s="27">
        <f>Plan1!B2</f>
        <v>6.0220000000000002</v>
      </c>
      <c r="C47" s="5"/>
      <c r="D47" s="26">
        <f>A9</f>
        <v>246.1552762616987</v>
      </c>
      <c r="F47" s="161">
        <v>0</v>
      </c>
      <c r="G47" s="162" t="s">
        <v>6</v>
      </c>
      <c r="H47" s="162" t="s">
        <v>7</v>
      </c>
      <c r="I47" s="162" t="s">
        <v>8</v>
      </c>
      <c r="J47" s="162" t="s">
        <v>9</v>
      </c>
      <c r="L47" s="169" t="s">
        <v>10</v>
      </c>
      <c r="M47" s="169">
        <v>0</v>
      </c>
      <c r="N47" s="169">
        <f>G48</f>
        <v>218.82</v>
      </c>
      <c r="O47" s="169" t="s">
        <v>10</v>
      </c>
      <c r="P47" s="169">
        <v>0</v>
      </c>
      <c r="Q47" s="169">
        <f>H48</f>
        <v>53.333333333333336</v>
      </c>
      <c r="R47" s="169" t="s">
        <v>10</v>
      </c>
      <c r="S47" s="169">
        <v>0</v>
      </c>
      <c r="T47" s="169">
        <f>I48</f>
        <v>230.47</v>
      </c>
      <c r="U47" s="169" t="s">
        <v>10</v>
      </c>
      <c r="V47" s="169">
        <v>0</v>
      </c>
      <c r="W47" s="169">
        <f>J48</f>
        <v>206.43</v>
      </c>
      <c r="Z47" s="163">
        <v>100</v>
      </c>
      <c r="AA47" s="163">
        <f>F83</f>
        <v>120.01309885158344</v>
      </c>
    </row>
    <row r="48" spans="1:27">
      <c r="A48" s="7" t="s">
        <v>2</v>
      </c>
      <c r="B48" s="27">
        <f>Plan1!B3</f>
        <v>1</v>
      </c>
      <c r="C48" s="5"/>
      <c r="D48" s="26">
        <f>A54</f>
        <v>258.43625000000003</v>
      </c>
      <c r="F48" s="157">
        <v>100</v>
      </c>
      <c r="G48" s="157">
        <v>218.82</v>
      </c>
      <c r="H48" s="157">
        <v>53.333333333333336</v>
      </c>
      <c r="I48" s="169">
        <v>230.47</v>
      </c>
      <c r="J48" s="157">
        <v>206.43</v>
      </c>
      <c r="L48" s="169" t="s">
        <v>10</v>
      </c>
      <c r="M48" s="169">
        <v>-2.5</v>
      </c>
      <c r="N48" s="169">
        <f>G55</f>
        <v>220.34</v>
      </c>
      <c r="O48" s="169" t="s">
        <v>10</v>
      </c>
      <c r="P48" s="169">
        <v>-2.5</v>
      </c>
      <c r="Q48" s="169">
        <f>H55</f>
        <v>13.333333333333334</v>
      </c>
      <c r="R48" s="169" t="s">
        <v>10</v>
      </c>
      <c r="S48" s="169">
        <v>-2.5</v>
      </c>
      <c r="T48" s="169">
        <f>I55</f>
        <v>232.29</v>
      </c>
      <c r="U48" s="169" t="s">
        <v>10</v>
      </c>
      <c r="V48" s="169">
        <v>-2.5</v>
      </c>
      <c r="W48" s="169">
        <f>J55</f>
        <v>207.62</v>
      </c>
      <c r="Z48" s="163">
        <v>97.5</v>
      </c>
      <c r="AA48" s="163">
        <f>F84</f>
        <v>232.20628601777389</v>
      </c>
    </row>
    <row r="49" spans="1:27">
      <c r="A49" s="7" t="s">
        <v>3</v>
      </c>
      <c r="B49" s="28">
        <f>Plan1!B4</f>
        <v>106.667</v>
      </c>
      <c r="C49" s="3"/>
      <c r="D49" s="26">
        <f>D47</f>
        <v>246.1552762616987</v>
      </c>
      <c r="F49" s="157">
        <v>97.5</v>
      </c>
      <c r="G49" s="157">
        <v>211.72</v>
      </c>
      <c r="H49" s="157">
        <v>231.66666666666669</v>
      </c>
      <c r="I49" s="169">
        <v>222.45</v>
      </c>
      <c r="J49" s="157">
        <v>200.34</v>
      </c>
      <c r="K49" s="16">
        <v>100</v>
      </c>
      <c r="L49" s="169" t="s">
        <v>10</v>
      </c>
      <c r="M49" s="169">
        <v>-5</v>
      </c>
      <c r="N49" s="169">
        <f>G62</f>
        <v>221.79</v>
      </c>
      <c r="O49" s="169" t="s">
        <v>10</v>
      </c>
      <c r="P49" s="169">
        <v>-5</v>
      </c>
      <c r="Q49" s="169">
        <f>H62</f>
        <v>-26.666666666666668</v>
      </c>
      <c r="R49" s="169" t="s">
        <v>10</v>
      </c>
      <c r="S49" s="169">
        <v>-5</v>
      </c>
      <c r="T49" s="169">
        <f>I62</f>
        <v>234.03</v>
      </c>
      <c r="U49" s="169" t="s">
        <v>10</v>
      </c>
      <c r="V49" s="169">
        <v>-5</v>
      </c>
      <c r="W49" s="169">
        <f>J62</f>
        <v>208.78</v>
      </c>
      <c r="Z49" s="163">
        <v>95</v>
      </c>
      <c r="AA49" s="163">
        <f>F85</f>
        <v>148.60969243467798</v>
      </c>
    </row>
    <row r="50" spans="1:27">
      <c r="A50" s="7" t="s">
        <v>4</v>
      </c>
      <c r="B50" s="7">
        <f>Plan1!B5*B53</f>
        <v>-1.6100879196344162</v>
      </c>
      <c r="C50" s="2"/>
      <c r="F50" s="157">
        <v>95</v>
      </c>
      <c r="G50" s="157">
        <v>204.64</v>
      </c>
      <c r="H50" s="157">
        <v>383.33333333333337</v>
      </c>
      <c r="I50" s="169">
        <v>214.53</v>
      </c>
      <c r="J50" s="157">
        <v>194.18</v>
      </c>
      <c r="K50" s="16"/>
      <c r="L50" s="170" t="s">
        <v>10</v>
      </c>
      <c r="M50" s="170">
        <v>-7.5</v>
      </c>
      <c r="N50" s="170">
        <f>G69</f>
        <v>223.17</v>
      </c>
      <c r="O50" s="170" t="s">
        <v>10</v>
      </c>
      <c r="P50" s="170">
        <v>-7.5</v>
      </c>
      <c r="Q50" s="170">
        <f>H69</f>
        <v>-63.333333333333336</v>
      </c>
      <c r="R50" s="170" t="s">
        <v>10</v>
      </c>
      <c r="S50" s="170">
        <v>-7.5</v>
      </c>
      <c r="T50" s="170">
        <f>I69</f>
        <v>235.69</v>
      </c>
      <c r="U50" s="170" t="s">
        <v>10</v>
      </c>
      <c r="V50" s="170">
        <v>-7.5</v>
      </c>
      <c r="W50" s="170">
        <f>J69</f>
        <v>209.84</v>
      </c>
      <c r="Z50" s="163">
        <v>92.5</v>
      </c>
      <c r="AA50" s="163">
        <f>F86</f>
        <v>221.91816609597484</v>
      </c>
    </row>
    <row r="51" spans="1:27">
      <c r="A51" s="7" t="s">
        <v>5</v>
      </c>
      <c r="B51" s="29">
        <f>Plan1!B6</f>
        <v>0.85</v>
      </c>
      <c r="C51" s="6"/>
      <c r="D51" s="165">
        <f>F83*(D47-I84)*(D47-I85)*(D47-I86)*(D47-I87)/((I83-I84)*(I83-I85)*(I83-I86)*(I83-I87))+F84*(D47-I83)*(D47-I85)*(D47-I86)*(D47-I87)/((I84-I83)*(I84-I85)*(I84-I86)*(I84-I87))+F85*(D47-I84)*(D47-I83)*(D47-I86)*(D47-I87)/((I85-I84)*(I85-I84)*(I85-I86)*(I85-I87))+F86*(D47-I84)*(D47-I85)*(D47-I83)*(D47-I87)/((I86-I84)*(I86-I85)*(I86-I83)*(I86-I87))+F87*(D47-I84)*(D47-I85)*(D47-I86)*(D47-I83)/((I87-I84)*(I87-I85)*(I87-I86)*(I87-I83))</f>
        <v>11469.878851879714</v>
      </c>
      <c r="F51" s="157">
        <v>92.5</v>
      </c>
      <c r="G51" s="157">
        <v>197.61</v>
      </c>
      <c r="H51" s="157">
        <v>513.33333333333337</v>
      </c>
      <c r="I51" s="169">
        <v>206.73</v>
      </c>
      <c r="J51" s="157">
        <v>187.99</v>
      </c>
      <c r="K51" s="1"/>
      <c r="L51" s="169" t="s">
        <v>10</v>
      </c>
      <c r="M51" s="169">
        <v>-10</v>
      </c>
      <c r="N51" s="169">
        <f>G76</f>
        <v>224.49</v>
      </c>
      <c r="O51" s="169" t="s">
        <v>10</v>
      </c>
      <c r="P51" s="169">
        <v>-10</v>
      </c>
      <c r="Q51" s="169">
        <f>H76</f>
        <v>-101.66666666666667</v>
      </c>
      <c r="R51" s="169" t="s">
        <v>10</v>
      </c>
      <c r="S51" s="169">
        <v>-10</v>
      </c>
      <c r="T51" s="169">
        <f>I76</f>
        <v>237.27</v>
      </c>
      <c r="U51" s="169" t="s">
        <v>10</v>
      </c>
      <c r="V51" s="169">
        <v>-10</v>
      </c>
      <c r="W51" s="169">
        <f>J76</f>
        <v>210.88</v>
      </c>
      <c r="Z51" s="163">
        <v>90</v>
      </c>
      <c r="AA51" s="163">
        <f>F87</f>
        <v>263.09500260176401</v>
      </c>
    </row>
    <row r="52" spans="1:27">
      <c r="A52">
        <f>30/35</f>
        <v>0.8571428571428571</v>
      </c>
      <c r="B52">
        <f>31/35</f>
        <v>0.88571428571428568</v>
      </c>
      <c r="D52" s="1">
        <f>G83*(D47-I84)*(D47-I85)*(D47-I86)*(D47-I87)/((I83-I84)*(I83-I85)*(I83-I86)*(I83-I87))+G84*(D47-I83)*(D47-I85)*(D47-I86)*(D47-I87)/((I84-I83)*(I84-I85)*(I84-I86)*(I84-I87))+G85*(D47-I84)*(D47-I83)*(D47-I86)*(D47-I87)/((I85-I84)*(I85-I84)*(I85-I86)*(I85-I87))+G86*(D47-I84)*(D47-I85)*(D47-I83)*(D47-I87)/((I86-I84)*(I86-I85)*(I86-I83)*(I86-I87))+G87*(D47-I84)*(D47-I85)*(D47-I86)*(D47-I83)/((I87-I84)*(I87-I85)*(I87-I86)*(I87-I83))</f>
        <v>118122.61897690078</v>
      </c>
      <c r="F52" s="157">
        <v>90</v>
      </c>
      <c r="G52" s="157">
        <v>190.65</v>
      </c>
      <c r="H52" s="157">
        <v>620</v>
      </c>
      <c r="I52" s="169">
        <v>199.08</v>
      </c>
      <c r="J52" s="157">
        <v>181.79</v>
      </c>
      <c r="K52" s="1"/>
      <c r="L52" s="169" t="s">
        <v>11</v>
      </c>
      <c r="M52" s="9">
        <f>$B$2</f>
        <v>6.0220000000000002</v>
      </c>
      <c r="N52" s="178">
        <f>N47*(M52-M49)*(M52-M51)*(M52-M48)*(M52-M50)/((M47-M49)*(M47-M51)*(M47-M48)*(M47-M50))+N49*(M52-M47)*(M52-M51)*(M52-M48)*(M52-M50)/((M49-M47)*(M49-M51)*(M49-M48)*(M49-M50))+N51*(M52-M47)*(M52-M49)*(M52-M48)*(M52-M50)/((M51-M47)*(M51-M49)*(M51-M48)*(M51-M50))+N48*(M52-M49)*(M52-M51)*(M52-M47)*(M52-M50)/((M48-M49)*(M48-M51)*(M48-M47)*(M48-M50))+N50*(M52-M49)*(M52-M51)*(M52-M47)*(M52-M48)/((M50-M49)*(M50-M51)*(M50-M47)*(M50-M48))</f>
        <v>214.95282027002031</v>
      </c>
      <c r="O52" s="169" t="s">
        <v>10</v>
      </c>
      <c r="P52" s="9">
        <f>$B$2</f>
        <v>6.0220000000000002</v>
      </c>
      <c r="Q52" s="178">
        <f>Q47*(P52-P49)*(P52-P51)*(P52-P48)*(P52-P50)/((P47-P49)*(P47-P51)*(P47-P48)*(P47-P50))+Q49*(P52-P47)*(P52-P51)*(P52-P48)*(P52-P50)/((P49-P47)*(P49-P51)*(P49-P48)*(P49-P50))+Q51*(P52-P47)*(P52-P49)*(P52-P48)*(P52-P50)/((P51-P47)*(P51-P49)*(P51-P48)*(P51-P50))+Q48*(P52-P49)*(P52-P51)*(P52-P47)*(P52-P50)/((P48-P49)*(P48-P51)*(P48-P47)*(P48-P50))+Q50*(P52-P49)*(P52-P51)*(P52-P47)*(P52-P48)/((P50-P49)*(P50-P51)*(P50-P47)*(P50-P48))</f>
        <v>61.585752665793734</v>
      </c>
      <c r="R52" s="169" t="s">
        <v>10</v>
      </c>
      <c r="S52" s="9">
        <f>$B$2</f>
        <v>6.0220000000000002</v>
      </c>
      <c r="T52" s="178">
        <f>T47*(S52-S49)*(S52-S51)*(S52-S48)*(S52-S50)/((S47-S49)*(S47-S51)*(S47-S48)*(S47-S50))+T49*(S52-S47)*(S52-S51)*(S52-S48)*(S52-S50)/((S49-S47)*(S49-S51)*(S49-S48)*(S49-S50))+T51*(S52-S47)*(S52-S49)*(S52-S48)*(S52-S50)/((S51-S47)*(S51-S49)*(S51-S48)*(S51-S50))+T48*(S52-S49)*(S52-S51)*(S52-S47)*(S52-S50)/((S48-S49)*(S48-S51)*(S48-S47)*(S48-S50))+T50*(S52-S49)*(S52-S51)*(S52-S47)*(S52-S48)/((S50-S49)*(S50-S51)*(S50-S47)*(S50-S48))</f>
        <v>225.75753930240353</v>
      </c>
      <c r="U52" s="169" t="s">
        <v>10</v>
      </c>
      <c r="V52" s="9">
        <f>$B$2</f>
        <v>6.0220000000000002</v>
      </c>
      <c r="W52" s="178">
        <f>W47*(V52-V49)*(V52-V51)*(V52-V48)*(V52-V50)/((V47-V49)*(V47-V51)*(V47-V48)*(V47-V50))+W49*(V52-V47)*(V52-V51)*(V52-V48)*(V52-V50)/((V49-V47)*(V49-V51)*(V49-V48)*(V49-V50))+W51*(V52-V47)*(V52-V49)*(V52-V48)*(V52-V50)/((V51-V47)*(V51-V49)*(V51-V48)*(V51-V50))+W48*(V52-V49)*(V52-V51)*(V52-V47)*(V52-V50)/((V48-V49)*(V48-V51)*(V48-V47)*(V48-V50))+W50*(V52-V49)*(V52-V51)*(V52-V47)*(V52-V48)/((V50-V49)*(V50-V51)*(V50-V47)*(V50-V48))</f>
        <v>205.08648898136744</v>
      </c>
      <c r="Y52" s="163" t="s">
        <v>193</v>
      </c>
      <c r="Z52" s="164">
        <f>A30</f>
        <v>206.3050992888393</v>
      </c>
      <c r="AA52" s="164">
        <f>AA47*(Z52-Z48)*(Z52-Z49)*(Z52-Z50)*(Z52-Z51)/((Z47-Z48)*(Z47-Z49)*(Z47-Z50)*(Z47-Z51))+AA48*(Z52-Z47)*(Z52-Z49)*(Z52-Z50)*(Z52-Z51)/((Z48-Z47)*(Z48-Z49)*(Z48-Z50)*(Z48-Z51))+AA49*(Z52-Z47)*(Z52-Z48)*(Z52-Z50)*(Z52-Z51)/((Z49-Z47)*(Z49-Z48)*(Z49-Z50)*(Z49-Z51))+AA50*(Z52-Z47)*(Z52-Z48)*(Z52-Z49)*(Z52-Z51)/((Z50-Z47)*(Z50-Z48)*(Z50-Z49)*(Z50-Z51))+AA51*(Z52-Z47)*(Z52-Z48)*(Z52-Z49)*(Z52-Z50)/((Z51-Z47)*(Z51-Z48)*(Z51-Z49)*(Z51-Z50))</f>
        <v>-89692043.575145394</v>
      </c>
    </row>
    <row r="53" spans="1:27">
      <c r="B53">
        <f>IF(Plan1!$E$16=4,'3w 18s 7c'!A52,'3w 18s 7c'!B52)</f>
        <v>0.8571428571428571</v>
      </c>
      <c r="K53" s="13"/>
      <c r="N53" s="1" t="s">
        <v>12</v>
      </c>
      <c r="O53" s="1"/>
      <c r="P53" s="1"/>
      <c r="Q53" s="1" t="s">
        <v>13</v>
      </c>
      <c r="R53" s="1"/>
      <c r="S53" s="1"/>
      <c r="T53" s="1" t="s">
        <v>8</v>
      </c>
      <c r="U53" s="1"/>
      <c r="V53" s="1"/>
      <c r="W53" s="1" t="s">
        <v>9</v>
      </c>
    </row>
    <row r="54" spans="1:27">
      <c r="A54" s="4">
        <f>0*(B51-0.9)*(B51-0.8)/((1-0.9)*(1-0.8))+7.7*(B51-1)*(B51-0.8)/((0.9-1)*(0.9-0.8))+16.19*(B51-1)*(B51-0.9)/((0.8-1)*(0.8-0.9))+B46</f>
        <v>258.43625000000003</v>
      </c>
      <c r="F54" s="15">
        <v>-2.5</v>
      </c>
      <c r="G54" s="7" t="s">
        <v>6</v>
      </c>
      <c r="H54" s="7" t="s">
        <v>7</v>
      </c>
      <c r="I54" s="7" t="s">
        <v>8</v>
      </c>
      <c r="J54" s="7" t="s">
        <v>9</v>
      </c>
      <c r="K54" s="13"/>
      <c r="L54" s="169" t="s">
        <v>10</v>
      </c>
      <c r="M54" s="169">
        <v>0</v>
      </c>
      <c r="N54" s="169">
        <f>G49</f>
        <v>211.72</v>
      </c>
      <c r="O54" s="169" t="s">
        <v>10</v>
      </c>
      <c r="P54" s="169">
        <v>0</v>
      </c>
      <c r="Q54" s="169">
        <f>H49</f>
        <v>231.66666666666669</v>
      </c>
      <c r="R54" s="169" t="s">
        <v>10</v>
      </c>
      <c r="S54" s="169">
        <v>0</v>
      </c>
      <c r="T54" s="169">
        <f>I49</f>
        <v>222.45</v>
      </c>
      <c r="U54" s="169" t="s">
        <v>10</v>
      </c>
      <c r="V54" s="169">
        <v>0</v>
      </c>
      <c r="W54" s="169">
        <f>J49</f>
        <v>200.34</v>
      </c>
    </row>
    <row r="55" spans="1:27">
      <c r="F55" s="169">
        <v>100</v>
      </c>
      <c r="G55" s="169">
        <v>220.34</v>
      </c>
      <c r="H55" s="169">
        <v>13.333333333333334</v>
      </c>
      <c r="I55" s="169">
        <v>232.29</v>
      </c>
      <c r="J55" s="169">
        <v>207.62</v>
      </c>
      <c r="K55" s="13"/>
      <c r="L55" s="169" t="s">
        <v>10</v>
      </c>
      <c r="M55" s="169">
        <v>-2.5</v>
      </c>
      <c r="N55" s="169">
        <f>G56</f>
        <v>213.39</v>
      </c>
      <c r="O55" s="169" t="s">
        <v>10</v>
      </c>
      <c r="P55" s="169">
        <v>-2.5</v>
      </c>
      <c r="Q55" s="169">
        <f>H56</f>
        <v>193.33333333333334</v>
      </c>
      <c r="R55" s="169" t="s">
        <v>10</v>
      </c>
      <c r="S55" s="169">
        <v>-2.5</v>
      </c>
      <c r="T55" s="169">
        <f>I56</f>
        <v>224.42</v>
      </c>
      <c r="U55" s="169" t="s">
        <v>10</v>
      </c>
      <c r="V55" s="169">
        <v>-2.5</v>
      </c>
      <c r="W55" s="169">
        <f>J56</f>
        <v>201.69</v>
      </c>
    </row>
    <row r="56" spans="1:27">
      <c r="A56" s="169" t="s">
        <v>23</v>
      </c>
      <c r="B56" s="169">
        <f>Plan1!B61</f>
        <v>0</v>
      </c>
      <c r="D56" s="165">
        <f>(($B$16*D51)+D52+(D51*$B$14))/($D$2*(44/17.5))</f>
        <v>178.77245248319545</v>
      </c>
      <c r="F56" s="169">
        <v>97.5</v>
      </c>
      <c r="G56" s="169">
        <v>213.39</v>
      </c>
      <c r="H56" s="169">
        <v>193.33333333333334</v>
      </c>
      <c r="I56" s="169">
        <v>224.42</v>
      </c>
      <c r="J56" s="169">
        <v>201.69</v>
      </c>
      <c r="K56" s="13"/>
      <c r="L56" s="169" t="s">
        <v>10</v>
      </c>
      <c r="M56" s="169">
        <v>-5</v>
      </c>
      <c r="N56" s="170">
        <f>G63</f>
        <v>214.98</v>
      </c>
      <c r="O56" s="170" t="s">
        <v>10</v>
      </c>
      <c r="P56" s="170">
        <v>-5</v>
      </c>
      <c r="Q56" s="170">
        <f>H63</f>
        <v>156.66666666666669</v>
      </c>
      <c r="R56" s="170" t="s">
        <v>10</v>
      </c>
      <c r="S56" s="170">
        <v>-5</v>
      </c>
      <c r="T56" s="170">
        <f>I63</f>
        <v>226.84</v>
      </c>
      <c r="U56" s="170" t="s">
        <v>10</v>
      </c>
      <c r="V56" s="170">
        <v>-5</v>
      </c>
      <c r="W56" s="170">
        <f>J63</f>
        <v>202.97</v>
      </c>
    </row>
    <row r="57" spans="1:27">
      <c r="A57" s="169" t="s">
        <v>24</v>
      </c>
      <c r="B57" s="169">
        <f>Plan1!B62</f>
        <v>0</v>
      </c>
      <c r="F57" s="169">
        <v>95</v>
      </c>
      <c r="G57" s="169">
        <v>206.46</v>
      </c>
      <c r="H57" s="169">
        <v>348.33333333333337</v>
      </c>
      <c r="I57" s="169">
        <v>216.66</v>
      </c>
      <c r="J57" s="169">
        <v>195.68</v>
      </c>
      <c r="K57" s="1">
        <v>97.5</v>
      </c>
      <c r="L57" s="170" t="s">
        <v>10</v>
      </c>
      <c r="M57" s="170">
        <v>-7.5</v>
      </c>
      <c r="N57" s="170">
        <f>G70</f>
        <v>216.48</v>
      </c>
      <c r="O57" s="170" t="s">
        <v>10</v>
      </c>
      <c r="P57" s="170">
        <v>-7.5</v>
      </c>
      <c r="Q57" s="170">
        <f>H70</f>
        <v>121.66666666666667</v>
      </c>
      <c r="R57" s="170" t="s">
        <v>10</v>
      </c>
      <c r="S57" s="170">
        <v>-7.5</v>
      </c>
      <c r="T57" s="170">
        <f>I70</f>
        <v>228.09</v>
      </c>
      <c r="U57" s="170" t="s">
        <v>10</v>
      </c>
      <c r="V57" s="170">
        <v>-7.5</v>
      </c>
      <c r="W57" s="170">
        <f>J70</f>
        <v>204.16</v>
      </c>
    </row>
    <row r="58" spans="1:27">
      <c r="A58" s="169" t="s">
        <v>25</v>
      </c>
      <c r="B58" s="169">
        <f>COS(RADIANS(B57))</f>
        <v>1</v>
      </c>
      <c r="D58" s="166">
        <f>SIN(RADIANS(B49+D56*0.707))*B48</f>
        <v>-0.79925610175750372</v>
      </c>
      <c r="F58" s="169">
        <v>92.5</v>
      </c>
      <c r="G58" s="169">
        <v>199.59</v>
      </c>
      <c r="H58" s="169">
        <v>480</v>
      </c>
      <c r="I58" s="169">
        <v>209.02</v>
      </c>
      <c r="J58" s="169">
        <v>189.64</v>
      </c>
      <c r="K58" s="1"/>
      <c r="L58" s="169" t="s">
        <v>10</v>
      </c>
      <c r="M58" s="170">
        <v>-10</v>
      </c>
      <c r="N58" s="170">
        <f>G77</f>
        <v>217.92</v>
      </c>
      <c r="O58" s="170" t="s">
        <v>10</v>
      </c>
      <c r="P58" s="170">
        <v>-10</v>
      </c>
      <c r="Q58" s="170">
        <f>H77</f>
        <v>86.666666666666671</v>
      </c>
      <c r="R58" s="170" t="s">
        <v>10</v>
      </c>
      <c r="S58" s="170">
        <v>-10</v>
      </c>
      <c r="T58" s="170">
        <f>I77</f>
        <v>229.81</v>
      </c>
      <c r="U58" s="170" t="s">
        <v>10</v>
      </c>
      <c r="V58" s="170">
        <v>-10</v>
      </c>
      <c r="W58" s="170">
        <f>J77</f>
        <v>205.31</v>
      </c>
    </row>
    <row r="59" spans="1:27">
      <c r="A59" s="169" t="s">
        <v>26</v>
      </c>
      <c r="B59" s="169">
        <f>B50</f>
        <v>-1.6100879196344162</v>
      </c>
      <c r="D59" s="166">
        <f>COS(RADIANS(B49+D56*0.5))*B48</f>
        <v>-0.96100522148837064</v>
      </c>
      <c r="F59" s="169">
        <v>90</v>
      </c>
      <c r="G59" s="169">
        <v>192.8</v>
      </c>
      <c r="H59" s="169">
        <v>591.66666666666674</v>
      </c>
      <c r="I59" s="169">
        <v>201.54</v>
      </c>
      <c r="J59" s="169">
        <v>183.6</v>
      </c>
      <c r="K59" s="1"/>
      <c r="L59" s="169" t="s">
        <v>11</v>
      </c>
      <c r="M59" s="9">
        <f>$B$2</f>
        <v>6.0220000000000002</v>
      </c>
      <c r="N59" s="178">
        <f>N54*(M59-M56)*(M59-M58)*(M59-M55)*(M59-M57)/((M54-M56)*(M54-M58)*(M54-M55)*(M54-M57))+N56*(M59-M54)*(M59-M58)*(M59-M55)*(M59-M57)/((M56-M54)*(M56-M58)*(M56-M55)*(M56-M57))+N58*(M59-M54)*(M59-M56)*(M59-M55)*(M59-M57)/((M58-M54)*(M58-M56)*(M58-M55)*(M58-M57))+N55*(M59-M56)*(M59-M58)*(M59-M54)*(M59-M57)/((M55-M56)*(M55-M58)*(M55-M54)*(M55-M57))+N57*(M59-M56)*(M59-M58)*(M59-M54)*(M59-M55)/((M57-M56)*(M57-M58)*(M57-M54)*(M57-M55))</f>
        <v>207.75553611503528</v>
      </c>
      <c r="O59" s="169" t="s">
        <v>11</v>
      </c>
      <c r="P59" s="9">
        <f>$B$2</f>
        <v>6.0220000000000002</v>
      </c>
      <c r="Q59" s="178">
        <f>Q54*(P59-P56)*(P59-P58)*(P59-P55)*(P59-P57)/((P54-P56)*(P54-P58)*(P54-P55)*(P54-P57))+Q56*(P59-P54)*(P59-P58)*(P59-P55)*(P59-P57)/((P56-P54)*(P56-P58)*(P56-P55)*(P56-P57))+Q58*(P59-P54)*(P59-P56)*(P59-P55)*(P59-P57)/((P58-P54)*(P58-P56)*(P58-P55)*(P58-P57))+Q55*(P59-P56)*(P59-P58)*(P59-P54)*(P59-P57)/((P55-P56)*(P55-P58)*(P55-P54)*(P55-P57))+Q57*(P59-P56)*(P59-P58)*(P59-P54)*(P59-P55)/((P57-P56)*(P57-P58)*(P57-P54)*(P57-P55))</f>
        <v>317.24903446309872</v>
      </c>
      <c r="R59" s="169" t="s">
        <v>11</v>
      </c>
      <c r="S59" s="9">
        <f>$B$2</f>
        <v>6.0220000000000002</v>
      </c>
      <c r="T59" s="178">
        <f>T54*(S59-S56)*(S59-S58)*(S59-S55)*(S59-S57)/((S54-S56)*(S54-S58)*(S54-S55)*(S54-S57))+T56*(S59-S54)*(S59-S58)*(S59-S55)*(S59-S57)/((S56-S54)*(S56-S58)*(S56-S55)*(S56-S57))+T58*(S59-S54)*(S59-S56)*(S59-S55)*(S59-S57)/((S58-S54)*(S58-S56)*(S58-S55)*(S58-S57))+T55*(S59-S56)*(S59-S58)*(S59-S54)*(S59-S57)/((S55-S56)*(S55-S58)*(S55-S54)*(S55-S57))+T57*(S59-S56)*(S59-S58)*(S59-S54)*(S59-S55)/((S57-S56)*(S57-S58)*(S57-S54)*(S57-S55))</f>
        <v>255.92331657513023</v>
      </c>
      <c r="U59" s="169" t="s">
        <v>11</v>
      </c>
      <c r="V59" s="9">
        <f>$B$2</f>
        <v>6.0220000000000002</v>
      </c>
      <c r="W59" s="178">
        <f>W54*(V59-V56)*(V59-V58)*(V59-V55)*(V59-V57)/((V54-V56)*(V54-V58)*(V54-V55)*(V54-V57))+W56*(V59-V54)*(V59-V58)*(V59-V55)*(V59-V57)/((V56-V54)*(V56-V58)*(V56-V55)*(V56-V57))+W58*(V59-V54)*(V59-V56)*(V59-V55)*(V59-V57)/((V58-V54)*(V58-V56)*(V58-V55)*(V58-V57))+W55*(V59-V56)*(V59-V58)*(V59-V54)*(V59-V57)/((V55-V56)*(V55-V58)*(V55-V54)*(V55-V57))+W57*(V59-V56)*(V59-V58)*(V59-V54)*(V59-V55)/((V57-V56)*(V57-V58)*(V57-V54)*(V57-V55))</f>
        <v>197.49249913445055</v>
      </c>
      <c r="Z59" s="163">
        <v>100</v>
      </c>
      <c r="AA59" s="164">
        <f>G83</f>
        <v>-58.427346185789702</v>
      </c>
    </row>
    <row r="60" spans="1:27">
      <c r="A60" s="171">
        <f>B61/B48</f>
        <v>0.95798784374570456</v>
      </c>
      <c r="B60" s="167">
        <f>D58/B48</f>
        <v>-0.79925610175750372</v>
      </c>
      <c r="K60" s="1"/>
      <c r="N60" s="1" t="s">
        <v>12</v>
      </c>
      <c r="O60" s="1"/>
      <c r="P60" s="1"/>
      <c r="Q60" s="1" t="s">
        <v>13</v>
      </c>
      <c r="R60" s="1"/>
      <c r="S60" s="1"/>
      <c r="T60" s="1" t="s">
        <v>8</v>
      </c>
      <c r="U60" s="1"/>
      <c r="V60" s="1"/>
      <c r="W60" s="1" t="s">
        <v>9</v>
      </c>
      <c r="Z60" s="163">
        <v>97.5</v>
      </c>
      <c r="AA60" s="164">
        <f>G84</f>
        <v>85.042748445324833</v>
      </c>
    </row>
    <row r="61" spans="1:27">
      <c r="A61" s="169" t="s">
        <v>32</v>
      </c>
      <c r="B61" s="23">
        <f>B48*SIN(RADIANS(B49))</f>
        <v>0.95798784374570456</v>
      </c>
      <c r="D61" s="168">
        <f>N83*(D47-M84)*(D47-M85)*(D47-M86)*(D47-M87)/((M83-M84)*(M83-M85)*(M83-M86)*(M83-M87))+N84*(D47-M83)*(D47-M85)*(D47-M86)*(D47-M87)/((M84-M83)*(M84-M85)*(M84-M86)*(M84-M87))+N85*(D47-M84)*(D47-M83)*(D47-M86)*(D47-M87)/((M85-M84)*(M85-M83)*(M85-M86)*(M85-M87))+N86*(D47-M84)*(D47-M85)*(D47-M83)*(D47-M87)/((M86-M84)*(M86-M85)*(M86-M83)*(M86-M87))+N87*(D47-M84)*(D47-M85)*(D47-M86)*(D47-M83)/((M87-M84)*(M87-M85)*(M87-M86)*(M87-M86))</f>
        <v>19239.327784295911</v>
      </c>
      <c r="F61" s="15">
        <v>-5</v>
      </c>
      <c r="G61" s="7" t="s">
        <v>6</v>
      </c>
      <c r="H61" s="7" t="s">
        <v>7</v>
      </c>
      <c r="I61" s="7" t="s">
        <v>8</v>
      </c>
      <c r="J61" s="7" t="s">
        <v>9</v>
      </c>
      <c r="K61" s="1"/>
      <c r="L61" s="169" t="s">
        <v>10</v>
      </c>
      <c r="M61" s="169">
        <v>0</v>
      </c>
      <c r="N61" s="169">
        <f>G50</f>
        <v>204.64</v>
      </c>
      <c r="O61" s="169" t="s">
        <v>10</v>
      </c>
      <c r="P61" s="169">
        <v>0</v>
      </c>
      <c r="Q61" s="169">
        <f>H50</f>
        <v>383.33333333333337</v>
      </c>
      <c r="R61" s="169" t="s">
        <v>10</v>
      </c>
      <c r="S61" s="169">
        <v>0</v>
      </c>
      <c r="T61" s="169">
        <f>I50</f>
        <v>214.53</v>
      </c>
      <c r="U61" s="169" t="s">
        <v>10</v>
      </c>
      <c r="V61" s="169">
        <v>0</v>
      </c>
      <c r="W61" s="169">
        <f>J50</f>
        <v>194.18</v>
      </c>
      <c r="Z61" s="163">
        <v>95</v>
      </c>
      <c r="AA61" s="164">
        <f>G85</f>
        <v>349.52768399373645</v>
      </c>
    </row>
    <row r="62" spans="1:27">
      <c r="A62" s="169" t="s">
        <v>33</v>
      </c>
      <c r="B62" s="23">
        <f>B48*COS(RADIANS(B49))</f>
        <v>-0.28680880606329973</v>
      </c>
      <c r="D62" s="1">
        <f>O83*(D47-M84)*(D47-M85)*(D47-M86)*(D47-M87)/((M83-M84)*(M83-M85)*(M83-M86)*(M83-M87))+O84*(D47-M83)*(D47-M85)*(D47-M86)*(D47-M87)/((M84-M83)*(M84-M85)*(M84-M86)*(M84-M87))+O85*(D47-M84)*(D47-M83)*(D47-M86)*(D47-M87)/((M85-M84)*(M85-M83)*(M85-M86)*(M85-M87))+O86*(D47-M84)*(D47-M85)*(D47-M83)*(D47-M87)/((M86-M84)*(M86-M85)*(M86-M83)*(M86-M87))+O87*(D47-M84)*(D47-M85)*(D47-M86)*(D47-M83)/((M87-M84)*(M87-M85)*(M87-M86)*(M87-M86))</f>
        <v>19274.170306548986</v>
      </c>
      <c r="F62" s="157">
        <v>100</v>
      </c>
      <c r="G62" s="157">
        <v>221.79</v>
      </c>
      <c r="H62" s="157">
        <v>-26.666666666666668</v>
      </c>
      <c r="I62" s="157">
        <v>234.03</v>
      </c>
      <c r="J62" s="157">
        <v>208.78</v>
      </c>
      <c r="K62" s="1"/>
      <c r="L62" s="169" t="s">
        <v>10</v>
      </c>
      <c r="M62" s="169">
        <v>-2.5</v>
      </c>
      <c r="N62" s="169">
        <f>G57</f>
        <v>206.46</v>
      </c>
      <c r="O62" s="169" t="s">
        <v>10</v>
      </c>
      <c r="P62" s="169">
        <v>-2.5</v>
      </c>
      <c r="Q62" s="169">
        <f>H57</f>
        <v>348.33333333333337</v>
      </c>
      <c r="R62" s="169" t="s">
        <v>10</v>
      </c>
      <c r="S62" s="169">
        <v>-2.5</v>
      </c>
      <c r="T62" s="169">
        <f>I57</f>
        <v>216.66</v>
      </c>
      <c r="U62" s="169" t="s">
        <v>10</v>
      </c>
      <c r="V62" s="169">
        <v>-2.5</v>
      </c>
      <c r="W62" s="169">
        <f>J57</f>
        <v>195.68</v>
      </c>
      <c r="Z62" s="163">
        <v>92.5</v>
      </c>
      <c r="AA62" s="164">
        <f>G86</f>
        <v>469.95159539285305</v>
      </c>
    </row>
    <row r="63" spans="1:27">
      <c r="F63" s="157">
        <v>97.5</v>
      </c>
      <c r="G63" s="157">
        <v>214.98</v>
      </c>
      <c r="H63" s="157">
        <v>156.66666666666669</v>
      </c>
      <c r="I63" s="157">
        <v>226.84</v>
      </c>
      <c r="J63" s="157">
        <v>202.97</v>
      </c>
      <c r="K63" s="1">
        <v>95</v>
      </c>
      <c r="L63" s="169" t="s">
        <v>10</v>
      </c>
      <c r="M63" s="169">
        <v>-5</v>
      </c>
      <c r="N63" s="170">
        <f>G64</f>
        <v>208.19</v>
      </c>
      <c r="O63" s="170" t="s">
        <v>10</v>
      </c>
      <c r="P63" s="170">
        <v>-5</v>
      </c>
      <c r="Q63" s="170">
        <f>H64</f>
        <v>315</v>
      </c>
      <c r="R63" s="170" t="s">
        <v>10</v>
      </c>
      <c r="S63" s="170">
        <v>-5</v>
      </c>
      <c r="T63" s="170">
        <f>I64</f>
        <v>218.68</v>
      </c>
      <c r="U63" s="170" t="s">
        <v>10</v>
      </c>
      <c r="V63" s="170">
        <v>-5</v>
      </c>
      <c r="W63" s="170">
        <f>J64</f>
        <v>197.1</v>
      </c>
      <c r="Z63" s="163">
        <v>90</v>
      </c>
      <c r="AA63" s="164">
        <f>G87</f>
        <v>489.60046617069702</v>
      </c>
    </row>
    <row r="64" spans="1:27">
      <c r="A64" s="169" t="s">
        <v>31</v>
      </c>
      <c r="B64" s="169" t="s">
        <v>35</v>
      </c>
      <c r="F64" s="157">
        <v>95</v>
      </c>
      <c r="G64" s="157">
        <v>208.19</v>
      </c>
      <c r="H64" s="157">
        <v>315</v>
      </c>
      <c r="I64" s="157">
        <v>218.68</v>
      </c>
      <c r="J64" s="157">
        <v>197.1</v>
      </c>
      <c r="K64" s="1"/>
      <c r="L64" s="170" t="s">
        <v>10</v>
      </c>
      <c r="M64" s="170">
        <v>-7.5</v>
      </c>
      <c r="N64" s="170">
        <f>G71</f>
        <v>209.82</v>
      </c>
      <c r="O64" s="170" t="s">
        <v>10</v>
      </c>
      <c r="P64" s="170">
        <v>-7.5</v>
      </c>
      <c r="Q64" s="170">
        <f>H71</f>
        <v>281.66666666666669</v>
      </c>
      <c r="R64" s="170" t="s">
        <v>10</v>
      </c>
      <c r="S64" s="170">
        <v>-7.5</v>
      </c>
      <c r="T64" s="170">
        <f>I71</f>
        <v>220.6</v>
      </c>
      <c r="U64" s="170" t="s">
        <v>10</v>
      </c>
      <c r="V64" s="170">
        <v>-7.5</v>
      </c>
      <c r="W64" s="170">
        <f>J71</f>
        <v>198.42</v>
      </c>
      <c r="Y64" s="163" t="s">
        <v>194</v>
      </c>
      <c r="Z64" s="164">
        <f>A30</f>
        <v>206.3050992888393</v>
      </c>
      <c r="AA64" s="164">
        <f>AA59*(Z64-Z60)*(Z64-Z61)*(Z64-Z62)*(Z64-Z63)/((Z59-Z60)*(Z59-Z61)*(Z59-Z62)*(Z59-Z63))+AA60*(Z64-Z59)*(Z64-Z61)*(Z64-Z62)*(Z64-Z63)/((Z60-Z59)*(Z60-Z61)*(Z60-Z62)*(Z60-Z63))+AA61*(Z64-Z59)*(Z64-Z60)*(Z64-Z62)*(Z64-Z63)/((Z61-Z59)*(Z61-Z60)*(Z61-Z62)*(Z61-Z63))+AA62*(Z64-Z59)*(Z64-Z60)*(Z64-Z61)*(Z64-Z63)/((Z62-Z59)*(Z62-Z60)*(Z62-Z61)*(Z62-Z63))+AA63*(Z64-Z59)*(Z64-Z60)*(Z64-Z61)*(Z64-Z62)/((Z63-Z59)*(Z63-Z60)*(Z63-Z61)*(Z63-Z62))</f>
        <v>51937346.927588478</v>
      </c>
    </row>
    <row r="65" spans="1:23">
      <c r="A65" s="22" t="e">
        <f>(#REF!*(D47-#REF!)*(D47-#REF!)/((#REF!-#REF!)*(#REF!-#REF!))+#REF!*(D47-#REF!)*(D47-#REF!)/((#REF!-#REF!)*(#REF!-#REF!))+#REF!*(D47-#REF!)*(D47-#REF!)/((#REF!-#REF!)*(#REF!-#REF!)))</f>
        <v>#REF!</v>
      </c>
      <c r="B65" s="23" t="e">
        <f>(B61*A65+(A66*B59))/(D47*(44/17.5))</f>
        <v>#REF!</v>
      </c>
      <c r="D65"/>
      <c r="F65" s="157">
        <v>92.5</v>
      </c>
      <c r="G65" s="157">
        <v>201.46</v>
      </c>
      <c r="H65" s="157">
        <v>450</v>
      </c>
      <c r="I65" s="157">
        <v>211.19</v>
      </c>
      <c r="J65" s="157">
        <v>191.2</v>
      </c>
      <c r="K65" s="1"/>
      <c r="L65" s="169" t="s">
        <v>10</v>
      </c>
      <c r="M65" s="169">
        <v>-10</v>
      </c>
      <c r="N65" s="169">
        <f>G78</f>
        <v>211.37</v>
      </c>
      <c r="O65" s="169" t="s">
        <v>10</v>
      </c>
      <c r="P65" s="169">
        <v>-10</v>
      </c>
      <c r="Q65" s="169">
        <f>H78</f>
        <v>248.33333333333334</v>
      </c>
      <c r="R65" s="169" t="s">
        <v>10</v>
      </c>
      <c r="S65" s="169">
        <v>-10</v>
      </c>
      <c r="T65" s="169">
        <f>I78</f>
        <v>222.43</v>
      </c>
      <c r="U65" s="169" t="s">
        <v>10</v>
      </c>
      <c r="V65" s="169">
        <v>-10</v>
      </c>
      <c r="W65" s="169">
        <f>J78</f>
        <v>199.68</v>
      </c>
    </row>
    <row r="66" spans="1:23">
      <c r="A66" s="22" t="e">
        <f>A65*1</f>
        <v>#REF!</v>
      </c>
      <c r="D66"/>
      <c r="F66" s="157">
        <v>90</v>
      </c>
      <c r="G66" s="157">
        <v>194.81</v>
      </c>
      <c r="H66" s="157">
        <v>563.33333333333337</v>
      </c>
      <c r="I66" s="157">
        <v>203.85</v>
      </c>
      <c r="J66" s="157">
        <v>185.3</v>
      </c>
      <c r="K66" s="1"/>
      <c r="L66" s="169" t="s">
        <v>11</v>
      </c>
      <c r="M66" s="9">
        <f>$B$2</f>
        <v>6.0220000000000002</v>
      </c>
      <c r="N66" s="178">
        <f>N61*(M66-M63)*(M66-M65)*(M66-M62)*(M66-M64)/((M61-M63)*(M61-M65)*(M61-M62)*(M61-M64))+N63*(M66-M61)*(M66-M65)*(M66-M62)*(M66-M64)/((M63-M61)*(M63-M65)*(M63-M62)*(M63-M64))+N65*(M66-M61)*(M66-M63)*(M66-M62)*(M66-M64)/((M65-M61)*(M65-M63)*(M65-M62)*(M65-M64))+N62*(M66-M63)*(M66-M65)*(M66-M61)*(M66-M64)/((M62-M63)*(M62-M65)*(M62-M61)*(M62-M64))+N64*(M66-M63)*(M66-M65)*(M66-M61)*(M66-M62)/((M64-M63)*(M64-M65)*(M64-M61)*(M64-M62))</f>
        <v>200.191575147408</v>
      </c>
      <c r="O66" s="169" t="s">
        <v>11</v>
      </c>
      <c r="P66" s="9">
        <f>$B$2</f>
        <v>6.0220000000000002</v>
      </c>
      <c r="Q66" s="178">
        <f>Q61*(P66-P63)*(P66-P65)*(P66-P62)*(P66-P64)/((P61-P63)*(P61-P65)*(P61-P62)*(P61-P64))+Q63*(P66-P61)*(P66-P65)*(P66-P62)*(P66-P64)/((P63-P61)*(P63-P65)*(P63-P62)*(P63-P64))+Q65*(P66-P61)*(P66-P63)*(P66-P62)*(P66-P64)/((P65-P61)*(P65-P63)*(P65-P62)*(P65-P64))+Q62*(P66-P63)*(P66-P65)*(P66-P61)*(P66-P64)/((P62-P63)*(P62-P65)*(P62-P61)*(P62-P64))+Q64*(P66-P63)*(P66-P65)*(P66-P61)*(P66-P62)/((P64-P63)*(P64-P65)*(P64-P61)*(P64-P62))</f>
        <v>498.13737642841443</v>
      </c>
      <c r="R66" s="169" t="s">
        <v>11</v>
      </c>
      <c r="S66" s="9">
        <f>$B$2</f>
        <v>6.0220000000000002</v>
      </c>
      <c r="T66" s="178">
        <f>T61*(S66-S63)*(S66-S65)*(S66-S62)*(S66-S64)/((S61-S63)*(S61-S65)*(S61-S62)*(S61-S64))+T63*(S66-S61)*(S66-S65)*(S66-S62)*(S66-S64)/((S63-S61)*(S63-S65)*(S63-S62)*(S63-S64))+T65*(S66-S61)*(S66-S63)*(S66-S62)*(S66-S64)/((S65-S61)*(S65-S63)*(S65-S62)*(S65-S64))+T62*(S66-S63)*(S66-S65)*(S66-S61)*(S66-S64)/((S62-S63)*(S62-S65)*(S62-S61)*(S62-S64))+T64*(S66-S63)*(S66-S65)*(S66-S61)*(S66-S62)/((S64-S63)*(S64-S65)*(S64-S61)*(S64-S62))</f>
        <v>208.88730924985612</v>
      </c>
      <c r="U66" s="169" t="s">
        <v>11</v>
      </c>
      <c r="V66" s="9">
        <f>$B$2</f>
        <v>6.0220000000000002</v>
      </c>
      <c r="W66" s="178">
        <f>W61*(V66-V63)*(V66-V65)*(V66-V62)*(V66-V64)/((V61-V63)*(V61-V65)*(V61-V62)*(V61-V64))+W63*(V66-V61)*(V66-V65)*(V66-V62)*(V66-V64)/((V63-V61)*(V63-V65)*(V63-V62)*(V63-V64))+W65*(V66-V61)*(V66-V63)*(V66-V62)*(V66-V64)/((V65-V61)*(V65-V63)*(V65-V62)*(V65-V64))+W62*(V66-V63)*(V66-V65)*(V66-V61)*(V66-V64)/((V62-V63)*(V62-V65)*(V62-V61)*(V62-V64))+W64*(V66-V63)*(V66-V65)*(V66-V61)*(V66-V62)/((V64-V63)*(V64-V65)*(V64-V61)*(V64-V62))</f>
        <v>190.84853816682789</v>
      </c>
    </row>
    <row r="67" spans="1:23">
      <c r="D67"/>
      <c r="K67" s="1"/>
      <c r="N67" s="1" t="s">
        <v>12</v>
      </c>
      <c r="O67" s="1"/>
      <c r="P67" s="1"/>
      <c r="Q67" s="1" t="s">
        <v>13</v>
      </c>
      <c r="R67" s="1"/>
      <c r="S67" s="1"/>
      <c r="T67" s="1" t="s">
        <v>8</v>
      </c>
      <c r="U67" s="1"/>
      <c r="V67" s="1"/>
      <c r="W67" s="1" t="s">
        <v>9</v>
      </c>
    </row>
    <row r="68" spans="1:23">
      <c r="A68" s="169" t="s">
        <v>36</v>
      </c>
      <c r="B68" s="23">
        <f>D58</f>
        <v>-0.79925610175750372</v>
      </c>
      <c r="D68"/>
      <c r="F68" s="15">
        <v>-7.5</v>
      </c>
      <c r="G68" s="7" t="s">
        <v>6</v>
      </c>
      <c r="H68" s="7" t="s">
        <v>7</v>
      </c>
      <c r="I68" s="7" t="s">
        <v>8</v>
      </c>
      <c r="J68" s="7" t="s">
        <v>9</v>
      </c>
      <c r="K68" s="1"/>
      <c r="L68" s="169" t="s">
        <v>10</v>
      </c>
      <c r="M68" s="169">
        <v>0</v>
      </c>
      <c r="N68" s="169">
        <f>G51</f>
        <v>197.61</v>
      </c>
      <c r="O68" s="169" t="s">
        <v>10</v>
      </c>
      <c r="P68" s="169">
        <v>0</v>
      </c>
      <c r="Q68" s="169">
        <f>H51</f>
        <v>513.33333333333337</v>
      </c>
      <c r="R68" s="169" t="s">
        <v>10</v>
      </c>
      <c r="S68" s="169">
        <v>0</v>
      </c>
      <c r="T68" s="169">
        <f>I51</f>
        <v>206.73</v>
      </c>
      <c r="U68" s="169" t="s">
        <v>10</v>
      </c>
      <c r="V68" s="169">
        <v>0</v>
      </c>
      <c r="W68" s="169">
        <f>J51</f>
        <v>187.99</v>
      </c>
    </row>
    <row r="69" spans="1:23">
      <c r="A69" s="169" t="s">
        <v>37</v>
      </c>
      <c r="B69" s="23">
        <f>D59</f>
        <v>-0.96100522148837064</v>
      </c>
      <c r="D69"/>
      <c r="F69" s="170">
        <v>100</v>
      </c>
      <c r="G69" s="170">
        <v>223.17</v>
      </c>
      <c r="H69" s="170">
        <v>-63.333333333333336</v>
      </c>
      <c r="I69" s="170">
        <v>235.69</v>
      </c>
      <c r="J69" s="170">
        <v>209.84</v>
      </c>
      <c r="L69" s="169" t="s">
        <v>10</v>
      </c>
      <c r="M69" s="169">
        <v>-2.5</v>
      </c>
      <c r="N69" s="169">
        <f>G58</f>
        <v>199.59</v>
      </c>
      <c r="O69" s="169" t="s">
        <v>10</v>
      </c>
      <c r="P69" s="169">
        <v>-2.5</v>
      </c>
      <c r="Q69" s="169">
        <f>H58</f>
        <v>480</v>
      </c>
      <c r="R69" s="169" t="s">
        <v>10</v>
      </c>
      <c r="S69" s="169">
        <v>-2.5</v>
      </c>
      <c r="T69" s="169">
        <f>I58</f>
        <v>209.02</v>
      </c>
      <c r="U69" s="169" t="s">
        <v>10</v>
      </c>
      <c r="V69" s="169">
        <v>-2.5</v>
      </c>
      <c r="W69" s="169">
        <f>J58</f>
        <v>189.64</v>
      </c>
    </row>
    <row r="70" spans="1:23">
      <c r="D70"/>
      <c r="F70" s="170">
        <v>97.5</v>
      </c>
      <c r="G70" s="170">
        <v>216.48</v>
      </c>
      <c r="H70" s="170">
        <v>121.66666666666667</v>
      </c>
      <c r="I70" s="170">
        <v>228.09</v>
      </c>
      <c r="J70" s="170">
        <v>204.16</v>
      </c>
      <c r="K70">
        <v>92.5</v>
      </c>
      <c r="L70" s="169" t="s">
        <v>10</v>
      </c>
      <c r="M70" s="170">
        <v>-5</v>
      </c>
      <c r="N70" s="170">
        <f>G65</f>
        <v>201.46</v>
      </c>
      <c r="O70" s="170" t="s">
        <v>10</v>
      </c>
      <c r="P70" s="170">
        <v>-5</v>
      </c>
      <c r="Q70" s="170">
        <f>H65</f>
        <v>450</v>
      </c>
      <c r="R70" s="170" t="s">
        <v>10</v>
      </c>
      <c r="S70" s="170">
        <v>-5</v>
      </c>
      <c r="T70" s="170">
        <f>I65</f>
        <v>211.19</v>
      </c>
      <c r="U70" s="170" t="s">
        <v>10</v>
      </c>
      <c r="V70" s="170">
        <v>-5</v>
      </c>
      <c r="W70" s="170">
        <f>J65</f>
        <v>191.2</v>
      </c>
    </row>
    <row r="71" spans="1:23">
      <c r="A71" s="240" t="s">
        <v>39</v>
      </c>
      <c r="B71" s="241"/>
      <c r="D71"/>
      <c r="F71" s="170">
        <v>95</v>
      </c>
      <c r="G71" s="170">
        <v>209.82</v>
      </c>
      <c r="H71" s="170">
        <v>281.66666666666669</v>
      </c>
      <c r="I71" s="170">
        <v>220.6</v>
      </c>
      <c r="J71" s="170">
        <v>198.42</v>
      </c>
      <c r="L71" s="170" t="s">
        <v>10</v>
      </c>
      <c r="M71" s="170">
        <v>-7.5</v>
      </c>
      <c r="N71" s="170">
        <f>G72</f>
        <v>203.22</v>
      </c>
      <c r="O71" s="170" t="s">
        <v>10</v>
      </c>
      <c r="P71" s="170">
        <v>-7.5</v>
      </c>
      <c r="Q71" s="170">
        <f>H72</f>
        <v>418.33333333333337</v>
      </c>
      <c r="R71" s="170" t="s">
        <v>10</v>
      </c>
      <c r="S71" s="170">
        <v>-7.5</v>
      </c>
      <c r="T71" s="170">
        <f>I72</f>
        <v>213.24</v>
      </c>
      <c r="U71" s="170" t="s">
        <v>10</v>
      </c>
      <c r="V71" s="170">
        <v>-7.5</v>
      </c>
      <c r="W71" s="170">
        <f>J72</f>
        <v>192.64</v>
      </c>
    </row>
    <row r="72" spans="1:23">
      <c r="A72" s="11">
        <f>D61</f>
        <v>19239.327784295911</v>
      </c>
      <c r="B72" s="169">
        <f>D62</f>
        <v>19274.170306548986</v>
      </c>
      <c r="D72"/>
      <c r="F72" s="170">
        <v>92.5</v>
      </c>
      <c r="G72" s="170">
        <v>203.22</v>
      </c>
      <c r="H72" s="170">
        <v>418.33333333333337</v>
      </c>
      <c r="I72" s="170">
        <v>213.24</v>
      </c>
      <c r="J72" s="170">
        <v>192.64</v>
      </c>
      <c r="L72" s="169" t="s">
        <v>10</v>
      </c>
      <c r="M72" s="170">
        <v>-10</v>
      </c>
      <c r="N72" s="170">
        <f>G79</f>
        <v>204.89</v>
      </c>
      <c r="O72" s="170" t="s">
        <v>10</v>
      </c>
      <c r="P72" s="170">
        <v>-10</v>
      </c>
      <c r="Q72" s="170">
        <f>H79</f>
        <v>386.66666666666669</v>
      </c>
      <c r="R72" s="170" t="s">
        <v>10</v>
      </c>
      <c r="S72" s="170">
        <v>-10</v>
      </c>
      <c r="T72" s="170">
        <f>I79</f>
        <v>215.19</v>
      </c>
      <c r="U72" s="170" t="s">
        <v>10</v>
      </c>
      <c r="V72" s="170">
        <v>-10</v>
      </c>
      <c r="W72" s="170">
        <f>J79</f>
        <v>194.02</v>
      </c>
    </row>
    <row r="73" spans="1:23">
      <c r="D73"/>
      <c r="F73" s="170">
        <v>90</v>
      </c>
      <c r="G73" s="170">
        <v>196.7</v>
      </c>
      <c r="H73" s="170">
        <v>533.33333333333337</v>
      </c>
      <c r="I73" s="170">
        <v>206.03</v>
      </c>
      <c r="J73" s="170">
        <v>186.88</v>
      </c>
      <c r="L73" s="169" t="s">
        <v>11</v>
      </c>
      <c r="M73" s="9">
        <f>$B$2</f>
        <v>6.0220000000000002</v>
      </c>
      <c r="N73" s="178">
        <f>N68*(M73-M70)*(M73-M72)*(M73-M69)*(M73-M71)/((M68-M70)*(M68-M72)*(M68-M69)*(M68-M71))+N70*(M73-M68)*(M73-M72)*(M73-M69)*(M73-M71)/((M70-M68)*(M70-M72)*(M70-M69)*(M70-M71))+N72*(M73-M68)*(M73-M70)*(M73-M69)*(M73-M71)/((M72-M68)*(M72-M70)*(M72-M69)*(M72-M71))+N69*(M73-M70)*(M73-M72)*(M73-M68)*(M73-M71)/((M69-M70)*(M69-M72)*(M69-M68)*(M69-M71))+N71*(M73-M70)*(M73-M72)*(M73-M68)*(M73-M69)/((M71-M70)*(M71-M72)*(M71-M68)*(M71-M69))</f>
        <v>192.55213530164565</v>
      </c>
      <c r="O73" s="169" t="s">
        <v>11</v>
      </c>
      <c r="P73" s="9">
        <f>$B$2</f>
        <v>6.0220000000000002</v>
      </c>
      <c r="Q73" s="178">
        <f>Q68*(P73-P70)*(P73-P72)*(P73-P69)*(P73-P71)/((P68-P70)*(P68-P72)*(P68-P69)*(P68-P71))+Q70*(P73-P68)*(P73-P72)*(P73-P69)*(P73-P71)/((P70-P68)*(P70-P72)*(P70-P69)*(P70-P71))+Q72*(P73-P68)*(P73-P70)*(P73-P69)*(P73-P71)/((P72-P68)*(P72-P70)*(P72-P69)*(P72-P71))+Q69*(P73-P70)*(P73-P72)*(P73-P68)*(P73-P71)/((P69-P70)*(P69-P72)*(P69-P68)*(P69-P71))+Q71*(P73-P70)*(P73-P72)*(P73-P68)*(P73-P69)/((P71-P70)*(P71-P72)*(P71-P68)*(P71-P69))</f>
        <v>691.86976148882786</v>
      </c>
      <c r="R73" s="169" t="s">
        <v>11</v>
      </c>
      <c r="S73" s="9">
        <f>$B$2</f>
        <v>6.0220000000000002</v>
      </c>
      <c r="T73" s="178">
        <f>T68*(S73-S70)*(S73-S72)*(S73-S69)*(S73-S71)/((S68-S70)*(S68-S72)*(S68-S69)*(S68-S71))+T70*(S73-S68)*(S73-S72)*(S73-S69)*(S73-S71)/((S70-S68)*(S70-S72)*(S70-S69)*(S70-S71))+T72*(S73-S68)*(S73-S70)*(S73-S69)*(S73-S71)/((S72-S68)*(S72-S70)*(S72-S69)*(S72-S71))+T69*(S73-S70)*(S73-S72)*(S73-S68)*(S73-S71)/((S69-S70)*(S69-S72)*(S69-S68)*(S69-S71))+T71*(S73-S70)*(S73-S72)*(S73-S68)*(S73-S69)/((S71-S70)*(S71-S72)*(S71-S68)*(S71-S69))</f>
        <v>200.88435171444144</v>
      </c>
      <c r="U73" s="169" t="s">
        <v>11</v>
      </c>
      <c r="V73" s="9">
        <f>$B$2</f>
        <v>6.0220000000000002</v>
      </c>
      <c r="W73" s="178">
        <f>W68*(V73-V70)*(V73-V72)*(V73-V69)*(V73-V71)/((V68-V70)*(V68-V72)*(V68-V69)*(V68-V71))+W70*(V73-V68)*(V73-V72)*(V73-V69)*(V73-V71)/((V70-V68)*(V70-V72)*(V70-V69)*(V70-V71))+W72*(V73-V68)*(V73-V70)*(V73-V69)*(V73-V71)/((V72-V68)*(V72-V70)*(V72-V69)*(V72-V71))+W69*(V73-V70)*(V73-V72)*(V73-V68)*(V73-V71)/((V69-V70)*(V69-V72)*(V69-V68)*(V69-V71))+W71*(V73-V70)*(V73-V72)*(V73-V68)*(V73-V69)/((V71-V70)*(V71-V72)*(V71-V68)*(V71-V69))</f>
        <v>184.56125401184272</v>
      </c>
    </row>
    <row r="74" spans="1:23">
      <c r="A74" s="169" t="s">
        <v>41</v>
      </c>
      <c r="B74" s="169" t="s">
        <v>42</v>
      </c>
      <c r="D74"/>
      <c r="N74" s="1" t="s">
        <v>12</v>
      </c>
      <c r="O74" s="1"/>
      <c r="P74" s="1"/>
      <c r="Q74" s="1" t="s">
        <v>13</v>
      </c>
      <c r="R74" s="1"/>
      <c r="S74" s="1"/>
      <c r="T74" s="1" t="s">
        <v>8</v>
      </c>
      <c r="U74" s="1"/>
      <c r="V74" s="1"/>
      <c r="W74" s="1" t="s">
        <v>9</v>
      </c>
    </row>
    <row r="75" spans="1:23">
      <c r="A75" s="11">
        <f>L83*(D47-J84)*(D47-J85)*(D47-J86)*(D47-J87)/((J83-J84)*(J83-J85)*(J83-J86)*(J83-J87))+L84*(D47-J83)*(D47-J85)*(D47-J86)*(D47-J87)/((J84-J83)*(J84-J85)*(J84-J86)*(J84-J87))+L85*(D47-J83)*(D47-J84)*(D47-J86)*(D47-J87)/((J85-J83)*(J85-J84)*(J85-J86)*(J85-J87))+L86*(D47-J83)*(D47-J84)*(D47-J85)*(D47-J87)/((J86-J83)*(J86-J84)*(J86-J85)*(J86-J87))+L87*(D47-J83)*(D47-J84)*(D47-J85)*(D47-J86)/((J87-J83)*(J87-J84)*(J87-J85)*(J87-J86))</f>
        <v>257.35122358648505</v>
      </c>
      <c r="B75" s="24">
        <f>((AA52*(B68+(B59*7/9*A75/100)))+AA64)*A79</f>
        <v>412682449.96793056</v>
      </c>
      <c r="C75">
        <f>B75/45</f>
        <v>9170721.1103984565</v>
      </c>
      <c r="D75"/>
      <c r="F75" s="15">
        <v>-10</v>
      </c>
      <c r="G75" s="7" t="s">
        <v>6</v>
      </c>
      <c r="H75" s="7" t="s">
        <v>7</v>
      </c>
      <c r="I75" s="7" t="s">
        <v>8</v>
      </c>
      <c r="J75" s="7" t="s">
        <v>9</v>
      </c>
      <c r="L75" s="169" t="s">
        <v>10</v>
      </c>
      <c r="M75" s="169">
        <v>0</v>
      </c>
      <c r="N75" s="169">
        <f>G52</f>
        <v>190.65</v>
      </c>
      <c r="O75" s="169" t="s">
        <v>10</v>
      </c>
      <c r="P75" s="169">
        <v>0</v>
      </c>
      <c r="Q75" s="169">
        <f>H52</f>
        <v>620</v>
      </c>
      <c r="R75" s="169" t="s">
        <v>10</v>
      </c>
      <c r="S75" s="169">
        <v>0</v>
      </c>
      <c r="T75" s="169">
        <f>I52</f>
        <v>199.08</v>
      </c>
      <c r="U75" s="169" t="s">
        <v>10</v>
      </c>
      <c r="V75" s="169">
        <v>0</v>
      </c>
      <c r="W75" s="169">
        <f>J52</f>
        <v>181.79</v>
      </c>
    </row>
    <row r="76" spans="1:23">
      <c r="A76" s="172" t="s">
        <v>44</v>
      </c>
      <c r="B76" s="172" t="s">
        <v>43</v>
      </c>
      <c r="D76"/>
      <c r="F76" s="157">
        <v>100</v>
      </c>
      <c r="G76" s="157">
        <v>224.49</v>
      </c>
      <c r="H76" s="157">
        <v>-101.66666666666667</v>
      </c>
      <c r="I76" s="157">
        <v>237.27</v>
      </c>
      <c r="J76" s="157">
        <v>210.88</v>
      </c>
      <c r="L76" s="169" t="s">
        <v>10</v>
      </c>
      <c r="M76" s="169">
        <v>-2.5</v>
      </c>
      <c r="N76" s="169">
        <f>G59</f>
        <v>192.8</v>
      </c>
      <c r="O76" s="169" t="s">
        <v>10</v>
      </c>
      <c r="P76" s="169">
        <v>-2.5</v>
      </c>
      <c r="Q76" s="169">
        <f>H59</f>
        <v>591.66666666666674</v>
      </c>
      <c r="R76" s="169" t="s">
        <v>10</v>
      </c>
      <c r="S76" s="169">
        <v>-2.5</v>
      </c>
      <c r="T76" s="169">
        <f>I59</f>
        <v>201.54</v>
      </c>
      <c r="U76" s="169" t="s">
        <v>10</v>
      </c>
      <c r="V76" s="169">
        <v>-2.5</v>
      </c>
      <c r="W76" s="169">
        <f>J59</f>
        <v>183.6</v>
      </c>
    </row>
    <row r="77" spans="1:23">
      <c r="A77" s="25">
        <f>(360-ROUNDDOWN((1-(A75/100))*360,0))*236/360</f>
        <v>607.04444444444448</v>
      </c>
      <c r="B77" s="11">
        <f>MOD((A75/100)*-360,1)*-((D47-A72)/(D47-B72))+18</f>
        <v>17.465385648630903</v>
      </c>
      <c r="D77"/>
      <c r="F77" s="157">
        <v>97.5</v>
      </c>
      <c r="G77" s="157">
        <v>217.92</v>
      </c>
      <c r="H77" s="157">
        <v>86.666666666666671</v>
      </c>
      <c r="I77" s="157">
        <v>229.81</v>
      </c>
      <c r="J77" s="157">
        <v>205.31</v>
      </c>
      <c r="K77">
        <v>90</v>
      </c>
      <c r="L77" s="169" t="s">
        <v>10</v>
      </c>
      <c r="M77" s="169">
        <v>-5</v>
      </c>
      <c r="N77" s="170">
        <f>G66</f>
        <v>194.81</v>
      </c>
      <c r="O77" s="170" t="s">
        <v>10</v>
      </c>
      <c r="P77" s="170">
        <v>-5</v>
      </c>
      <c r="Q77" s="170">
        <f>H66</f>
        <v>563.33333333333337</v>
      </c>
      <c r="R77" s="170" t="s">
        <v>10</v>
      </c>
      <c r="S77" s="170">
        <v>-5</v>
      </c>
      <c r="T77" s="170">
        <f>I66</f>
        <v>203.85</v>
      </c>
      <c r="U77" s="170" t="s">
        <v>10</v>
      </c>
      <c r="V77" s="170">
        <v>-5</v>
      </c>
      <c r="W77" s="170">
        <f>J66</f>
        <v>185.3</v>
      </c>
    </row>
    <row r="78" spans="1:23">
      <c r="D78"/>
      <c r="F78" s="157">
        <v>95</v>
      </c>
      <c r="G78" s="157">
        <v>211.37</v>
      </c>
      <c r="H78" s="157">
        <v>248.33333333333334</v>
      </c>
      <c r="I78" s="157">
        <v>222.43</v>
      </c>
      <c r="J78" s="157">
        <v>199.68</v>
      </c>
      <c r="L78" s="170" t="s">
        <v>10</v>
      </c>
      <c r="M78" s="170">
        <v>-7.5</v>
      </c>
      <c r="N78" s="170">
        <f>G73</f>
        <v>196.7</v>
      </c>
      <c r="O78" s="170" t="s">
        <v>10</v>
      </c>
      <c r="P78" s="170">
        <v>-7.5</v>
      </c>
      <c r="Q78" s="170">
        <f>H73</f>
        <v>533.33333333333337</v>
      </c>
      <c r="R78" s="170" t="s">
        <v>10</v>
      </c>
      <c r="S78" s="170">
        <v>-7.5</v>
      </c>
      <c r="T78" s="170">
        <f>I73</f>
        <v>206.03</v>
      </c>
      <c r="U78" s="170" t="s">
        <v>10</v>
      </c>
      <c r="V78" s="170">
        <v>-7.5</v>
      </c>
      <c r="W78" s="170">
        <f>J73</f>
        <v>186.88</v>
      </c>
    </row>
    <row r="79" spans="1:23">
      <c r="A79">
        <v>1</v>
      </c>
      <c r="F79" s="157">
        <v>92.5</v>
      </c>
      <c r="G79" s="157">
        <v>204.89</v>
      </c>
      <c r="H79" s="157">
        <v>386.66666666666669</v>
      </c>
      <c r="I79" s="157">
        <v>215.19</v>
      </c>
      <c r="J79" s="157">
        <v>194.02</v>
      </c>
      <c r="L79" s="169" t="s">
        <v>10</v>
      </c>
      <c r="M79" s="170">
        <v>-10</v>
      </c>
      <c r="N79" s="170">
        <f>G80</f>
        <v>198.49</v>
      </c>
      <c r="O79" s="170" t="s">
        <v>10</v>
      </c>
      <c r="P79" s="170">
        <v>-10</v>
      </c>
      <c r="Q79" s="170">
        <f>H80</f>
        <v>506.66666666666669</v>
      </c>
      <c r="R79" s="170" t="s">
        <v>10</v>
      </c>
      <c r="S79" s="170">
        <v>-10</v>
      </c>
      <c r="T79" s="170">
        <f>I80</f>
        <v>208.88</v>
      </c>
      <c r="U79" s="170" t="s">
        <v>10</v>
      </c>
      <c r="V79" s="170">
        <v>-10</v>
      </c>
      <c r="W79" s="170">
        <f>J80</f>
        <v>188.37</v>
      </c>
    </row>
    <row r="80" spans="1:23">
      <c r="F80" s="157">
        <v>90</v>
      </c>
      <c r="G80" s="157">
        <v>198.49</v>
      </c>
      <c r="H80" s="157">
        <v>506.66666666666669</v>
      </c>
      <c r="I80" s="157">
        <v>208.88</v>
      </c>
      <c r="J80" s="157">
        <v>188.37</v>
      </c>
      <c r="L80" s="169" t="s">
        <v>11</v>
      </c>
      <c r="M80" s="9">
        <f>$B$2</f>
        <v>6.0220000000000002</v>
      </c>
      <c r="N80" s="178">
        <f>N75*(M80-M77)*(M80-M79)*(M80-M76)*(M80-M78)/((M75-M77)*(M75-M79)*(M75-M76)*(M75-M78))+N77*(M80-M75)*(M80-M79)*(M80-M76)*(M80-M78)/((M77-M75)*(M77-M79)*(M77-M76)*(M77-M78))+N79*(M80-M75)*(M80-M77)*(M80-M76)*(M80-M78)/((M79-M75)*(M79-M77)*(M79-M76)*(M79-M78))+N76*(M80-M77)*(M80-M79)*(M80-M75)*(M80-M78)/((M76-M77)*(M76-M79)*(M76-M75)*(M76-M78))+N78*(M80-M77)*(M80-M79)*(M80-M75)*(M80-M76)/((M78-M77)*(M78-M79)*(M78-M75)*(M78-M76))</f>
        <v>184.77563119730075</v>
      </c>
      <c r="O80" s="169" t="s">
        <v>11</v>
      </c>
      <c r="P80" s="9">
        <f>$B$2</f>
        <v>6.0220000000000002</v>
      </c>
      <c r="Q80" s="178">
        <f>Q75*(P80-P77)*(P80-P79)*(P80-P76)*(P80-P78)/((P75-P77)*(P75-P79)*(P75-P76)*(P75-P78))+Q77*(P80-P75)*(P80-P79)*(P80-P76)*(P80-P78)/((P77-P75)*(P77-P79)*(P77-P76)*(P77-P78))+Q79*(P80-P75)*(P80-P77)*(P80-P76)*(P80-P78)/((P79-P75)*(P79-P77)*(P79-P76)*(P79-P78))+Q76*(P80-P77)*(P80-P79)*(P80-P75)*(P80-P78)/((P76-P77)*(P76-P79)*(P76-P75)*(P76-P78))+Q78*(P80-P77)*(P80-P79)*(P80-P75)*(P80-P76)/((P78-P77)*(P78-P79)*(P78-P75)*(P78-P76))</f>
        <v>752.69546877246103</v>
      </c>
      <c r="R80" s="169" t="s">
        <v>11</v>
      </c>
      <c r="S80" s="9">
        <f>$B$2</f>
        <v>6.0220000000000002</v>
      </c>
      <c r="T80" s="178">
        <f>T75*(S80-S77)*(S80-S79)*(S80-S76)*(S80-S78)/((S75-S77)*(S75-S79)*(S75-S76)*(S75-S78))+T77*(S80-S75)*(S80-S79)*(S80-S76)*(S80-S78)/((S77-S75)*(S77-S79)*(S77-S76)*(S77-S78))+T79*(S80-S75)*(S80-S77)*(S80-S76)*(S80-S78)/((S79-S75)*(S79-S77)*(S79-S76)*(S79-S78))+T76*(S80-S77)*(S80-S79)*(S80-S75)*(S80-S78)/((S76-S77)*(S76-S79)*(S76-S75)*(S76-S78))+T78*(S80-S77)*(S80-S79)*(S80-S75)*(S80-S76)/((S78-S77)*(S78-S79)*(S78-S75)*(S78-S76))</f>
        <v>198.78150728297351</v>
      </c>
      <c r="U80" s="169" t="s">
        <v>11</v>
      </c>
      <c r="V80" s="9">
        <f>$B$2</f>
        <v>6.0220000000000002</v>
      </c>
      <c r="W80" s="178">
        <f>W75*(V80-V77)*(V80-V79)*(V80-V76)*(V80-V78)/((V75-V77)*(V75-V79)*(V75-V76)*(V75-V78))+W77*(V80-V75)*(V80-V79)*(V80-V76)*(V80-V78)/((V77-V75)*(V77-V79)*(V77-V76)*(V77-V78))+W79*(V80-V75)*(V80-V77)*(V80-V76)*(V80-V78)/((V79-V75)*(V79-V77)*(V79-V76)*(V79-V78))+W76*(V80-V77)*(V80-V79)*(V80-V75)*(V80-V78)/((V76-V77)*(V76-V79)*(V76-V75)*(V76-V78))+W78*(V80-V77)*(V80-V79)*(V80-V75)*(V80-V76)/((V78-V77)*(V78-V79)*(V78-V75)*(V78-V76))</f>
        <v>177.3651373534376</v>
      </c>
    </row>
    <row r="82" spans="5:22">
      <c r="E82" s="159" t="s">
        <v>188</v>
      </c>
      <c r="F82" s="159" t="s">
        <v>189</v>
      </c>
      <c r="G82" s="159" t="s">
        <v>137</v>
      </c>
      <c r="H82" s="159" t="s">
        <v>190</v>
      </c>
      <c r="I82" s="159" t="s">
        <v>6</v>
      </c>
      <c r="J82" s="159" t="s">
        <v>197</v>
      </c>
      <c r="N82" s="1" t="s">
        <v>38</v>
      </c>
      <c r="R82" s="14" t="s">
        <v>6</v>
      </c>
      <c r="S82" s="1" t="s">
        <v>14</v>
      </c>
      <c r="T82" s="1" t="s">
        <v>187</v>
      </c>
      <c r="U82" s="14" t="s">
        <v>195</v>
      </c>
      <c r="V82" s="14" t="s">
        <v>196</v>
      </c>
    </row>
    <row r="83" spans="5:22">
      <c r="E83" s="11">
        <f>Q52*A79</f>
        <v>61.585752665793734</v>
      </c>
      <c r="F83" s="157">
        <f>(E83+H83)/2</f>
        <v>120.01309885158344</v>
      </c>
      <c r="G83" s="11">
        <f>E83-F83</f>
        <v>-58.427346185789702</v>
      </c>
      <c r="H83" s="11">
        <f>Q7*A79</f>
        <v>178.44044503737314</v>
      </c>
      <c r="I83" s="160">
        <f>$N$52*($B$16--1)/((1--1))+$N$7*($B$16-1)/((-1-1))</f>
        <v>214.94606910812456</v>
      </c>
      <c r="J83" s="160">
        <f>I83*($B$24-9)*($B$24--9)/((0-9)*(0--9))+U83*($B$24-0)*($B$24--9)/((9-0)*(9--9))+V83*($B$24-0)*($B$24-9)/((-9-0)*(-9-9))</f>
        <v>216.00383294692048</v>
      </c>
      <c r="L83" s="157">
        <v>100</v>
      </c>
      <c r="M83" s="157">
        <f>G48</f>
        <v>218.82</v>
      </c>
      <c r="N83" s="11">
        <f>R83*((Q83-(100/360))-Q84)*((Q83-(100/360))-Q85)/((Q83-Q84)*(Q83-Q85))+R84*((Q83-(100/360))-Q83)*((Q83-(100/360))-Q85)/((Q84-Q83)*(Q84-Q85))+R85*((Q83-(100/360))-Q83)*((Q83-(100/360))-Q84)/((Q85-Q83)*(Q85-Q84))</f>
        <v>218.03012345679011</v>
      </c>
      <c r="O83" s="157">
        <f>T83</f>
        <v>218.3</v>
      </c>
      <c r="Q83" s="157">
        <v>100</v>
      </c>
      <c r="R83" s="157">
        <f>G48</f>
        <v>218.82</v>
      </c>
      <c r="S83" s="11">
        <v>219.34</v>
      </c>
      <c r="T83" s="157">
        <v>218.3</v>
      </c>
      <c r="U83" s="11">
        <f>T52</f>
        <v>225.75753930240353</v>
      </c>
      <c r="V83" s="11">
        <f>W52</f>
        <v>205.08648898136744</v>
      </c>
    </row>
    <row r="84" spans="5:22">
      <c r="E84" s="11">
        <f>Q59*A79</f>
        <v>317.24903446309872</v>
      </c>
      <c r="F84" s="157">
        <f>(E84+H84)/2</f>
        <v>232.20628601777389</v>
      </c>
      <c r="G84" s="11">
        <f>E84-F84</f>
        <v>85.042748445324833</v>
      </c>
      <c r="H84" s="11">
        <f>Q14*A79</f>
        <v>147.16353757244906</v>
      </c>
      <c r="I84" s="160">
        <f>$N$59*($B$16--1)/((1--1))+$N$14*($B$16-1)/((-1-1))</f>
        <v>207.73936872249075</v>
      </c>
      <c r="J84" s="160">
        <f t="shared" ref="J84:J87" si="4">I84*($B$24-9)*($B$24--9)/((0-9)*(0--9))+U84*($B$24-0)*($B$24--9)/((9-0)*(9--9))+V84*($B$24-0)*($B$24-9)/((-9-0)*(-9-9))</f>
        <v>210.91221324652665</v>
      </c>
      <c r="L84" s="10">
        <v>97.5</v>
      </c>
      <c r="M84" s="157">
        <f>G49</f>
        <v>211.72</v>
      </c>
      <c r="N84" s="11">
        <f>R86*((Q84-(100/360))-Q84)*((Q84-(100/360))-Q85)/((Q86-Q84)*(Q86-Q85))+R84*((Q84-(100/360))-Q86)*((Q84-(100/360))-Q85)/((Q84-Q86)*(Q84-Q85))+R85*((Q84-(100/360))-Q86)*((Q84-(100/360))-Q84)/((Q85-Q86)*(Q85-Q84))</f>
        <v>210.93086419753087</v>
      </c>
      <c r="O84" s="157">
        <f t="shared" ref="O84:O87" si="5">T84</f>
        <v>211.23</v>
      </c>
      <c r="Q84" s="10">
        <v>97.5</v>
      </c>
      <c r="R84" s="157">
        <f>G49</f>
        <v>211.72</v>
      </c>
      <c r="S84" s="11">
        <v>212.22</v>
      </c>
      <c r="T84" s="157">
        <v>211.23</v>
      </c>
      <c r="U84" s="11">
        <f>T59</f>
        <v>255.92331657513023</v>
      </c>
      <c r="V84" s="11">
        <f>W59</f>
        <v>197.49249913445055</v>
      </c>
    </row>
    <row r="85" spans="5:22">
      <c r="E85" s="11">
        <f>Q66*A79</f>
        <v>498.13737642841443</v>
      </c>
      <c r="F85" s="157">
        <f>(E85+H85)/2</f>
        <v>148.60969243467798</v>
      </c>
      <c r="G85" s="11">
        <f>E85-F85</f>
        <v>349.52768399373645</v>
      </c>
      <c r="H85" s="11">
        <f>Q21*A79</f>
        <v>-200.91799155905846</v>
      </c>
      <c r="I85" s="160">
        <f>$N$66*($B$16--1)/((1--1))+$N$21*($B$16-1)/((-1-1))</f>
        <v>200.18566422863748</v>
      </c>
      <c r="J85" s="160">
        <f t="shared" si="4"/>
        <v>201.10112427844786</v>
      </c>
      <c r="L85" s="10">
        <v>95</v>
      </c>
      <c r="M85" s="157">
        <f>G50</f>
        <v>204.64</v>
      </c>
      <c r="N85" s="10">
        <f>R86*((Q85-(100/360))-Q87)*((Q85-(100/360))-Q85)/((Q86-Q87)*(Q86-Q85))+R87*((Q85-(100/360))-Q86)*((Q85-(100/360))-Q85)/((Q87-Q86)*(Q87-Q85))+R85*((Q85-(100/360))-Q86)*((Q85-(100/360))-Q87)/((Q85-Q86)*(Q85-Q87))</f>
        <v>203.85543209876548</v>
      </c>
      <c r="O85" s="157">
        <f t="shared" si="5"/>
        <v>204.17</v>
      </c>
      <c r="Q85" s="10">
        <v>95</v>
      </c>
      <c r="R85" s="157">
        <f>G50</f>
        <v>204.64</v>
      </c>
      <c r="S85" s="10">
        <v>205.11</v>
      </c>
      <c r="T85" s="10">
        <v>204.17</v>
      </c>
      <c r="U85" s="11">
        <f>T66</f>
        <v>208.88730924985612</v>
      </c>
      <c r="V85" s="11">
        <f>W66</f>
        <v>190.84853816682789</v>
      </c>
    </row>
    <row r="86" spans="5:22">
      <c r="E86" s="11">
        <f>Q73*A79</f>
        <v>691.86976148882786</v>
      </c>
      <c r="F86" s="157">
        <f>(E86+H86)/2</f>
        <v>221.91816609597484</v>
      </c>
      <c r="G86" s="11">
        <f>E86-F86</f>
        <v>469.95159539285305</v>
      </c>
      <c r="H86" s="11">
        <f>Q28*A79</f>
        <v>-248.03342929687818</v>
      </c>
      <c r="I86" s="160">
        <f>$N$73*($B$16--1)/((1--1))+$N$28*($B$16-1)/((-1-1))</f>
        <v>192.53831188032007</v>
      </c>
      <c r="J86" s="160">
        <f t="shared" si="4"/>
        <v>193.37160001190099</v>
      </c>
      <c r="L86" s="10">
        <v>92.5</v>
      </c>
      <c r="M86" s="157">
        <f>G51</f>
        <v>197.61</v>
      </c>
      <c r="N86" s="10">
        <f>R86*((Q86-(100/360))-Q87)*((Q86-(100/360))-Q85)/((Q86-Q87)*(Q86-Q85))+R87*((Q86-(100/360))-Q86)*((Q86-(100/360))-Q85)/((Q87-Q86)*(Q87-Q85))+R85*((Q86-(100/360))-Q86)*((Q86-(100/360))-Q87)/((Q85-Q86)*(Q85-Q87))</f>
        <v>196.83320987654324</v>
      </c>
      <c r="O86" s="157">
        <f t="shared" si="5"/>
        <v>197.16</v>
      </c>
      <c r="Q86" s="10">
        <v>92.5</v>
      </c>
      <c r="R86" s="157">
        <f>G51</f>
        <v>197.61</v>
      </c>
      <c r="S86" s="10">
        <v>198.05</v>
      </c>
      <c r="T86" s="10">
        <v>197.16</v>
      </c>
      <c r="U86" s="11">
        <f>T73</f>
        <v>200.88435171444144</v>
      </c>
      <c r="V86" s="11">
        <f>W73</f>
        <v>184.56125401184272</v>
      </c>
    </row>
    <row r="87" spans="5:22">
      <c r="E87" s="11">
        <f>Q80*A79</f>
        <v>752.69546877246103</v>
      </c>
      <c r="F87" s="157">
        <f>(E87+H87)/2</f>
        <v>263.09500260176401</v>
      </c>
      <c r="G87" s="11">
        <f>E87-F87</f>
        <v>489.60046617069702</v>
      </c>
      <c r="H87" s="11">
        <f>Q35*A79</f>
        <v>-226.50546356893301</v>
      </c>
      <c r="I87" s="160">
        <f>$N$80*($B$16--1)/((1--1))+$N$35*($B$16-1)/((-1-1))</f>
        <v>184.78323866803566</v>
      </c>
      <c r="J87" s="160">
        <f t="shared" si="4"/>
        <v>185.90816406794647</v>
      </c>
      <c r="L87" s="10">
        <v>90</v>
      </c>
      <c r="M87" s="157">
        <f>G52</f>
        <v>190.65</v>
      </c>
      <c r="N87" s="10">
        <f>R86*((Q87-(100/360))-Q87)*((Q87-(100/360))-Q85)/((Q86-Q87)*(Q86-Q85))+R87*((Q87-(100/360))-Q86)*((Q87-(100/360))-Q85)/((Q87-Q86)*(Q87-Q85))+R85*((Q87-(100/360))-Q86)*((Q87-(100/360))-Q87)/((Q85-Q86)*(Q85-Q87))</f>
        <v>189.88098765432099</v>
      </c>
      <c r="O87" s="157">
        <f t="shared" si="5"/>
        <v>190.23</v>
      </c>
      <c r="Q87" s="10">
        <v>90</v>
      </c>
      <c r="R87" s="157">
        <f>G52</f>
        <v>190.65</v>
      </c>
      <c r="S87" s="10">
        <v>191.07</v>
      </c>
      <c r="T87" s="10">
        <v>190.23</v>
      </c>
      <c r="U87" s="11">
        <f>T80</f>
        <v>198.78150728297351</v>
      </c>
      <c r="V87" s="11">
        <f>W80</f>
        <v>177.3651373534376</v>
      </c>
    </row>
  </sheetData>
  <mergeCells count="6">
    <mergeCell ref="A71:B71"/>
    <mergeCell ref="C1:E1"/>
    <mergeCell ref="A26:B26"/>
    <mergeCell ref="F46:J46"/>
    <mergeCell ref="F1:J1"/>
    <mergeCell ref="C46:E46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BD127"/>
  <sheetViews>
    <sheetView zoomScale="70" zoomScaleNormal="70" workbookViewId="0">
      <selection activeCell="H27" sqref="H27"/>
    </sheetView>
  </sheetViews>
  <sheetFormatPr defaultRowHeight="15"/>
  <cols>
    <col min="1" max="2" width="9.85546875" customWidth="1"/>
    <col min="4" max="4" width="10" style="1" customWidth="1"/>
    <col min="14" max="14" width="11.5703125" bestFit="1" customWidth="1"/>
  </cols>
  <sheetData>
    <row r="1" spans="1:56">
      <c r="A1" s="7" t="s">
        <v>0</v>
      </c>
      <c r="B1" s="26">
        <f>Plan1!$B$1</f>
        <v>246.59</v>
      </c>
      <c r="C1" s="238" t="s">
        <v>46</v>
      </c>
      <c r="D1" s="238"/>
      <c r="E1" s="238"/>
      <c r="F1" s="268" t="s">
        <v>191</v>
      </c>
      <c r="G1" s="268"/>
      <c r="H1" s="268"/>
      <c r="I1" s="268"/>
      <c r="J1" s="268"/>
      <c r="K1" s="158"/>
      <c r="N1" s="1" t="s">
        <v>12</v>
      </c>
      <c r="O1" s="1"/>
      <c r="P1" s="1"/>
      <c r="Q1" s="1" t="s">
        <v>13</v>
      </c>
      <c r="R1" s="1"/>
      <c r="S1" s="1"/>
      <c r="T1" s="1" t="s">
        <v>8</v>
      </c>
      <c r="U1" s="1"/>
      <c r="V1" s="1"/>
      <c r="W1" s="1" t="s">
        <v>9</v>
      </c>
      <c r="AB1" s="176"/>
      <c r="AD1" s="7" t="s">
        <v>0</v>
      </c>
      <c r="AE1" s="26">
        <f>Plan1!$B$1</f>
        <v>246.59</v>
      </c>
      <c r="AF1" s="238" t="s">
        <v>46</v>
      </c>
      <c r="AG1" s="238"/>
      <c r="AH1" s="238"/>
      <c r="AI1" s="268" t="s">
        <v>191</v>
      </c>
      <c r="AJ1" s="268"/>
      <c r="AK1" s="268"/>
      <c r="AL1" s="268"/>
      <c r="AM1" s="268"/>
      <c r="AN1" s="158"/>
      <c r="AQ1" s="1" t="s">
        <v>12</v>
      </c>
      <c r="AR1" s="1"/>
      <c r="AS1" s="1"/>
      <c r="AT1" s="1" t="s">
        <v>13</v>
      </c>
      <c r="AU1" s="1"/>
      <c r="AV1" s="1"/>
      <c r="AW1" s="1" t="s">
        <v>8</v>
      </c>
      <c r="AX1" s="1"/>
      <c r="AY1" s="1"/>
      <c r="AZ1" s="1" t="s">
        <v>9</v>
      </c>
    </row>
    <row r="2" spans="1:56">
      <c r="A2" s="7" t="s">
        <v>1</v>
      </c>
      <c r="B2" s="27">
        <f>Plan1!$B$2</f>
        <v>6.0220000000000002</v>
      </c>
      <c r="C2" s="5"/>
      <c r="D2" s="26">
        <f>A9</f>
        <v>246.57342556553317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173" t="s">
        <v>10</v>
      </c>
      <c r="M2" s="173">
        <v>0</v>
      </c>
      <c r="N2" s="173">
        <f>G3</f>
        <v>252.08</v>
      </c>
      <c r="O2" s="173" t="s">
        <v>10</v>
      </c>
      <c r="P2" s="173">
        <v>0</v>
      </c>
      <c r="Q2" s="173">
        <f>H3</f>
        <v>610</v>
      </c>
      <c r="R2" s="173" t="s">
        <v>10</v>
      </c>
      <c r="S2" s="173">
        <v>0</v>
      </c>
      <c r="T2" s="173">
        <f>I3</f>
        <v>262.92</v>
      </c>
      <c r="U2" s="173" t="s">
        <v>10</v>
      </c>
      <c r="V2" s="173">
        <v>0</v>
      </c>
      <c r="W2" s="173">
        <f>J3</f>
        <v>241.21</v>
      </c>
      <c r="Z2" s="163">
        <v>100</v>
      </c>
      <c r="AA2" s="163">
        <f>G38</f>
        <v>322.22892912218458</v>
      </c>
      <c r="AB2" s="176"/>
      <c r="AD2" s="7" t="s">
        <v>1</v>
      </c>
      <c r="AE2" s="27">
        <f>Plan1!$B$2</f>
        <v>6.0220000000000002</v>
      </c>
      <c r="AF2" s="5"/>
      <c r="AG2" s="26">
        <f>A9</f>
        <v>246.57342556553317</v>
      </c>
      <c r="AI2" s="15">
        <v>0</v>
      </c>
      <c r="AJ2" s="7" t="s">
        <v>6</v>
      </c>
      <c r="AK2" s="7" t="s">
        <v>7</v>
      </c>
      <c r="AL2" s="7" t="s">
        <v>8</v>
      </c>
      <c r="AM2" s="7" t="s">
        <v>9</v>
      </c>
      <c r="AO2" s="174" t="s">
        <v>27</v>
      </c>
      <c r="AP2" s="174">
        <v>0</v>
      </c>
      <c r="AQ2" s="174">
        <f>AJ3</f>
        <v>252.02</v>
      </c>
      <c r="AR2" s="174" t="s">
        <v>10</v>
      </c>
      <c r="AS2" s="174">
        <v>0</v>
      </c>
      <c r="AT2" s="174">
        <f>AK3</f>
        <v>610</v>
      </c>
      <c r="AU2" s="174" t="s">
        <v>10</v>
      </c>
      <c r="AV2" s="174">
        <v>0</v>
      </c>
      <c r="AW2" s="174">
        <f>AL3</f>
        <v>262.92</v>
      </c>
      <c r="AX2" s="174" t="s">
        <v>10</v>
      </c>
      <c r="AY2" s="174">
        <v>0</v>
      </c>
      <c r="AZ2" s="174">
        <f>AM3</f>
        <v>241.21</v>
      </c>
      <c r="BC2" s="163">
        <v>100</v>
      </c>
      <c r="BD2" s="163">
        <f>AJ38</f>
        <v>205.11656046701313</v>
      </c>
    </row>
    <row r="3" spans="1:56">
      <c r="A3" s="7" t="s">
        <v>2</v>
      </c>
      <c r="B3" s="27">
        <f>Plan1!$B$3</f>
        <v>1</v>
      </c>
      <c r="C3" s="5"/>
      <c r="D3" s="26">
        <f>A9</f>
        <v>246.57342556553317</v>
      </c>
      <c r="F3" s="173">
        <v>100</v>
      </c>
      <c r="G3" s="173">
        <v>252.08</v>
      </c>
      <c r="H3" s="173">
        <v>610</v>
      </c>
      <c r="I3" s="173">
        <v>262.92</v>
      </c>
      <c r="J3" s="173">
        <v>241.21</v>
      </c>
      <c r="L3" s="173" t="s">
        <v>10</v>
      </c>
      <c r="M3" s="173">
        <v>-2.5</v>
      </c>
      <c r="N3" s="173">
        <f>G10</f>
        <v>253.66</v>
      </c>
      <c r="O3" s="173" t="s">
        <v>10</v>
      </c>
      <c r="P3" s="173">
        <v>-2.5</v>
      </c>
      <c r="Q3" s="173">
        <f>H10</f>
        <v>700</v>
      </c>
      <c r="R3" s="173" t="s">
        <v>10</v>
      </c>
      <c r="S3" s="173">
        <v>-2.5</v>
      </c>
      <c r="T3" s="173">
        <f>I10</f>
        <v>264.79000000000002</v>
      </c>
      <c r="U3" s="173" t="s">
        <v>10</v>
      </c>
      <c r="V3" s="173">
        <v>-2.5</v>
      </c>
      <c r="W3" s="173">
        <f>J10</f>
        <v>242.5</v>
      </c>
      <c r="Z3" s="163">
        <v>97.5</v>
      </c>
      <c r="AA3" s="163">
        <f>G39</f>
        <v>191.82224141577115</v>
      </c>
      <c r="AB3" s="176"/>
      <c r="AD3" s="7" t="s">
        <v>2</v>
      </c>
      <c r="AE3" s="27">
        <f>Plan1!$B$3</f>
        <v>1</v>
      </c>
      <c r="AF3" s="5"/>
      <c r="AG3" s="26">
        <f>AD9</f>
        <v>258.43625000000003</v>
      </c>
      <c r="AI3" s="174">
        <v>100</v>
      </c>
      <c r="AJ3" s="175">
        <v>252.02</v>
      </c>
      <c r="AK3" s="175">
        <v>610</v>
      </c>
      <c r="AL3" s="175">
        <v>262.92</v>
      </c>
      <c r="AM3" s="175">
        <v>241.21</v>
      </c>
      <c r="AO3" s="174" t="s">
        <v>27</v>
      </c>
      <c r="AP3" s="174">
        <v>2.5</v>
      </c>
      <c r="AQ3" s="174">
        <f>AJ10</f>
        <v>250.34</v>
      </c>
      <c r="AR3" s="174" t="s">
        <v>10</v>
      </c>
      <c r="AS3" s="174">
        <v>2.5</v>
      </c>
      <c r="AT3" s="174">
        <f>AK10</f>
        <v>516.66666666666799</v>
      </c>
      <c r="AU3" s="174" t="s">
        <v>10</v>
      </c>
      <c r="AV3" s="174">
        <v>2.5</v>
      </c>
      <c r="AW3" s="174">
        <f>AL10</f>
        <v>260.94</v>
      </c>
      <c r="AX3" s="174" t="s">
        <v>10</v>
      </c>
      <c r="AY3" s="174">
        <v>2.5</v>
      </c>
      <c r="AZ3" s="174">
        <f>AM10</f>
        <v>239.84</v>
      </c>
      <c r="BC3" s="163">
        <v>97.5</v>
      </c>
      <c r="BD3" s="163">
        <f>AJ39</f>
        <v>185.18749429837334</v>
      </c>
    </row>
    <row r="4" spans="1:56">
      <c r="A4" s="7" t="s">
        <v>3</v>
      </c>
      <c r="B4" s="28">
        <f>Plan1!$B$4</f>
        <v>106.667</v>
      </c>
      <c r="C4" s="3"/>
      <c r="D4" s="26">
        <f>D2</f>
        <v>246.57342556553317</v>
      </c>
      <c r="F4" s="173">
        <v>97.5</v>
      </c>
      <c r="G4" s="173">
        <v>244.02</v>
      </c>
      <c r="H4" s="173">
        <v>185</v>
      </c>
      <c r="I4" s="173">
        <v>254.03</v>
      </c>
      <c r="J4" s="173">
        <v>234.19</v>
      </c>
      <c r="K4" s="16"/>
      <c r="L4" s="173" t="s">
        <v>10</v>
      </c>
      <c r="M4" s="173">
        <v>-5</v>
      </c>
      <c r="N4" s="173">
        <f>G17</f>
        <v>255.15</v>
      </c>
      <c r="O4" s="173" t="s">
        <v>10</v>
      </c>
      <c r="P4" s="173">
        <v>-5</v>
      </c>
      <c r="Q4" s="173">
        <f>H17</f>
        <v>790</v>
      </c>
      <c r="R4" s="173" t="s">
        <v>10</v>
      </c>
      <c r="S4" s="173">
        <v>-5</v>
      </c>
      <c r="T4" s="173">
        <f>I17</f>
        <v>266.57</v>
      </c>
      <c r="U4" s="173" t="s">
        <v>10</v>
      </c>
      <c r="V4" s="173">
        <v>-5</v>
      </c>
      <c r="W4" s="173">
        <f>J17</f>
        <v>243.41</v>
      </c>
      <c r="Z4" s="163">
        <v>95</v>
      </c>
      <c r="AA4" s="163">
        <f>G40</f>
        <v>577.31448962866898</v>
      </c>
      <c r="AB4" s="176"/>
      <c r="AD4" s="7" t="s">
        <v>3</v>
      </c>
      <c r="AE4" s="28">
        <f>Plan1!$B$4</f>
        <v>106.667</v>
      </c>
      <c r="AF4" s="3"/>
      <c r="AG4" s="26">
        <f>AG2</f>
        <v>246.57342556553317</v>
      </c>
      <c r="AI4" s="174">
        <v>97.5</v>
      </c>
      <c r="AJ4" s="175">
        <v>243.97</v>
      </c>
      <c r="AK4" s="175">
        <v>185</v>
      </c>
      <c r="AL4" s="175">
        <v>254.03</v>
      </c>
      <c r="AM4" s="175">
        <v>234.19</v>
      </c>
      <c r="AN4" s="16">
        <v>100</v>
      </c>
      <c r="AO4" s="174" t="s">
        <v>27</v>
      </c>
      <c r="AP4" s="174">
        <v>5</v>
      </c>
      <c r="AQ4" s="174">
        <f>AJ17</f>
        <v>248.56</v>
      </c>
      <c r="AR4" s="174" t="s">
        <v>10</v>
      </c>
      <c r="AS4" s="174">
        <v>5</v>
      </c>
      <c r="AT4" s="174">
        <f>AK17</f>
        <v>420</v>
      </c>
      <c r="AU4" s="174" t="s">
        <v>10</v>
      </c>
      <c r="AV4" s="174">
        <v>5</v>
      </c>
      <c r="AW4" s="174">
        <f>AL17</f>
        <v>258.83999999999997</v>
      </c>
      <c r="AX4" s="174" t="s">
        <v>10</v>
      </c>
      <c r="AY4" s="174">
        <v>5</v>
      </c>
      <c r="AZ4" s="174">
        <f>AM17</f>
        <v>238.36</v>
      </c>
      <c r="BC4" s="163">
        <v>95</v>
      </c>
      <c r="BD4" s="163">
        <f>AJ40</f>
        <v>166.95254501170524</v>
      </c>
    </row>
    <row r="5" spans="1:56">
      <c r="A5" s="7" t="s">
        <v>4</v>
      </c>
      <c r="B5" s="7">
        <f>Plan1!B5*B8</f>
        <v>-1.6574434466824872</v>
      </c>
      <c r="C5" s="2"/>
      <c r="F5" s="173">
        <v>95</v>
      </c>
      <c r="G5" s="173">
        <v>235.84</v>
      </c>
      <c r="H5" s="173">
        <v>-181.6666666666668</v>
      </c>
      <c r="I5" s="173">
        <v>244.78</v>
      </c>
      <c r="J5" s="173">
        <v>226.93</v>
      </c>
      <c r="K5" s="16"/>
      <c r="L5" s="173" t="s">
        <v>10</v>
      </c>
      <c r="M5" s="173">
        <v>-7.5</v>
      </c>
      <c r="N5" s="173">
        <f>G24</f>
        <v>256.57</v>
      </c>
      <c r="O5" s="173" t="s">
        <v>10</v>
      </c>
      <c r="P5" s="173">
        <v>-7.5</v>
      </c>
      <c r="Q5" s="173">
        <f>H24</f>
        <v>875</v>
      </c>
      <c r="R5" s="173" t="s">
        <v>10</v>
      </c>
      <c r="S5" s="173">
        <v>-7.5</v>
      </c>
      <c r="T5" s="173">
        <f>I24</f>
        <v>268.26</v>
      </c>
      <c r="U5" s="173" t="s">
        <v>10</v>
      </c>
      <c r="V5" s="173">
        <v>-7.5</v>
      </c>
      <c r="W5" s="173">
        <f>J24</f>
        <v>244.54999999999998</v>
      </c>
      <c r="Z5" s="163">
        <v>92.5</v>
      </c>
      <c r="AA5" s="163">
        <f>G41</f>
        <v>120.88119089616657</v>
      </c>
      <c r="AB5" s="176"/>
      <c r="AD5" s="7" t="s">
        <v>4</v>
      </c>
      <c r="AE5" s="7">
        <f>Plan1!B5*AE8</f>
        <v>-1.6100879196344162</v>
      </c>
      <c r="AF5" s="2"/>
      <c r="AG5" s="1"/>
      <c r="AI5" s="174">
        <v>95</v>
      </c>
      <c r="AJ5" s="175">
        <v>235.79</v>
      </c>
      <c r="AK5" s="175">
        <v>-181.6666666666668</v>
      </c>
      <c r="AL5" s="175">
        <v>244.78</v>
      </c>
      <c r="AM5" s="175">
        <v>226.93</v>
      </c>
      <c r="AN5" s="16"/>
      <c r="AO5" s="174" t="s">
        <v>27</v>
      </c>
      <c r="AP5" s="174">
        <v>7.5</v>
      </c>
      <c r="AQ5" s="174">
        <f>AJ24</f>
        <v>246.65</v>
      </c>
      <c r="AR5" s="174" t="s">
        <v>10</v>
      </c>
      <c r="AS5" s="174">
        <v>7.5</v>
      </c>
      <c r="AT5" s="174">
        <f>AK24</f>
        <v>323.33333333333337</v>
      </c>
      <c r="AU5" s="174" t="s">
        <v>10</v>
      </c>
      <c r="AV5" s="174">
        <v>7.5</v>
      </c>
      <c r="AW5" s="174">
        <f>AL24</f>
        <v>256.61</v>
      </c>
      <c r="AX5" s="174" t="s">
        <v>10</v>
      </c>
      <c r="AY5" s="174">
        <v>7.5</v>
      </c>
      <c r="AZ5" s="174">
        <f>AM24</f>
        <v>236.77</v>
      </c>
      <c r="BC5" s="163">
        <v>92.5</v>
      </c>
      <c r="BD5" s="163">
        <f>AJ41</f>
        <v>148.98880455321091</v>
      </c>
    </row>
    <row r="6" spans="1:56">
      <c r="A6" s="7" t="s">
        <v>5</v>
      </c>
      <c r="B6" s="29">
        <f>Plan1!B6</f>
        <v>0.85</v>
      </c>
      <c r="C6" s="6"/>
      <c r="D6" s="165">
        <f>G38*(D2-J39)*(D2-J40)*(D2-J41)*(D2-J42)/((J38-J39)*(J38-J40)*(J38-J41)*(J38-J42))+G39*(D2-J38)*(D2-J40)*(D2-J41)*(D2-J42)/((J39-J38)*(J39-J40)*(J39-J41)*(J39-J42))+G40*(D2-J39)*(D2-J38)*(D2-J41)*(D2-J42)/((J40-J39)*(J40-J39)*(J40-J41)*(J40-J42))+G41*(D2-J39)*(D2-J40)*(D2-J38)*(D2-J42)/((J41-J39)*(J41-J40)*(J41-J38)*(J41-J42))+G42*(D2-J39)*(D2-J40)*(D2-J41)*(D2-J38)/((J42-J39)*(J42-J40)*(J42-J41)*(J42-J38))</f>
        <v>63.485385755566355</v>
      </c>
      <c r="F6" s="173">
        <v>92.5</v>
      </c>
      <c r="G6" s="173">
        <v>227.59</v>
      </c>
      <c r="H6" s="173">
        <v>-493.33333333333201</v>
      </c>
      <c r="I6" s="173">
        <v>235.72</v>
      </c>
      <c r="J6" s="173">
        <v>219.5</v>
      </c>
      <c r="K6" s="1"/>
      <c r="L6" s="173" t="s">
        <v>10</v>
      </c>
      <c r="M6" s="173">
        <v>-10</v>
      </c>
      <c r="N6" s="173">
        <f>G31</f>
        <v>257.91000000000003</v>
      </c>
      <c r="O6" s="173" t="s">
        <v>10</v>
      </c>
      <c r="P6" s="173">
        <v>-10</v>
      </c>
      <c r="Q6" s="173">
        <f>H31</f>
        <v>960</v>
      </c>
      <c r="R6" s="173" t="s">
        <v>10</v>
      </c>
      <c r="S6" s="173">
        <v>-10</v>
      </c>
      <c r="T6" s="173">
        <f>I31</f>
        <v>269.87</v>
      </c>
      <c r="U6" s="173" t="s">
        <v>10</v>
      </c>
      <c r="V6" s="173">
        <v>-10</v>
      </c>
      <c r="W6" s="173">
        <f>J31</f>
        <v>245.61999999999998</v>
      </c>
      <c r="X6" s="1"/>
      <c r="Z6" s="163">
        <v>90</v>
      </c>
      <c r="AA6" s="163">
        <f>G42</f>
        <v>158.30025804400884</v>
      </c>
      <c r="AB6" s="176"/>
      <c r="AD6" s="7" t="s">
        <v>5</v>
      </c>
      <c r="AE6" s="29">
        <f>Plan1!$B$6</f>
        <v>0.85</v>
      </c>
      <c r="AF6" s="6"/>
      <c r="AG6" s="165">
        <f>AJ38*(AG2-AM39)*(AG2-AM40)*(AG2-AM41)*(AG2-AM42)/((AM38-AM39)*(AM38-AM40)*(AM38-AM41)*(AM38-AM42))+AJ39*(AG2-AM38)*(AG2-AM40)*(AG2-AM41)*(AG2-AM42)/((AM39-AM38)*(AM39-AM40)*(AM39-AM41)*(AM39-AM42))+AJ40*(AG2-AM39)*(AG2-AM38)*(AG2-AM41)*(AG2-AM42)/((AM40-AM39)*(AM40-AM39)*(AM40-AM41)*(AM40-AM42))+AJ41*(AG2-AM39)*(AG2-AM40)*(AG2-AM38)*(AG2-AM42)/((AM41-AM39)*(AM41-AM40)*(AM41-AM38)*(AM41-AM42))+AJ42*(AG2-AM39)*(AG2-AM40)*(AG2-AM41)*(AG2-AM38)/((AM42-AM39)*(AM42-AM40)*(AM42-AM41)*(AM42-AM38))</f>
        <v>150.37826720561324</v>
      </c>
      <c r="AI6" s="174">
        <v>92.5</v>
      </c>
      <c r="AJ6" s="175">
        <v>227.55</v>
      </c>
      <c r="AK6" s="175">
        <v>-493.33333333333201</v>
      </c>
      <c r="AL6" s="175">
        <v>235.72</v>
      </c>
      <c r="AM6" s="175">
        <v>219.5</v>
      </c>
      <c r="AN6" s="1"/>
      <c r="AO6" s="174" t="s">
        <v>27</v>
      </c>
      <c r="AP6" s="174">
        <v>10</v>
      </c>
      <c r="AQ6" s="174">
        <f>AJ31</f>
        <v>244.6</v>
      </c>
      <c r="AR6" s="174" t="s">
        <v>10</v>
      </c>
      <c r="AS6" s="174">
        <v>10</v>
      </c>
      <c r="AT6" s="174">
        <f>AK31</f>
        <v>221.66666666666669</v>
      </c>
      <c r="AU6" s="174" t="s">
        <v>10</v>
      </c>
      <c r="AV6" s="174">
        <v>10</v>
      </c>
      <c r="AW6" s="174">
        <f>AL31</f>
        <v>254.22</v>
      </c>
      <c r="AX6" s="174" t="s">
        <v>10</v>
      </c>
      <c r="AY6" s="174">
        <v>10</v>
      </c>
      <c r="AZ6" s="174">
        <f>AM31</f>
        <v>235.06</v>
      </c>
      <c r="BA6" s="1"/>
      <c r="BC6" s="163">
        <v>90</v>
      </c>
      <c r="BD6" s="163">
        <f>AJ42</f>
        <v>134.08496074378735</v>
      </c>
    </row>
    <row r="7" spans="1:56">
      <c r="A7">
        <f>30/34</f>
        <v>0.88235294117647056</v>
      </c>
      <c r="B7">
        <f>31/35.5</f>
        <v>0.87323943661971826</v>
      </c>
      <c r="D7" s="1">
        <f>H38*(D2-J39)*(D2-J40)*(D2-J41)*(D2-J42)/((J38-J39)*(J38-J40)*(J38-J41)*(J38-J42))+H39*(D2-J38)*(D2-J40)*(D2-J41)*(D2-J42)/((J39-J38)*(J39-J40)*(J39-J41)*(J39-J42))+H40*(D2-J39)*(D2-J38)*(D2-J41)*(D2-J42)/((J40-J39)*(J40-J39)*(J40-J41)*(J40-J42))+H41*(D2-J39)*(D2-J40)*(D2-J38)*(D2-J42)/((J41-J39)*(J41-J40)*(J41-J38)*(J41-J42))+H42*(D2-J39)*(D2-J40)*(D2-J41)*(D2-J38)/((J42-J39)*(J42-J40)*(J42-J41)*(J42-J38))</f>
        <v>375.84131766794957</v>
      </c>
      <c r="F7" s="173">
        <v>90</v>
      </c>
      <c r="G7" s="173">
        <v>219.34</v>
      </c>
      <c r="H7" s="173">
        <v>-755</v>
      </c>
      <c r="I7" s="173">
        <v>226.74</v>
      </c>
      <c r="J7" s="173">
        <v>211.99</v>
      </c>
      <c r="K7" s="1"/>
      <c r="L7" s="173" t="s">
        <v>11</v>
      </c>
      <c r="M7" s="9">
        <f>$B$2</f>
        <v>6.0220000000000002</v>
      </c>
      <c r="N7" s="173">
        <f>N2*(M7-M4)*(M7-M6)*(M7-M3)*(M7-M5)/((M2-M4)*(M2-M6)*(M2-M3)*(M2-M5))+N4*(M7-M2)*(M7-M6)*(M7-M3)*(M7-M5)/((M4-M2)*(M4-M6)*(M4-M3)*(M4-M5))+N6*(M7-M2)*(M7-M4)*(M7-M3)*(M7-M5)/((M6-M2)*(M6-M4)*(M6-M3)*(M6-M5))+N3*(M7-M4)*(M7-M6)*(M7-M2)*(M7-M5)/((M3-M4)*(M3-M6)*(M3-M2)*(M3-M5))+N5*(M7-M4)*(M7-M6)*(M7-M2)*(M7-M3)/((M5-M4)*(M5-M6)*(M5-M2)*(M5-M3))</f>
        <v>247.5391689920416</v>
      </c>
      <c r="O7" s="173" t="s">
        <v>10</v>
      </c>
      <c r="P7" s="9">
        <f>$B$2</f>
        <v>6.0220000000000002</v>
      </c>
      <c r="Q7" s="173">
        <f>Q2*(P7-P4)*(P7-P6)*(P7-P3)*(P7-P5)/((P2-P4)*(P2-P6)*(P2-P3)*(P2-P5))+Q4*(P7-P2)*(P7-P6)*(P7-P3)*(P7-P5)/((P4-P2)*(P4-P6)*(P4-P3)*(P4-P5))+Q6*(P7-P2)*(P7-P4)*(P7-P3)*(P7-P5)/((P6-P2)*(P6-P4)*(P6-P3)*(P6-P5))+Q3*(P7-P4)*(P7-P6)*(P7-P2)*(P7-P5)/((P3-P4)*(P3-P6)*(P3-P2)*(P3-P5))+Q5*(P7-P4)*(P7-P6)*(P7-P2)*(P7-P3)/((P5-P4)*(P5-P6)*(P5-P2)*(P5-P3))</f>
        <v>504.96102589595102</v>
      </c>
      <c r="R7" s="173" t="s">
        <v>10</v>
      </c>
      <c r="S7" s="9">
        <f>$B$2</f>
        <v>6.0220000000000002</v>
      </c>
      <c r="T7" s="173">
        <f>T2*(S7-S4)*(S7-S6)*(S7-S3)*(S7-S5)/((S2-S4)*(S2-S6)*(S2-S3)*(S2-S5))+T4*(S7-S2)*(S7-S6)*(S7-S3)*(S7-S5)/((S4-S2)*(S4-S6)*(S4-S3)*(S4-S5))+T6*(S7-S2)*(S7-S4)*(S7-S3)*(S7-S5)/((S6-S2)*(S6-S4)*(S6-S3)*(S6-S5))+T3*(S7-S4)*(S7-S6)*(S7-S2)*(S7-S5)/((S3-S4)*(S3-S6)*(S3-S2)*(S3-S5))+T5*(S7-S4)*(S7-S6)*(S7-S2)*(S7-S3)/((S5-S4)*(S5-S6)*(S5-S2)*(S5-S3))</f>
        <v>258.12762909562116</v>
      </c>
      <c r="U7" s="173" t="s">
        <v>10</v>
      </c>
      <c r="V7" s="9">
        <f>$B$2</f>
        <v>6.0220000000000002</v>
      </c>
      <c r="W7" s="173">
        <f>W2*(V7-V4)*(V7-V6)*(V7-V3)*(V7-V5)/((V2-V4)*(V2-V6)*(V2-V3)*(V2-V5))+W4*(V7-V2)*(V7-V6)*(V7-V3)*(V7-V5)/((V4-V2)*(V4-V6)*(V4-V3)*(V4-V5))+W6*(V7-V2)*(V7-V4)*(V7-V3)*(V7-V5)/((V6-V2)*(V6-V4)*(V6-V3)*(V6-V5))+W3*(V7-V4)*(V7-V6)*(V7-V2)*(V7-V5)/((V3-V4)*(V3-V6)*(V3-V2)*(V3-V5))+W5*(V7-V4)*(V7-V6)*(V7-V2)*(V7-V3)/((V5-V4)*(V5-V6)*(V5-V2)*(V5-V3))</f>
        <v>225.43781332015715</v>
      </c>
      <c r="X7" s="1"/>
      <c r="Y7" s="163" t="s">
        <v>193</v>
      </c>
      <c r="Z7" s="164">
        <f>$A$30</f>
        <v>99.881983394320457</v>
      </c>
      <c r="AA7" s="164">
        <f>AA2*(Z7-Z3)*(Z7-Z4)*(Z7-Z5)*(Z7-Z6)/((Z2-Z3)*(Z2-Z4)*(Z2-Z5)*(Z2-Z6))+AA3*(Z7-Z2)*(Z7-Z4)*(Z7-Z5)*(Z7-Z6)/((Z3-Z2)*(Z3-Z4)*(Z3-Z5)*(Z3-Z6))+AA4*(Z7-Z2)*(Z7-Z3)*(Z7-Z5)*(Z7-Z6)/((Z4-Z2)*(Z4-Z3)*(Z4-Z5)*(Z4-Z6))+AA5*(Z7-Z2)*(Z7-Z3)*(Z7-Z4)*(Z7-Z6)/((Z5-Z2)*(Z5-Z3)*(Z5-Z4)*(Z5-Z6))+AA6*(Z7-Z2)*(Z7-Z3)*(Z7-Z4)*(Z7-Z5)/((Z6-Z2)*(Z6-Z3)*(Z6-Z4)*(Z6-Z5))</f>
        <v>255.4857151955396</v>
      </c>
      <c r="AB7" s="176"/>
      <c r="AD7">
        <f>30/35</f>
        <v>0.8571428571428571</v>
      </c>
      <c r="AE7">
        <f>31/35</f>
        <v>0.88571428571428568</v>
      </c>
      <c r="AG7" s="1">
        <f>AK38*(AG2-AM39)*(AG2-AM40)*(AG2-AM41)*(AG2-AM42)/((AM38-AM39)*(AM38-AM40)*(AM38-AM41)*(AM38-AM42))+AK39*(AG2-AM38)*(AG2-AM40)*(AG2-AM41)*(AG2-AM42)/((AM39-AM38)*(AM39-AM40)*(AM39-AM41)*(AM39-AM42))+AK40*(AG2-AM39)*(AG2-AM38)*(AG2-AM41)*(AG2-AM42)/((AM40-AM39)*(AM40-AM39)*(AM40-AM41)*(AM40-AM42))+AK41*(AG2-AM39)*(AG2-AM40)*(AG2-AM38)*(AG2-AM42)/((AM41-AM39)*(AM41-AM40)*(AM41-AM38)*(AM41-AM42))+AK42*(AG2-AM39)*(AG2-AM40)*(AG2-AM41)*(AG2-AM38)/((AM42-AM39)*(AM42-AM40)*(AM42-AM41)*(AM42-AM38))</f>
        <v>288.28054548268784</v>
      </c>
      <c r="AI7" s="174">
        <v>90</v>
      </c>
      <c r="AJ7" s="175">
        <v>219.3</v>
      </c>
      <c r="AK7" s="175">
        <v>-755</v>
      </c>
      <c r="AL7" s="175">
        <v>226.74</v>
      </c>
      <c r="AM7" s="175">
        <v>211.99</v>
      </c>
      <c r="AN7" s="1"/>
      <c r="AO7" s="174" t="s">
        <v>28</v>
      </c>
      <c r="AP7" s="9">
        <f>$B$2</f>
        <v>6.0220000000000002</v>
      </c>
      <c r="AQ7" s="174">
        <f>AQ2*(AP7-AP4)*(AP7-AP6)*(AP7-AP3)*(AP7-AP5)/((AP2-AP4)*(AP2-AP6)*(AP2-AP3)*(AP2-AP5))+AQ4*(AP7-AP2)*(AP7-AP6)*(AP7-AP3)*(AP7-AP5)/((AP4-AP2)*(AP4-AP6)*(AP4-AP3)*(AP4-AP5))+AQ6*(AP7-AP2)*(AP7-AP4)*(AP7-AP3)*(AP7-AP5)/((AP6-AP2)*(AP6-AP4)*(AP6-AP3)*(AP6-AP5))+AQ3*(AP7-AP4)*(AP7-AP6)*(AP7-AP2)*(AP7-AP5)/((AP3-AP4)*(AP3-AP6)*(AP3-AP2)*(AP3-AP5))+AQ5*(AP7-AP4)*(AP7-AP6)*(AP7-AP2)*(AP7-AP3)/((AP5-AP4)*(AP5-AP6)*(AP5-AP2)*(AP5-AP3))</f>
        <v>247.79592031670069</v>
      </c>
      <c r="AR7" s="174" t="s">
        <v>10</v>
      </c>
      <c r="AS7" s="9">
        <f>$B$2</f>
        <v>6.0220000000000002</v>
      </c>
      <c r="AT7" s="174">
        <f>AT2*(AS7-AS4)*(AS7-AS6)*(AS7-AS3)*(AS7-AS5)/((AS2-AS4)*(AS2-AS6)*(AS2-AS3)*(AS2-AS5))+AT4*(AS7-AS2)*(AS7-AS6)*(AS7-AS3)*(AS7-AS5)/((AS4-AS2)*(AS4-AS6)*(AS4-AS3)*(AS4-AS5))+AT6*(AS7-AS2)*(AS7-AS4)*(AS7-AS3)*(AS7-AS5)/((AS6-AS2)*(AS6-AS4)*(AS6-AS3)*(AS6-AS5))+AT3*(AS7-AS4)*(AS7-AS6)*(AS7-AS2)*(AS7-AS5)/((AS3-AS4)*(AS3-AS6)*(AS3-AS2)*(AS3-AS5))+AT5*(AS7-AS4)*(AS7-AS6)*(AS7-AS2)*(AS7-AS3)/((AS5-AS4)*(AS5-AS6)*(AS5-AS2)*(AS5-AS3))</f>
        <v>380.57828547133971</v>
      </c>
      <c r="AU7" s="174" t="s">
        <v>10</v>
      </c>
      <c r="AV7" s="9">
        <f>$B$2</f>
        <v>6.0220000000000002</v>
      </c>
      <c r="AW7" s="174">
        <f>AW2*(AV7-AV4)*(AV7-AV6)*(AV7-AV3)*(AV7-AV5)/((AV2-AV4)*(AV2-AV6)*(AV2-AV3)*(AV2-AV5))+AW4*(AV7-AV2)*(AV7-AV6)*(AV7-AV3)*(AV7-AV5)/((AV4-AV2)*(AV4-AV6)*(AV4-AV3)*(AV4-AV5))+AW6*(AV7-AV2)*(AV7-AV4)*(AV7-AV3)*(AV7-AV5)/((AV6-AV2)*(AV6-AV4)*(AV6-AV3)*(AV6-AV5))+AW3*(AV7-AV4)*(AV7-AV6)*(AV7-AV2)*(AV7-AV5)/((AV3-AV4)*(AV3-AV6)*(AV3-AV2)*(AV3-AV5))+AW5*(AV7-AV4)*(AV7-AV6)*(AV7-AV2)*(AV7-AV3)/((AV5-AV4)*(AV5-AV6)*(AV5-AV2)*(AV5-AV3))</f>
        <v>257.94533629870273</v>
      </c>
      <c r="AX7" s="174" t="s">
        <v>10</v>
      </c>
      <c r="AY7" s="9">
        <f>$B$2</f>
        <v>6.0220000000000002</v>
      </c>
      <c r="AZ7" s="174">
        <f>AZ2*(AY7-AY4)*(AY7-AY6)*(AY7-AY3)*(AY7-AY5)/((AY2-AY4)*(AY2-AY6)*(AY2-AY3)*(AY2-AY5))+AZ4*(AY7-AY2)*(AY7-AY6)*(AY7-AY3)*(AY7-AY5)/((AY4-AY2)*(AY4-AY6)*(AY4-AY3)*(AY4-AY5))+AZ6*(AY7-AY2)*(AY7-AY4)*(AY7-AY3)*(AY7-AY5)/((AY6-AY2)*(AY6-AY4)*(AY6-AY3)*(AY6-AY5))+AZ3*(AY7-AY4)*(AY7-AY6)*(AY7-AY2)*(AY7-AY5)/((AY3-AY4)*(AY3-AY6)*(AY3-AY2)*(AY3-AY5))+AZ5*(AY7-AY4)*(AY7-AY6)*(AY7-AY2)*(AY7-AY3)/((AY5-AY4)*(AY5-AY6)*(AY5-AY2)*(AY5-AY3))</f>
        <v>237.72364227162603</v>
      </c>
      <c r="BA7" s="1"/>
      <c r="BB7" s="163" t="s">
        <v>193</v>
      </c>
      <c r="BC7" s="164">
        <f>AD30</f>
        <v>99.734764836887479</v>
      </c>
      <c r="BD7" s="164">
        <f>BD2*(BC7-BC3)*(BC7-BC4)*(BC7-BC5)*(BC7-BC6)/((BC2-BC3)*(BC2-BC4)*(BC2-BC5)*(BC2-BC6))+BD3*(BC7-BC2)*(BC7-BC4)*(BC7-BC5)*(BC7-BC6)/((BC3-BC2)*(BC3-BC4)*(BC3-BC5)*(BC3-BC6))+BD4*(BC7-BC2)*(BC7-BC3)*(BC7-BC5)*(BC7-BC6)/((BC4-BC2)*(BC4-BC3)*(BC4-BC5)*(BC4-BC6))+BD5*(BC7-BC2)*(BC7-BC3)*(BC7-BC4)*(BC7-BC6)/((BC5-BC2)*(BC5-BC3)*(BC5-BC4)*(BC5-BC6))+BD6*(BC7-BC2)*(BC7-BC3)*(BC7-BC4)*(BC7-BC5)/((BC6-BC2)*(BC6-BC3)*(BC6-BC4)*(BC6-BC5))</f>
        <v>202.78806165115284</v>
      </c>
    </row>
    <row r="8" spans="1:56">
      <c r="B8">
        <f>IF(Plan1!$E$16=4,A7,B7)</f>
        <v>0.88235294117647056</v>
      </c>
      <c r="K8" s="13"/>
      <c r="N8" s="173" t="s">
        <v>12</v>
      </c>
      <c r="O8" s="1"/>
      <c r="P8" s="1"/>
      <c r="Q8" s="1" t="s">
        <v>13</v>
      </c>
      <c r="R8" s="1"/>
      <c r="S8" s="1"/>
      <c r="T8" s="1" t="s">
        <v>8</v>
      </c>
      <c r="U8" s="1"/>
      <c r="V8" s="1"/>
      <c r="W8" s="1" t="s">
        <v>9</v>
      </c>
      <c r="X8" s="1"/>
      <c r="AB8" s="176"/>
      <c r="AE8">
        <f>IF(Plan1!$E$16=4,AD7,AE7)</f>
        <v>0.8571428571428571</v>
      </c>
      <c r="AG8" s="1"/>
      <c r="AN8" s="13"/>
      <c r="AQ8" s="174" t="s">
        <v>12</v>
      </c>
      <c r="AR8" s="1"/>
      <c r="AS8" s="1"/>
      <c r="AT8" s="1" t="s">
        <v>13</v>
      </c>
      <c r="AU8" s="1"/>
      <c r="AV8" s="1"/>
      <c r="AW8" s="1" t="s">
        <v>8</v>
      </c>
      <c r="AX8" s="1"/>
      <c r="AY8" s="1"/>
      <c r="AZ8" s="1" t="s">
        <v>9</v>
      </c>
      <c r="BA8" s="1"/>
    </row>
    <row r="9" spans="1:56">
      <c r="A9" s="4">
        <f>B1-ABS((B5*0.01))</f>
        <v>246.57342556553317</v>
      </c>
      <c r="F9" s="15">
        <v>-2.5</v>
      </c>
      <c r="G9" s="7" t="s">
        <v>6</v>
      </c>
      <c r="H9" s="7" t="s">
        <v>7</v>
      </c>
      <c r="I9" s="7" t="s">
        <v>8</v>
      </c>
      <c r="J9" s="7" t="s">
        <v>9</v>
      </c>
      <c r="K9" s="13"/>
      <c r="L9" s="173" t="s">
        <v>10</v>
      </c>
      <c r="M9" s="173">
        <v>0</v>
      </c>
      <c r="N9" s="173">
        <f>G4</f>
        <v>244.02</v>
      </c>
      <c r="O9" s="173" t="s">
        <v>10</v>
      </c>
      <c r="P9" s="173">
        <v>0</v>
      </c>
      <c r="Q9" s="173">
        <f>H4</f>
        <v>185</v>
      </c>
      <c r="R9" s="173" t="s">
        <v>10</v>
      </c>
      <c r="S9" s="173">
        <v>0</v>
      </c>
      <c r="T9" s="173">
        <f>I4</f>
        <v>254.03</v>
      </c>
      <c r="U9" s="173" t="s">
        <v>10</v>
      </c>
      <c r="V9" s="173">
        <v>0</v>
      </c>
      <c r="W9" s="173">
        <f>J4</f>
        <v>234.19</v>
      </c>
      <c r="X9" s="1"/>
      <c r="AB9" s="176"/>
      <c r="AD9" s="4">
        <f>0*(AE6-0.9)*(AE6-0.8)/((1-0.9)*(1-0.8))+7.7*(AE6-1)*(AE6-0.8)/((0.9-1)*(0.9-0.8))+16.19*(AE6-1)*(AE6-0.9)/((0.8-1)*(0.8-0.9))+AE1</f>
        <v>258.43625000000003</v>
      </c>
      <c r="AG9" s="1"/>
      <c r="AI9" s="15">
        <v>2.5</v>
      </c>
      <c r="AJ9" s="7" t="s">
        <v>6</v>
      </c>
      <c r="AK9" s="7" t="s">
        <v>7</v>
      </c>
      <c r="AL9" s="7" t="s">
        <v>8</v>
      </c>
      <c r="AM9" s="7" t="s">
        <v>9</v>
      </c>
      <c r="AN9" s="13"/>
      <c r="AO9" s="174" t="s">
        <v>27</v>
      </c>
      <c r="AP9" s="174">
        <v>0</v>
      </c>
      <c r="AQ9" s="174">
        <f>AJ4</f>
        <v>243.97</v>
      </c>
      <c r="AR9" s="174" t="s">
        <v>27</v>
      </c>
      <c r="AS9" s="174">
        <v>0</v>
      </c>
      <c r="AT9" s="174">
        <f>AK4</f>
        <v>185</v>
      </c>
      <c r="AU9" s="174" t="s">
        <v>27</v>
      </c>
      <c r="AV9" s="174">
        <v>0</v>
      </c>
      <c r="AW9" s="174">
        <f>AL4</f>
        <v>254.03</v>
      </c>
      <c r="AX9" s="174" t="s">
        <v>27</v>
      </c>
      <c r="AY9" s="174">
        <v>0</v>
      </c>
      <c r="AZ9" s="174">
        <f>AM4</f>
        <v>234.19</v>
      </c>
      <c r="BA9" s="1"/>
    </row>
    <row r="10" spans="1:56">
      <c r="F10" s="173">
        <v>100</v>
      </c>
      <c r="G10" s="173">
        <v>253.66</v>
      </c>
      <c r="H10" s="173">
        <v>700</v>
      </c>
      <c r="I10" s="173">
        <v>264.79000000000002</v>
      </c>
      <c r="J10" s="173">
        <f>242.5</f>
        <v>242.5</v>
      </c>
      <c r="K10" s="13"/>
      <c r="L10" s="173" t="s">
        <v>10</v>
      </c>
      <c r="M10" s="173">
        <v>-2.5</v>
      </c>
      <c r="N10" s="173">
        <f>G11</f>
        <v>245.82</v>
      </c>
      <c r="O10" s="173" t="s">
        <v>10</v>
      </c>
      <c r="P10" s="173">
        <v>-2.5</v>
      </c>
      <c r="Q10" s="173">
        <f>H11</f>
        <v>271.6666666666668</v>
      </c>
      <c r="R10" s="173" t="s">
        <v>10</v>
      </c>
      <c r="S10" s="173">
        <v>-2.5</v>
      </c>
      <c r="T10" s="173">
        <f>I11</f>
        <v>255.96</v>
      </c>
      <c r="U10" s="173" t="s">
        <v>10</v>
      </c>
      <c r="V10" s="173">
        <v>-2.5</v>
      </c>
      <c r="W10" s="173">
        <f>J11</f>
        <v>235.69</v>
      </c>
      <c r="X10" s="1"/>
      <c r="AB10" s="176"/>
      <c r="AG10" s="1"/>
      <c r="AI10" s="174">
        <v>100</v>
      </c>
      <c r="AJ10" s="175">
        <v>250.34</v>
      </c>
      <c r="AK10" s="175">
        <v>516.66666666666799</v>
      </c>
      <c r="AL10" s="175">
        <v>260.94</v>
      </c>
      <c r="AM10" s="175">
        <v>239.84</v>
      </c>
      <c r="AN10" s="13"/>
      <c r="AO10" s="174" t="s">
        <v>27</v>
      </c>
      <c r="AP10" s="174">
        <v>2.5</v>
      </c>
      <c r="AQ10" s="174">
        <f>AJ11</f>
        <v>242.06</v>
      </c>
      <c r="AR10" s="174" t="s">
        <v>27</v>
      </c>
      <c r="AS10" s="174">
        <v>2.5</v>
      </c>
      <c r="AT10" s="174">
        <f>AK11</f>
        <v>93.333333333333201</v>
      </c>
      <c r="AU10" s="174" t="s">
        <v>27</v>
      </c>
      <c r="AV10" s="174">
        <v>2.5</v>
      </c>
      <c r="AW10" s="174">
        <f>AL11</f>
        <v>251.64</v>
      </c>
      <c r="AX10" s="174" t="s">
        <v>27</v>
      </c>
      <c r="AY10" s="174">
        <v>2.5</v>
      </c>
      <c r="AZ10" s="174">
        <f>AM11</f>
        <v>232.58</v>
      </c>
      <c r="BA10" s="1"/>
    </row>
    <row r="11" spans="1:56">
      <c r="A11" s="173" t="s">
        <v>23</v>
      </c>
      <c r="B11" s="173">
        <f>Plan1!B17</f>
        <v>86</v>
      </c>
      <c r="D11" s="165">
        <f>(($B$16*D6)+D7+(D6*$B$14))/($D$2*(44/17.5))</f>
        <v>0.53461227369676734</v>
      </c>
      <c r="F11" s="173">
        <v>97.5</v>
      </c>
      <c r="G11" s="173">
        <v>245.82</v>
      </c>
      <c r="H11" s="173">
        <v>271.6666666666668</v>
      </c>
      <c r="I11" s="173">
        <v>255.96</v>
      </c>
      <c r="J11" s="173">
        <f>235.69</f>
        <v>235.69</v>
      </c>
      <c r="K11" s="13"/>
      <c r="L11" s="173" t="s">
        <v>10</v>
      </c>
      <c r="M11" s="173">
        <v>-5</v>
      </c>
      <c r="N11" s="173">
        <f>G18</f>
        <v>247.51</v>
      </c>
      <c r="O11" s="173" t="s">
        <v>10</v>
      </c>
      <c r="P11" s="173">
        <v>-5</v>
      </c>
      <c r="Q11" s="173">
        <f>H18</f>
        <v>358.33333333333337</v>
      </c>
      <c r="R11" s="173" t="s">
        <v>10</v>
      </c>
      <c r="S11" s="173">
        <v>-5</v>
      </c>
      <c r="T11" s="173">
        <f>I18</f>
        <v>257.93</v>
      </c>
      <c r="U11" s="173" t="s">
        <v>10</v>
      </c>
      <c r="V11" s="173">
        <v>-5</v>
      </c>
      <c r="W11" s="173">
        <f>J18</f>
        <v>236.79</v>
      </c>
      <c r="X11" s="1"/>
      <c r="AB11" s="176"/>
      <c r="AD11" s="174" t="s">
        <v>23</v>
      </c>
      <c r="AE11" s="174">
        <f>Plan1!AE17</f>
        <v>0</v>
      </c>
      <c r="AG11" s="165">
        <f>(($B$16*AG6)+AG7+(AG6*$B$14))/($D$2*(44/17.5))</f>
        <v>0.29533968812667744</v>
      </c>
      <c r="AI11" s="174">
        <v>97.5</v>
      </c>
      <c r="AJ11" s="175">
        <v>242.06</v>
      </c>
      <c r="AK11" s="175">
        <v>93.333333333333201</v>
      </c>
      <c r="AL11" s="175">
        <v>251.64</v>
      </c>
      <c r="AM11" s="175">
        <v>232.58</v>
      </c>
      <c r="AN11" s="13"/>
      <c r="AO11" s="174" t="s">
        <v>27</v>
      </c>
      <c r="AP11" s="174">
        <v>5</v>
      </c>
      <c r="AQ11" s="174">
        <f>AJ18</f>
        <v>240.01</v>
      </c>
      <c r="AR11" s="174" t="s">
        <v>27</v>
      </c>
      <c r="AS11" s="174">
        <v>5</v>
      </c>
      <c r="AT11" s="174">
        <f>AK18</f>
        <v>0</v>
      </c>
      <c r="AU11" s="174" t="s">
        <v>27</v>
      </c>
      <c r="AV11" s="174">
        <v>5</v>
      </c>
      <c r="AW11" s="174">
        <f>AL18</f>
        <v>249.27</v>
      </c>
      <c r="AX11" s="174" t="s">
        <v>27</v>
      </c>
      <c r="AY11" s="174">
        <v>5</v>
      </c>
      <c r="AZ11" s="174">
        <f>AM18</f>
        <v>230.85</v>
      </c>
      <c r="BA11" s="1"/>
    </row>
    <row r="12" spans="1:56">
      <c r="A12" s="173" t="s">
        <v>24</v>
      </c>
      <c r="B12" s="173">
        <f>Plan1!B18</f>
        <v>49.06</v>
      </c>
      <c r="F12" s="173">
        <v>95</v>
      </c>
      <c r="G12" s="173">
        <v>237.86</v>
      </c>
      <c r="H12" s="173">
        <v>-98.333333333333201</v>
      </c>
      <c r="I12" s="173">
        <v>247.1</v>
      </c>
      <c r="J12" s="173">
        <f>228.65</f>
        <v>228.65</v>
      </c>
      <c r="K12" s="1"/>
      <c r="L12" s="173" t="s">
        <v>10</v>
      </c>
      <c r="M12" s="173">
        <v>-7.5</v>
      </c>
      <c r="N12" s="173">
        <f>G25</f>
        <v>249.1</v>
      </c>
      <c r="O12" s="173" t="s">
        <v>10</v>
      </c>
      <c r="P12" s="173">
        <v>-7.5</v>
      </c>
      <c r="Q12">
        <f>H25</f>
        <v>441.66666666666669</v>
      </c>
      <c r="R12" s="173" t="s">
        <v>10</v>
      </c>
      <c r="S12" s="173">
        <v>-7.5</v>
      </c>
      <c r="T12" s="173">
        <f>I25</f>
        <v>259.8</v>
      </c>
      <c r="U12" s="173" t="s">
        <v>10</v>
      </c>
      <c r="V12" s="173">
        <v>-7.5</v>
      </c>
      <c r="W12" s="173">
        <f>J25</f>
        <v>238.10999999999999</v>
      </c>
      <c r="X12" s="1"/>
      <c r="AB12" s="176"/>
      <c r="AD12" s="174" t="s">
        <v>24</v>
      </c>
      <c r="AE12" s="174">
        <f>Plan1!AE18</f>
        <v>0</v>
      </c>
      <c r="AG12" s="1"/>
      <c r="AI12" s="174">
        <v>95</v>
      </c>
      <c r="AJ12" s="175">
        <v>233.62</v>
      </c>
      <c r="AK12" s="175">
        <v>-268.3333333333332</v>
      </c>
      <c r="AL12" s="175">
        <v>242.3</v>
      </c>
      <c r="AM12" s="175">
        <v>225.07</v>
      </c>
      <c r="AN12" s="13">
        <v>97.5</v>
      </c>
      <c r="AO12" s="174" t="s">
        <v>27</v>
      </c>
      <c r="AP12" s="174">
        <v>7.5</v>
      </c>
      <c r="AQ12" s="174">
        <f>AJ25</f>
        <v>237.8</v>
      </c>
      <c r="AR12" s="174" t="s">
        <v>27</v>
      </c>
      <c r="AS12" s="174">
        <v>7.5</v>
      </c>
      <c r="AT12" s="1">
        <f>AK25</f>
        <v>-93.333333333333343</v>
      </c>
      <c r="AU12" s="174" t="s">
        <v>27</v>
      </c>
      <c r="AV12" s="174">
        <v>7.5</v>
      </c>
      <c r="AW12" s="174">
        <f>AL25</f>
        <v>246.73</v>
      </c>
      <c r="AX12" s="174" t="s">
        <v>27</v>
      </c>
      <c r="AY12" s="174">
        <v>7.5</v>
      </c>
      <c r="AZ12" s="174">
        <f>AM25</f>
        <v>228.97</v>
      </c>
      <c r="BA12" s="1"/>
    </row>
    <row r="13" spans="1:56">
      <c r="A13" s="173" t="s">
        <v>25</v>
      </c>
      <c r="B13" s="173">
        <f>COS(RADIANS(B12))</f>
        <v>0.65526833938609963</v>
      </c>
      <c r="D13" s="166">
        <f>SIN(RADIANS(B4+D11*0.707))*B3</f>
        <v>0.95607498182760431</v>
      </c>
      <c r="F13" s="173">
        <v>92.5</v>
      </c>
      <c r="G13" s="173">
        <v>229.86</v>
      </c>
      <c r="H13" s="173">
        <v>-413.33333333333201</v>
      </c>
      <c r="I13" s="173">
        <v>238.29</v>
      </c>
      <c r="J13" s="173">
        <f>221.46</f>
        <v>221.46</v>
      </c>
      <c r="K13" s="1"/>
      <c r="L13" s="173" t="s">
        <v>10</v>
      </c>
      <c r="M13" s="173">
        <v>-10</v>
      </c>
      <c r="N13" s="173">
        <f>G32</f>
        <v>250.61</v>
      </c>
      <c r="O13" s="173" t="s">
        <v>10</v>
      </c>
      <c r="P13" s="173">
        <v>-10</v>
      </c>
      <c r="Q13" s="173">
        <f>H32</f>
        <v>525</v>
      </c>
      <c r="R13" s="173" t="s">
        <v>10</v>
      </c>
      <c r="S13" s="173">
        <v>-10</v>
      </c>
      <c r="T13" s="173">
        <f>I32</f>
        <v>261.58999999999997</v>
      </c>
      <c r="U13" s="173" t="s">
        <v>10</v>
      </c>
      <c r="V13" s="173">
        <v>-10</v>
      </c>
      <c r="W13" s="173">
        <f>J32</f>
        <v>239.35</v>
      </c>
      <c r="X13" s="1"/>
      <c r="AB13" s="176"/>
      <c r="AD13" s="174" t="s">
        <v>25</v>
      </c>
      <c r="AE13" s="174">
        <f>COS(RADIANS(AE12))</f>
        <v>1</v>
      </c>
      <c r="AG13" s="166">
        <f>SIN(RADIANS(AE4+AG11*0.707))*AE3</f>
        <v>0.95693625635877311</v>
      </c>
      <c r="AI13" s="174">
        <v>92.5</v>
      </c>
      <c r="AJ13" s="175">
        <v>225.11</v>
      </c>
      <c r="AK13" s="175">
        <v>-575</v>
      </c>
      <c r="AL13" s="175">
        <v>232.96</v>
      </c>
      <c r="AM13" s="175">
        <v>217.38</v>
      </c>
      <c r="AN13" s="1"/>
      <c r="AO13" s="174" t="s">
        <v>27</v>
      </c>
      <c r="AP13" s="174">
        <v>10</v>
      </c>
      <c r="AQ13" s="174">
        <f>AJ32</f>
        <v>235.41</v>
      </c>
      <c r="AR13" s="174" t="s">
        <v>27</v>
      </c>
      <c r="AS13" s="174">
        <v>10</v>
      </c>
      <c r="AT13" s="174">
        <f>AK32</f>
        <v>-193.33333333333334</v>
      </c>
      <c r="AU13" s="174" t="s">
        <v>27</v>
      </c>
      <c r="AV13" s="174">
        <v>10</v>
      </c>
      <c r="AW13" s="174">
        <f>AL32</f>
        <v>243.99</v>
      </c>
      <c r="AX13" s="174" t="s">
        <v>27</v>
      </c>
      <c r="AY13" s="174">
        <v>10</v>
      </c>
      <c r="AZ13" s="174">
        <f>AM32</f>
        <v>226.92</v>
      </c>
      <c r="BA13" s="1"/>
    </row>
    <row r="14" spans="1:56">
      <c r="A14" s="173" t="s">
        <v>26</v>
      </c>
      <c r="B14" s="173">
        <f>B5</f>
        <v>-1.6574434466824872</v>
      </c>
      <c r="D14" s="166">
        <f>COS(RADIANS(B4+D11*0.5))*B3</f>
        <v>-0.29127503841191799</v>
      </c>
      <c r="F14" s="173">
        <v>90</v>
      </c>
      <c r="G14" s="173">
        <v>221.85</v>
      </c>
      <c r="H14" s="173">
        <v>-680</v>
      </c>
      <c r="I14" s="173">
        <v>229.56</v>
      </c>
      <c r="J14" s="173">
        <f>214.19</f>
        <v>214.19</v>
      </c>
      <c r="K14" s="1"/>
      <c r="L14" s="173" t="s">
        <v>11</v>
      </c>
      <c r="M14" s="9">
        <f>$B$2</f>
        <v>6.0220000000000002</v>
      </c>
      <c r="N14" s="173">
        <f>N9*(M14-M11)*(M14-M13)*(M14-M10)*(M14-M12)/((M9-M11)*(M9-M13)*(M9-M10)*(M9-M12))+N11*(M14-M9)*(M14-M13)*(M14-M10)*(M14-M12)/((M11-M9)*(M11-M13)*(M11-M10)*(M11-M12))+N13*(M14-M9)*(M14-M11)*(M14-M10)*(M14-M12)/((M13-M9)*(M13-M11)*(M13-M10)*(M13-M12))+N10*(M14-M11)*(M14-M13)*(M14-M9)*(M14-M12)/((M10-M11)*(M10-M13)*(M10-M9)*(M10-M12))+N12*(M14-M11)*(M14-M13)*(M14-M9)*(M14-M10)/((M12-M11)*(M12-M13)*(M12-M9)*(M12-M10))</f>
        <v>239.2537986302741</v>
      </c>
      <c r="O14" s="173" t="s">
        <v>11</v>
      </c>
      <c r="P14" s="9">
        <f>$B$2</f>
        <v>6.0220000000000002</v>
      </c>
      <c r="Q14" s="173">
        <f>Q9*(P14-P11)*(P14-P13)*(P14-P10)*(P14-P12)/((P9-P11)*(P9-P13)*(P9-P10)*(P9-P12))+Q11*(P14-P9)*(P14-P13)*(P14-P10)*(P14-P12)/((P11-P9)*(P11-P13)*(P11-P10)*(P11-P12))+Q13*(P14-P9)*(P14-P11)*(P14-P10)*(P14-P12)/((P13-P9)*(P13-P11)*(P13-P10)*(P13-P12))+Q10*(P14-P11)*(P14-P13)*(P14-P9)*(P14-P12)/((P10-P11)*(P10-P13)*(P10-P9)*(P10-P12))+Q12*(P14-P11)*(P14-P13)*(P14-P9)*(P14-P10)/((P12-P11)*(P12-P13)*(P12-P9)*(P12-P10))</f>
        <v>50.739350597301382</v>
      </c>
      <c r="R14" s="173" t="s">
        <v>11</v>
      </c>
      <c r="S14" s="9">
        <f>$B$2</f>
        <v>6.0220000000000002</v>
      </c>
      <c r="T14" s="173">
        <f>T9*(S14-S11)*(S14-S13)*(S14-S10)*(S14-S12)/((S9-S11)*(S9-S13)*(S9-S10)*(S9-S12))+T11*(S14-S9)*(S14-S13)*(S14-S10)*(S14-S12)/((S11-S9)*(S11-S13)*(S11-S10)*(S11-S12))+T13*(S14-S9)*(S14-S11)*(S14-S10)*(S14-S12)/((S13-S9)*(S13-S11)*(S13-S10)*(S13-S12))+T10*(S14-S11)*(S14-S13)*(S14-S9)*(S14-S12)/((S10-S11)*(S10-S13)*(S10-S9)*(S10-S12))+T12*(S14-S11)*(S14-S13)*(S14-S9)*(S14-S10)/((S12-S11)*(S12-S13)*(S12-S9)*(S12-S10))</f>
        <v>251.69529850883009</v>
      </c>
      <c r="U14" s="173" t="s">
        <v>11</v>
      </c>
      <c r="V14" s="9">
        <f>$B$2</f>
        <v>6.0220000000000002</v>
      </c>
      <c r="W14" s="173">
        <f>W9*(V14-V11)*(V14-V13)*(V14-V10)*(V14-V12)/((V9-V11)*(V9-V13)*(V9-V10)*(V9-V12))+W11*(V14-V9)*(V14-V13)*(V14-V10)*(V14-V12)/((V11-V9)*(V11-V13)*(V11-V10)*(V11-V12))+W13*(V14-V9)*(V14-V11)*(V14-V10)*(V14-V12)/((V13-V9)*(V13-V11)*(V13-V10)*(V13-V12))+W10*(V14-V11)*(V14-V13)*(V14-V9)*(V14-V12)/((V10-V11)*(V10-V13)*(V10-V9)*(V10-V12))+W12*(V14-V11)*(V14-V13)*(V14-V9)*(V14-V10)/((V12-V11)*(V12-V13)*(V12-V9)*(V12-V10))</f>
        <v>217.68793347438987</v>
      </c>
      <c r="X14" s="1"/>
      <c r="Z14" s="163">
        <v>100</v>
      </c>
      <c r="AA14" s="164">
        <f>H38</f>
        <v>272.41407321151473</v>
      </c>
      <c r="AB14" s="176"/>
      <c r="AD14" s="174" t="s">
        <v>26</v>
      </c>
      <c r="AE14" s="174">
        <f>AE5</f>
        <v>-1.6100879196344162</v>
      </c>
      <c r="AG14" s="166">
        <f>COS(RADIANS(AE4+AG11*0.5))*AE3</f>
        <v>-0.28927689675650509</v>
      </c>
      <c r="AI14" s="174">
        <v>90</v>
      </c>
      <c r="AJ14" s="175">
        <v>216.56</v>
      </c>
      <c r="AK14" s="175">
        <v>-833.33333333333201</v>
      </c>
      <c r="AL14" s="175">
        <v>223.68</v>
      </c>
      <c r="AM14" s="175">
        <v>209.57</v>
      </c>
      <c r="AN14" s="1"/>
      <c r="AO14" s="174" t="s">
        <v>28</v>
      </c>
      <c r="AP14" s="9">
        <f>$B$2</f>
        <v>6.0220000000000002</v>
      </c>
      <c r="AQ14" s="174">
        <f>AQ9*(AP14-AP11)*(AP14-AP13)*(AP14-AP10)*(AP14-AP12)/((AP9-AP11)*(AP9-AP13)*(AP9-AP10)*(AP9-AP12))+AQ11*(AP14-AP9)*(AP14-AP13)*(AP14-AP10)*(AP14-AP12)/((AP11-AP9)*(AP11-AP13)*(AP11-AP10)*(AP11-AP12))+AQ13*(AP14-AP9)*(AP14-AP11)*(AP14-AP10)*(AP14-AP12)/((AP13-AP9)*(AP13-AP11)*(AP13-AP10)*(AP13-AP12))+AQ10*(AP14-AP11)*(AP14-AP13)*(AP14-AP9)*(AP14-AP12)/((AP10-AP11)*(AP10-AP13)*(AP10-AP9)*(AP10-AP12))+AQ12*(AP14-AP11)*(AP14-AP13)*(AP14-AP9)*(AP14-AP10)/((AP12-AP11)*(AP12-AP13)*(AP12-AP9)*(AP12-AP10))</f>
        <v>239.12702154610179</v>
      </c>
      <c r="AR14" s="174" t="s">
        <v>28</v>
      </c>
      <c r="AS14" s="9">
        <f>$B$2</f>
        <v>6.0220000000000002</v>
      </c>
      <c r="AT14" s="174">
        <f>AT9*(AS14-AS11)*(AS14-AS13)*(AS14-AS10)*(AS14-AS12)/((AS9-AS11)*(AS9-AS13)*(AS9-AS10)*(AS9-AS12))+AT11*(AS14-AS9)*(AS14-AS13)*(AS14-AS10)*(AS14-AS12)/((AS11-AS9)*(AS11-AS13)*(AS11-AS10)*(AS11-AS12))+AT13*(AS14-AS9)*(AS14-AS11)*(AS14-AS10)*(AS14-AS12)/((AS13-AS9)*(AS13-AS11)*(AS13-AS10)*(AS13-AS12))+AT10*(AS14-AS11)*(AS14-AS13)*(AS14-AS9)*(AS14-AS12)/((AS10-AS11)*(AS10-AS13)*(AS10-AS9)*(AS10-AS12))+AT12*(AS14-AS11)*(AS14-AS13)*(AS14-AS9)*(AS14-AS10)/((AS12-AS11)*(AS12-AS13)*(AS12-AS9)*(AS12-AS10))</f>
        <v>-37.964469420180045</v>
      </c>
      <c r="AU14" s="174" t="s">
        <v>28</v>
      </c>
      <c r="AV14" s="9">
        <f>$B$2</f>
        <v>6.0220000000000002</v>
      </c>
      <c r="AW14" s="174">
        <f>AW9*(AV14-AV11)*(AV14-AV13)*(AV14-AV10)*(AV14-AV12)/((AV9-AV11)*(AV9-AV13)*(AV9-AV10)*(AV9-AV12))+AW11*(AV14-AV9)*(AV14-AV13)*(AV14-AV10)*(AV14-AV12)/((AV11-AV9)*(AV11-AV13)*(AV11-AV10)*(AV11-AV12))+AW13*(AV14-AV9)*(AV14-AV11)*(AV14-AV10)*(AV14-AV12)/((AV13-AV9)*(AV13-AV11)*(AV13-AV10)*(AV13-AV12))+AW10*(AV14-AV11)*(AV14-AV13)*(AV14-AV9)*(AV14-AV12)/((AV10-AV11)*(AV10-AV13)*(AV10-AV9)*(AV10-AV12))+AW12*(AV14-AV11)*(AV14-AV13)*(AV14-AV9)*(AV14-AV10)/((AV12-AV11)*(AV12-AV13)*(AV12-AV9)*(AV12-AV10))</f>
        <v>248.25750526675137</v>
      </c>
      <c r="AX14" s="174" t="s">
        <v>28</v>
      </c>
      <c r="AY14" s="9">
        <f>$B$2</f>
        <v>6.0220000000000002</v>
      </c>
      <c r="AZ14" s="174">
        <f>AZ9*(AY14-AY11)*(AY14-AY13)*(AY14-AY10)*(AY14-AY12)/((AY9-AY11)*(AY9-AY13)*(AY9-AY10)*(AY9-AY12))+AZ11*(AY14-AY9)*(AY14-AY13)*(AY14-AY10)*(AY14-AY12)/((AY11-AY9)*(AY11-AY13)*(AY11-AY10)*(AY11-AY12))+AZ13*(AY14-AY9)*(AY14-AY11)*(AY14-AY10)*(AY14-AY12)/((AY13-AY9)*(AY13-AY11)*(AY13-AY10)*(AY13-AY12))+AZ10*(AY14-AY11)*(AY14-AY13)*(AY14-AY9)*(AY14-AY12)/((AY10-AY11)*(AY10-AY13)*(AY10-AY9)*(AY10-AY12))+AZ12*(AY14-AY11)*(AY14-AY13)*(AY14-AY9)*(AY14-AY10)/((AY12-AY11)*(AY12-AY13)*(AY12-AY9)*(AY12-AY10))</f>
        <v>230.10094287312663</v>
      </c>
      <c r="BA14" s="1"/>
      <c r="BC14" s="163">
        <v>100</v>
      </c>
      <c r="BD14" s="164">
        <f>AK38</f>
        <v>175.34197907531984</v>
      </c>
    </row>
    <row r="15" spans="1:56">
      <c r="A15" s="171">
        <f>B16/B3</f>
        <v>0.95798784374570456</v>
      </c>
      <c r="B15" s="167">
        <f>D13/B3</f>
        <v>0.95607498182760431</v>
      </c>
      <c r="K15" s="1"/>
      <c r="N15" s="173" t="s">
        <v>12</v>
      </c>
      <c r="O15" s="1"/>
      <c r="P15" s="1"/>
      <c r="Q15" s="1" t="s">
        <v>13</v>
      </c>
      <c r="R15" s="1"/>
      <c r="S15" s="1"/>
      <c r="T15" s="1" t="s">
        <v>8</v>
      </c>
      <c r="U15" s="1"/>
      <c r="V15" s="1"/>
      <c r="W15" s="1" t="s">
        <v>9</v>
      </c>
      <c r="X15" s="1"/>
      <c r="Z15" s="163">
        <v>97.5</v>
      </c>
      <c r="AA15" s="164">
        <f>H39</f>
        <v>-213.76981616488661</v>
      </c>
      <c r="AB15" s="176"/>
      <c r="AD15" s="171">
        <f>AE16/AE3</f>
        <v>0.95798784374570456</v>
      </c>
      <c r="AE15" s="167">
        <f>AG13/AE3</f>
        <v>0.95693625635877311</v>
      </c>
      <c r="AG15" s="1"/>
      <c r="AN15" s="1"/>
      <c r="AQ15" s="174" t="s">
        <v>12</v>
      </c>
      <c r="AR15" s="1"/>
      <c r="AS15" s="1"/>
      <c r="AT15" s="1" t="s">
        <v>13</v>
      </c>
      <c r="AU15" s="1"/>
      <c r="AV15" s="1"/>
      <c r="AW15" s="1" t="s">
        <v>8</v>
      </c>
      <c r="AX15" s="1"/>
      <c r="AY15" s="1"/>
      <c r="AZ15" s="1" t="s">
        <v>9</v>
      </c>
      <c r="BA15" s="1"/>
      <c r="BC15" s="163">
        <v>97.5</v>
      </c>
      <c r="BD15" s="164">
        <f>AK39</f>
        <v>-223.2480650371067</v>
      </c>
    </row>
    <row r="16" spans="1:56">
      <c r="A16" s="173" t="s">
        <v>32</v>
      </c>
      <c r="B16" s="23">
        <f>B3*SIN(RADIANS(B4))</f>
        <v>0.95798784374570456</v>
      </c>
      <c r="D16" s="168">
        <f>O38*(D2-N39)*(D2-N40)*(D2-N41)*(D2-N42)/((N38-N39)*(N38-N40)*(N38-N41)*(N38-N42))+O39*(D2-N38)*(D2-N40)*(D2-N41)*(D2-N42)/((N39-N38)*(N39-N40)*(N39-N41)*(N39-N42))+O40*(D2-N39)*(D2-N38)*(D2-N41)*(D2-N42)/((N40-N39)*(N40-N38)*(N40-N41)*(N40-N42))+O41*(D2-N39)*(D2-N40)*(D2-N38)*(D2-N42)/((N41-N39)*(N41-N40)*(N41-N38)*(N41-N42))+O42*(D2-N39)*(D2-N40)*(D2-N41)*(D2-N38)/((N42-N39)*(N42-N40)*(N42-N41)*(N42-N41))</f>
        <v>228.78479951453573</v>
      </c>
      <c r="E16" t="s">
        <v>216</v>
      </c>
      <c r="F16" s="15">
        <v>-5</v>
      </c>
      <c r="G16" s="7" t="s">
        <v>6</v>
      </c>
      <c r="H16" s="7" t="s">
        <v>7</v>
      </c>
      <c r="I16" s="7" t="s">
        <v>8</v>
      </c>
      <c r="J16" s="7" t="s">
        <v>9</v>
      </c>
      <c r="K16" s="1">
        <v>-0.3</v>
      </c>
      <c r="L16" s="173" t="s">
        <v>10</v>
      </c>
      <c r="M16" s="173">
        <v>0</v>
      </c>
      <c r="N16" s="173">
        <f>G5</f>
        <v>235.84</v>
      </c>
      <c r="O16" s="173" t="s">
        <v>10</v>
      </c>
      <c r="P16" s="173">
        <v>0</v>
      </c>
      <c r="Q16" s="173">
        <f>H5</f>
        <v>-181.6666666666668</v>
      </c>
      <c r="R16" s="173" t="s">
        <v>10</v>
      </c>
      <c r="S16" s="173">
        <v>0</v>
      </c>
      <c r="T16" s="173">
        <f>I5</f>
        <v>244.78</v>
      </c>
      <c r="U16" s="173" t="s">
        <v>10</v>
      </c>
      <c r="V16" s="173">
        <v>0</v>
      </c>
      <c r="W16" s="173">
        <f>J5</f>
        <v>226.93</v>
      </c>
      <c r="X16" s="1"/>
      <c r="Z16" s="163">
        <v>95</v>
      </c>
      <c r="AA16" s="164">
        <f>H40</f>
        <v>-634.65895741120585</v>
      </c>
      <c r="AB16" s="176"/>
      <c r="AD16" s="174" t="s">
        <v>32</v>
      </c>
      <c r="AE16" s="23">
        <f>AE3*SIN(RADIANS(AE4))</f>
        <v>0.95798784374570456</v>
      </c>
      <c r="AG16" s="168">
        <f>AR38*(AG2-AQ39)*(AG2-AQ40)*(AG2-AQ41)*(AG2-AQ42)/((AQ38-AQ39)*(AQ38-AQ40)*(AQ38-AQ41)*(AQ38-AQ42))+AR39*(AG2-AQ38)*(AG2-AQ40)*(AG2-AQ41)*(AG2-AQ42)/((AQ39-AQ38)*(AQ39-AQ40)*(AQ39-AQ41)*(AQ39-AQ42))+AR40*(AG2-AQ39)*(AG2-AQ38)*(AG2-AQ41)*(AG2-AQ42)/((AQ40-AQ39)*(AQ40-AQ38)*(AQ40-AQ41)*(AQ40-AQ42))+AR41*(AG2-AQ39)*(AG2-AQ40)*(AG2-AQ38)*(AG2-AQ42)/((AQ41-AQ39)*(AQ41-AQ40)*(AQ41-AQ38)*(AQ41-AQ42))+AR42*(AG2-AQ39)*(AG2-AQ40)*(AG2-AQ41)*(AG2-AQ38)/((AQ42-AQ39)*(AQ42-AQ40)*(AQ42-AQ41)*(AQ42-AQ41))</f>
        <v>228.51490291637873</v>
      </c>
      <c r="AI16" s="15">
        <v>5</v>
      </c>
      <c r="AJ16" s="7" t="s">
        <v>6</v>
      </c>
      <c r="AK16" s="7" t="s">
        <v>7</v>
      </c>
      <c r="AL16" s="7" t="s">
        <v>8</v>
      </c>
      <c r="AM16" s="7" t="s">
        <v>9</v>
      </c>
      <c r="AN16" s="1"/>
      <c r="AO16" s="174" t="s">
        <v>27</v>
      </c>
      <c r="AP16" s="174">
        <v>0</v>
      </c>
      <c r="AQ16" s="174">
        <f>AJ5</f>
        <v>235.79</v>
      </c>
      <c r="AR16" s="174" t="s">
        <v>27</v>
      </c>
      <c r="AS16" s="174">
        <v>0</v>
      </c>
      <c r="AT16" s="174">
        <f>AK5</f>
        <v>-181.6666666666668</v>
      </c>
      <c r="AU16" s="174" t="s">
        <v>27</v>
      </c>
      <c r="AV16" s="174">
        <v>0</v>
      </c>
      <c r="AW16" s="174">
        <f>AL5</f>
        <v>244.78</v>
      </c>
      <c r="AX16" s="174" t="s">
        <v>27</v>
      </c>
      <c r="AY16" s="174">
        <v>0</v>
      </c>
      <c r="AZ16" s="174">
        <f>AM5</f>
        <v>226.93</v>
      </c>
      <c r="BA16" s="1"/>
      <c r="BC16" s="163">
        <v>95</v>
      </c>
      <c r="BD16" s="164">
        <f>AK40</f>
        <v>-562.51738333134335</v>
      </c>
    </row>
    <row r="17" spans="1:56">
      <c r="A17" s="173" t="s">
        <v>33</v>
      </c>
      <c r="B17" s="23">
        <f>B3*COS(RADIANS(B4))</f>
        <v>-0.28680880606329973</v>
      </c>
      <c r="D17" s="1">
        <f>P38*(D2-N39)*(D2-N40)*(D2-N41)*(D2-N42)/((N38-N39)*(N38-N40)*(N38-N41)*(N38-N42))+P39*(D2-N38)*(D2-N40)*(D2-N41)*(D2-N42)/((N39-N38)*(N39-N40)*(N39-N41)*(N39-N42))+P40*(D2-N39)*(D2-N38)*(D2-N41)*(D2-N42)/((N40-N39)*(N40-N38)*(N40-N41)*(N40-N42))+P41*(D2-N39)*(D2-N40)*(D2-N38)*(D2-N42)/((N41-N39)*(N41-N40)*(N41-N38)*(N41-N42))+P42*(D2-N39)*(D2-N40)*(D2-N41)*(D2-N38)/((N42-N39)*(N42-N40)*(N42-N41)*(N42-N41))</f>
        <v>229.10846579307744</v>
      </c>
      <c r="E17" s="185">
        <v>255.2</v>
      </c>
      <c r="F17" s="173">
        <v>100</v>
      </c>
      <c r="G17" s="173">
        <v>255.15</v>
      </c>
      <c r="H17" s="173">
        <v>790</v>
      </c>
      <c r="I17" s="173">
        <v>266.57</v>
      </c>
      <c r="J17" s="173">
        <f>$K$16+K17</f>
        <v>243.41</v>
      </c>
      <c r="K17" s="180">
        <v>243.71</v>
      </c>
      <c r="L17" s="173" t="s">
        <v>10</v>
      </c>
      <c r="M17" s="173">
        <v>-2.5</v>
      </c>
      <c r="N17" s="173">
        <f>G12</f>
        <v>237.86</v>
      </c>
      <c r="O17" s="173" t="s">
        <v>10</v>
      </c>
      <c r="P17" s="173">
        <v>-2.5</v>
      </c>
      <c r="Q17" s="173">
        <f>H12</f>
        <v>-98.333333333333201</v>
      </c>
      <c r="R17" s="173" t="s">
        <v>10</v>
      </c>
      <c r="S17" s="173">
        <v>-2.5</v>
      </c>
      <c r="T17" s="173">
        <f>I12</f>
        <v>247.1</v>
      </c>
      <c r="U17" s="173" t="s">
        <v>10</v>
      </c>
      <c r="V17" s="173">
        <v>-2.5</v>
      </c>
      <c r="W17" s="173">
        <f>J12</f>
        <v>228.65</v>
      </c>
      <c r="X17" s="1"/>
      <c r="Z17" s="163">
        <v>92.5</v>
      </c>
      <c r="AA17" s="164">
        <f>H41</f>
        <v>-796.35750859959353</v>
      </c>
      <c r="AB17" s="176"/>
      <c r="AD17" s="174" t="s">
        <v>33</v>
      </c>
      <c r="AE17" s="23">
        <f>AE3*COS(RADIANS(AE4))</f>
        <v>-0.28680880606329973</v>
      </c>
      <c r="AG17" s="1">
        <f>AS38*(AG2-AQ39)*(AG2-AQ40)*(AG2-AQ41)*(AG2-AQ42)/((AQ38-AQ39)*(AQ38-AQ40)*(AQ38-AQ41)*(AQ38-AQ42))+AS39*(AG2-AQ38)*(AG2-AQ40)*(AG2-AQ41)*(AG2-AQ42)/((AQ39-AQ38)*(AQ39-AQ40)*(AQ39-AQ41)*(AQ39-AQ42))+AS40*(AG2-AQ39)*(AG2-AQ38)*(AG2-AQ41)*(AG2-AQ42)/((AQ40-AQ39)*(AQ40-AQ38)*(AQ40-AQ41)*(AQ40-AQ42))+AS41*(AG2-AQ39)*(AG2-AQ40)*(AG2-AQ38)*(AG2-AQ42)/((AQ41-AQ39)*(AQ41-AQ40)*(AQ41-AQ38)*(AQ41-AQ42))+AS42*(AG2-AQ39)*(AG2-AQ40)*(AG2-AQ41)*(AG2-AQ38)/((AQ42-AQ39)*(AQ42-AQ40)*(AQ42-AQ41)*(AQ42-AQ41))</f>
        <v>228.79823726813166</v>
      </c>
      <c r="AI17" s="174">
        <v>100</v>
      </c>
      <c r="AJ17" s="175">
        <v>248.56</v>
      </c>
      <c r="AK17" s="175">
        <v>420</v>
      </c>
      <c r="AL17" s="175">
        <v>258.83999999999997</v>
      </c>
      <c r="AM17" s="175">
        <v>238.36</v>
      </c>
      <c r="AN17" s="1"/>
      <c r="AO17" s="174" t="s">
        <v>27</v>
      </c>
      <c r="AP17" s="174">
        <v>2.5</v>
      </c>
      <c r="AQ17" s="174">
        <f>AJ12</f>
        <v>233.62</v>
      </c>
      <c r="AR17" s="174" t="s">
        <v>27</v>
      </c>
      <c r="AS17" s="174">
        <v>2.5</v>
      </c>
      <c r="AT17" s="174">
        <f>AK12</f>
        <v>-268.3333333333332</v>
      </c>
      <c r="AU17" s="174" t="s">
        <v>27</v>
      </c>
      <c r="AV17" s="174">
        <v>2.5</v>
      </c>
      <c r="AW17" s="174">
        <f>AL12</f>
        <v>242.3</v>
      </c>
      <c r="AX17" s="174" t="s">
        <v>27</v>
      </c>
      <c r="AY17" s="174">
        <v>2.5</v>
      </c>
      <c r="AZ17" s="174">
        <f>AM12</f>
        <v>225.07</v>
      </c>
      <c r="BA17" s="1"/>
      <c r="BC17" s="163">
        <v>92.5</v>
      </c>
      <c r="BD17" s="164">
        <f>AK41</f>
        <v>-846.72215619766394</v>
      </c>
    </row>
    <row r="18" spans="1:56">
      <c r="E18" s="185">
        <v>247.55</v>
      </c>
      <c r="F18" s="173">
        <v>97.5</v>
      </c>
      <c r="G18" s="173">
        <v>247.51</v>
      </c>
      <c r="H18" s="173">
        <v>358.33333333333337</v>
      </c>
      <c r="I18" s="173">
        <v>257.93</v>
      </c>
      <c r="J18" s="180">
        <f t="shared" ref="J18:J21" si="0">$K$16+K18</f>
        <v>236.79</v>
      </c>
      <c r="K18" s="180">
        <v>237.09</v>
      </c>
      <c r="L18" s="173" t="s">
        <v>10</v>
      </c>
      <c r="M18" s="173">
        <v>-5</v>
      </c>
      <c r="N18" s="173">
        <f>G19</f>
        <v>239.76</v>
      </c>
      <c r="O18" s="173" t="s">
        <v>10</v>
      </c>
      <c r="P18" s="173">
        <v>-5</v>
      </c>
      <c r="Q18" s="173">
        <f>H19</f>
        <v>-15</v>
      </c>
      <c r="R18" s="173" t="s">
        <v>10</v>
      </c>
      <c r="S18" s="173">
        <v>-5</v>
      </c>
      <c r="T18" s="173">
        <f>I19</f>
        <v>249.29</v>
      </c>
      <c r="U18" s="173" t="s">
        <v>10</v>
      </c>
      <c r="V18" s="173">
        <v>-5</v>
      </c>
      <c r="W18" s="173">
        <f>J19</f>
        <v>229.95999999999998</v>
      </c>
      <c r="X18" s="1"/>
      <c r="Z18" s="163">
        <v>90</v>
      </c>
      <c r="AA18" s="164">
        <f>H42</f>
        <v>-1173.6299356115214</v>
      </c>
      <c r="AB18" s="176"/>
      <c r="AG18" s="1"/>
      <c r="AI18" s="174">
        <v>97.5</v>
      </c>
      <c r="AJ18" s="175">
        <v>240.01</v>
      </c>
      <c r="AK18" s="175">
        <v>0</v>
      </c>
      <c r="AL18" s="175">
        <v>249.27</v>
      </c>
      <c r="AM18" s="175">
        <v>230.85</v>
      </c>
      <c r="AN18" s="13">
        <v>95</v>
      </c>
      <c r="AO18" s="174" t="s">
        <v>27</v>
      </c>
      <c r="AP18" s="174">
        <v>5</v>
      </c>
      <c r="AQ18" s="174">
        <f>AJ19</f>
        <v>231.28</v>
      </c>
      <c r="AR18" s="174" t="s">
        <v>27</v>
      </c>
      <c r="AS18" s="174">
        <v>5</v>
      </c>
      <c r="AT18" s="174">
        <f>AK19</f>
        <v>-358.3333333333332</v>
      </c>
      <c r="AU18" s="174" t="s">
        <v>27</v>
      </c>
      <c r="AV18" s="174">
        <v>5</v>
      </c>
      <c r="AW18" s="174">
        <f>AL19</f>
        <v>239.63</v>
      </c>
      <c r="AX18" s="174" t="s">
        <v>27</v>
      </c>
      <c r="AY18" s="174">
        <v>5</v>
      </c>
      <c r="AZ18" s="174">
        <f>AM19</f>
        <v>223.05</v>
      </c>
      <c r="BA18" s="1"/>
      <c r="BC18" s="163">
        <v>90</v>
      </c>
      <c r="BD18" s="164">
        <f>AK42</f>
        <v>-1080.152011212253</v>
      </c>
    </row>
    <row r="19" spans="1:56">
      <c r="A19" s="173" t="s">
        <v>31</v>
      </c>
      <c r="B19" s="173" t="s">
        <v>35</v>
      </c>
      <c r="E19" s="185">
        <v>239.79</v>
      </c>
      <c r="F19" s="173">
        <v>95</v>
      </c>
      <c r="G19" s="173">
        <v>239.76</v>
      </c>
      <c r="H19" s="173">
        <v>-15</v>
      </c>
      <c r="I19" s="173">
        <v>249.29</v>
      </c>
      <c r="J19" s="180">
        <f t="shared" si="0"/>
        <v>229.95999999999998</v>
      </c>
      <c r="K19" s="180">
        <v>230.26</v>
      </c>
      <c r="L19" s="173" t="s">
        <v>10</v>
      </c>
      <c r="M19" s="173">
        <v>-7.5</v>
      </c>
      <c r="N19" s="173">
        <f>G26</f>
        <v>241.54</v>
      </c>
      <c r="O19" s="173" t="s">
        <v>10</v>
      </c>
      <c r="P19" s="173">
        <v>-7.5</v>
      </c>
      <c r="Q19" s="1">
        <f>H26</f>
        <v>68</v>
      </c>
      <c r="R19" s="173" t="s">
        <v>10</v>
      </c>
      <c r="S19" s="173">
        <v>-7.5</v>
      </c>
      <c r="T19" s="173">
        <f>I26</f>
        <v>251.35</v>
      </c>
      <c r="U19" s="173" t="s">
        <v>10</v>
      </c>
      <c r="V19" s="173">
        <v>-7.5</v>
      </c>
      <c r="W19" s="173">
        <f>J26</f>
        <v>231.45999999999998</v>
      </c>
      <c r="X19" s="1"/>
      <c r="Y19" s="163" t="s">
        <v>194</v>
      </c>
      <c r="Z19" s="164">
        <f>$A$30</f>
        <v>99.881983394320457</v>
      </c>
      <c r="AA19" s="164">
        <f>AA14*(Z19-Z15)*(Z19-Z16)*(Z19-Z17)*(Z19-Z18)/((Z14-Z15)*(Z14-Z16)*(Z14-Z17)*(Z14-Z18))+AA15*(Z19-Z14)*(Z19-Z16)*(Z19-Z17)*(Z19-Z18)/((Z15-Z14)*(Z15-Z16)*(Z15-Z17)*(Z15-Z18))+AA16*(Z19-Z14)*(Z19-Z15)*(Z19-Z17)*(Z19-Z18)/((Z16-Z14)*(Z16-Z15)*(Z16-Z17)*(Z16-Z18))+AA17*(Z19-Z14)*(Z19-Z15)*(Z19-Z16)*(Z19-Z18)/((Z17-Z14)*(Z17-Z15)*(Z17-Z16)*(Z17-Z18))+AA18*(Z19-Z14)*(Z19-Z15)*(Z19-Z16)*(Z19-Z17)/((Z18-Z14)*(Z18-Z15)*(Z18-Z16)*(Z18-Z17))</f>
        <v>258.05874888760997</v>
      </c>
      <c r="AB19" s="176"/>
      <c r="AD19" s="174" t="s">
        <v>31</v>
      </c>
      <c r="AE19" s="174" t="s">
        <v>35</v>
      </c>
      <c r="AG19" s="1"/>
      <c r="AI19" s="174">
        <v>95</v>
      </c>
      <c r="AJ19" s="175">
        <v>231.28</v>
      </c>
      <c r="AK19" s="175">
        <v>-358.3333333333332</v>
      </c>
      <c r="AL19" s="175">
        <v>239.63</v>
      </c>
      <c r="AM19" s="175">
        <v>223.05</v>
      </c>
      <c r="AN19" s="1"/>
      <c r="AO19" s="174" t="s">
        <v>27</v>
      </c>
      <c r="AP19" s="174">
        <v>7.5</v>
      </c>
      <c r="AQ19" s="174">
        <f>AJ26</f>
        <v>228.74</v>
      </c>
      <c r="AR19" s="174" t="s">
        <v>27</v>
      </c>
      <c r="AS19" s="174">
        <v>7.5</v>
      </c>
      <c r="AT19" s="1">
        <f>AK26</f>
        <v>-450</v>
      </c>
      <c r="AU19" s="174" t="s">
        <v>27</v>
      </c>
      <c r="AV19" s="174">
        <v>7.5</v>
      </c>
      <c r="AW19" s="174">
        <f>AL26</f>
        <v>236.75</v>
      </c>
      <c r="AX19" s="174" t="s">
        <v>27</v>
      </c>
      <c r="AY19" s="174">
        <v>7.5</v>
      </c>
      <c r="AZ19" s="174">
        <f>AM26</f>
        <v>220.85</v>
      </c>
      <c r="BA19" s="1"/>
      <c r="BB19" s="163" t="s">
        <v>194</v>
      </c>
      <c r="BC19" s="164">
        <f>AD30</f>
        <v>99.734764836887479</v>
      </c>
      <c r="BD19" s="164">
        <f>BD14*(BC19-BC15)*(BC19-BC16)*(BC19-BC17)*(BC19-BC18)/((BC14-BC15)*(BC14-BC16)*(BC14-BC17)*(BC14-BC18))+BD15*(BC19-BC14)*(BC19-BC16)*(BC19-BC17)*(BC19-BC18)/((BC15-BC14)*(BC15-BC16)*(BC15-BC17)*(BC15-BC18))+BD16*(BC19-BC14)*(BC19-BC15)*(BC19-BC17)*(BC19-BC18)/((BC16-BC14)*(BC16-BC15)*(BC16-BC17)*(BC16-BC18))+BD17*(BC19-BC14)*(BC19-BC15)*(BC19-BC16)*(BC19-BC18)/((BC17-BC14)*(BC17-BC15)*(BC17-BC16)*(BC17-BC18))+BD18*(BC19-BC14)*(BC19-BC15)*(BC19-BC16)*(BC19-BC17)/((BC18-BC14)*(BC18-BC15)*(BC18-BC16)*(BC18-BC17))</f>
        <v>130.11432049691649</v>
      </c>
    </row>
    <row r="20" spans="1:56">
      <c r="A20" s="22">
        <f>(I51*(D2-H52)*(D2-H53)/((H51-H52)*(H51-H53))+I52*(D2-H51)*(D2-H53)/((H52-H51)*(H52-H53))+I53*(D2-H51)*(D2-H52)/((H53-H51)*(H53-H52)))</f>
        <v>114.41215160650469</v>
      </c>
      <c r="B20" s="23">
        <f>(B16*A20+(A21*B14))/(D2*(44/17.5))</f>
        <v>-0.12908370132449498</v>
      </c>
      <c r="D20"/>
      <c r="E20" s="185">
        <v>232</v>
      </c>
      <c r="F20" s="173">
        <v>92.5</v>
      </c>
      <c r="G20" s="173">
        <v>231.96</v>
      </c>
      <c r="H20" s="173">
        <v>-335</v>
      </c>
      <c r="I20" s="173">
        <v>240.69</v>
      </c>
      <c r="J20" s="180">
        <f t="shared" si="0"/>
        <v>222.98</v>
      </c>
      <c r="K20" s="180">
        <v>223.28</v>
      </c>
      <c r="L20" s="173" t="s">
        <v>10</v>
      </c>
      <c r="M20" s="173">
        <v>-10</v>
      </c>
      <c r="N20" s="173">
        <f>G33</f>
        <v>243.22</v>
      </c>
      <c r="O20" s="173" t="s">
        <v>10</v>
      </c>
      <c r="P20" s="173">
        <v>-10</v>
      </c>
      <c r="Q20" s="173">
        <f>H33</f>
        <v>145</v>
      </c>
      <c r="R20" s="173" t="s">
        <v>10</v>
      </c>
      <c r="S20" s="173">
        <v>-10</v>
      </c>
      <c r="T20" s="173">
        <f>I33</f>
        <v>253.3</v>
      </c>
      <c r="U20" s="173" t="s">
        <v>10</v>
      </c>
      <c r="V20" s="173">
        <v>-10</v>
      </c>
      <c r="W20" s="173">
        <f>J33</f>
        <v>232.86999999999998</v>
      </c>
      <c r="X20" s="1"/>
      <c r="AB20" s="176"/>
      <c r="AD20" s="22">
        <f>(AL51*(AG2-AK52)*(AG2-AK53)/((AK51-AK52)*(AK51-AK53))+AL52*(AG2-AK51)*(AG2-AK53)/((AK52-AK51)*(AK52-AK53))+AL53*(AG2-AK51)*(AG2-AK52)/((AK53-AK51)*(AK53-AK52)))</f>
        <v>114.41215160650469</v>
      </c>
      <c r="AE20" s="23">
        <f>(AE16*AD20+(AD21*AE14))/(AG2*(44/17.5))</f>
        <v>-0.12034429501497153</v>
      </c>
      <c r="AI20" s="174">
        <v>92.5</v>
      </c>
      <c r="AJ20" s="175">
        <v>222.45</v>
      </c>
      <c r="AK20" s="175">
        <v>-661.66666666666799</v>
      </c>
      <c r="AL20" s="175">
        <v>229.97</v>
      </c>
      <c r="AM20" s="175">
        <v>215.05</v>
      </c>
      <c r="AN20" s="1"/>
      <c r="AO20" s="174" t="s">
        <v>27</v>
      </c>
      <c r="AP20" s="174">
        <v>10</v>
      </c>
      <c r="AQ20" s="174">
        <f>AJ33</f>
        <v>225.97</v>
      </c>
      <c r="AR20" s="174" t="s">
        <v>27</v>
      </c>
      <c r="AS20" s="174">
        <v>10</v>
      </c>
      <c r="AT20" s="174">
        <f>AK33</f>
        <v>-546.66666666666674</v>
      </c>
      <c r="AU20" s="174" t="s">
        <v>27</v>
      </c>
      <c r="AV20" s="174">
        <v>10</v>
      </c>
      <c r="AW20" s="174">
        <f>AL33</f>
        <v>233.6</v>
      </c>
      <c r="AX20" s="174" t="s">
        <v>27</v>
      </c>
      <c r="AY20" s="174">
        <v>10</v>
      </c>
      <c r="AZ20" s="174">
        <f>AM33</f>
        <v>218.43</v>
      </c>
      <c r="BA20" s="1"/>
    </row>
    <row r="21" spans="1:56">
      <c r="A21" s="22">
        <f>A20*1</f>
        <v>114.41215160650469</v>
      </c>
      <c r="D21"/>
      <c r="E21" s="185">
        <v>224.21</v>
      </c>
      <c r="F21" s="173">
        <v>90</v>
      </c>
      <c r="G21" s="173">
        <v>224.18</v>
      </c>
      <c r="H21" s="173">
        <v>-606.66666666666674</v>
      </c>
      <c r="I21" s="173">
        <v>232.19</v>
      </c>
      <c r="J21" s="180">
        <f t="shared" si="0"/>
        <v>215.92999999999998</v>
      </c>
      <c r="K21" s="180">
        <v>216.23</v>
      </c>
      <c r="L21" s="173" t="s">
        <v>11</v>
      </c>
      <c r="M21" s="9">
        <f>$B$2</f>
        <v>6.0220000000000002</v>
      </c>
      <c r="N21" s="173">
        <f>N16*(M21-M18)*(M21-M20)*(M21-M17)*(M21-M19)/((M16-M18)*(M16-M20)*(M16-M17)*(M16-M19))+N18*(M21-M16)*(M21-M20)*(M21-M17)*(M21-M19)/((M18-M16)*(M18-M20)*(M18-M17)*(M18-M19))+N20*(M21-M16)*(M21-M18)*(M21-M17)*(M21-M19)/((M20-M16)*(M20-M18)*(M20-M17)*(M20-M19))+N17*(M21-M18)*(M21-M20)*(M21-M16)*(M21-M19)/((M17-M18)*(M17-M20)*(M17-M16)*(M17-M19))+N19*(M21-M18)*(M21-M20)*(M21-M16)*(M21-M17)/((M19-M18)*(M19-M20)*(M19-M16)*(M19-M17))</f>
        <v>230.64472771444161</v>
      </c>
      <c r="O21" s="173" t="s">
        <v>11</v>
      </c>
      <c r="P21" s="9">
        <f>$B$2</f>
        <v>6.0220000000000002</v>
      </c>
      <c r="Q21" s="173">
        <f>Q16*(P21-P18)*(P21-P20)*(P21-P17)*(P21-P19)/((P16-P18)*(P16-P20)*(P16-P17)*(P16-P19))+Q18*(P21-P16)*(P21-P20)*(P21-P17)*(P21-P19)/((P18-P16)*(P18-P20)*(P18-P17)*(P18-P19))+Q20*(P21-P16)*(P21-P18)*(P21-P17)*(P21-P19)/((P20-P16)*(P20-P18)*(P20-P17)*(P20-P19))+Q17*(P21-P18)*(P21-P20)*(P21-P16)*(P21-P19)/((P17-P18)*(P17-P20)*(P17-P16)*(P17-P19))+Q19*(P21-P18)*(P21-P20)*(P21-P16)*(P21-P17)/((P19-P18)*(P19-P20)*(P19-P16)*(P19-P17))</f>
        <v>-423.90102652645328</v>
      </c>
      <c r="R21" s="173" t="s">
        <v>11</v>
      </c>
      <c r="S21" s="9">
        <f>$B$2</f>
        <v>6.0220000000000002</v>
      </c>
      <c r="T21" s="173">
        <f>T16*(S21-S18)*(S21-S20)*(S21-S17)*(S21-S19)/((S16-S18)*(S16-S20)*(S16-S17)*(S16-S19))+T18*(S21-S16)*(S21-S20)*(S21-S17)*(S21-S19)/((S18-S16)*(S18-S20)*(S18-S17)*(S18-S19))+T20*(S21-S16)*(S21-S18)*(S21-S17)*(S21-S19)/((S20-S16)*(S20-S18)*(S20-S17)*(S20-S19))+T17*(S21-S18)*(S21-S20)*(S21-S16)*(S21-S19)/((S17-S18)*(S17-S20)*(S17-S16)*(S17-S19))+T19*(S21-S18)*(S21-S20)*(S21-S16)*(S21-S17)/((S19-S18)*(S19-S20)*(S19-S16)*(S19-S17))</f>
        <v>238.8210321272436</v>
      </c>
      <c r="U21" s="173" t="s">
        <v>11</v>
      </c>
      <c r="V21" s="9">
        <f>$B$2</f>
        <v>6.0220000000000002</v>
      </c>
      <c r="W21" s="173">
        <f>W16*(V21-V18)*(V21-V20)*(V21-V17)*(V21-V19)/((V16-V18)*(V16-V20)*(V16-V17)*(V16-V19))+W18*(V21-V16)*(V21-V20)*(V21-V17)*(V21-V19)/((V18-V16)*(V18-V20)*(V18-V17)*(V18-V19))+W20*(V21-V16)*(V21-V18)*(V21-V17)*(V21-V19)/((V20-V16)*(V20-V18)*(V20-V17)*(V20-V19))+W17*(V21-V18)*(V21-V20)*(V21-V16)*(V21-V19)/((V17-V18)*(V17-V20)*(V17-V16)*(V17-V19))+W19*(V21-V18)*(V21-V20)*(V21-V16)*(V21-V17)/((V19-V18)*(V19-V20)*(V19-V16)*(V19-V17))</f>
        <v>210.30395399076588</v>
      </c>
      <c r="X21" s="1"/>
      <c r="AB21" s="176"/>
      <c r="AD21" s="22">
        <f>AD20*1</f>
        <v>114.41215160650469</v>
      </c>
      <c r="AI21" s="174">
        <v>90</v>
      </c>
      <c r="AJ21" s="175">
        <v>213.57</v>
      </c>
      <c r="AK21" s="175">
        <v>-913.33333333333201</v>
      </c>
      <c r="AL21" s="175">
        <v>220.34</v>
      </c>
      <c r="AM21" s="175">
        <v>206.92</v>
      </c>
      <c r="AN21" s="1"/>
      <c r="AO21" s="174" t="s">
        <v>28</v>
      </c>
      <c r="AP21" s="9">
        <f>$B$2</f>
        <v>6.0220000000000002</v>
      </c>
      <c r="AQ21" s="174">
        <f>AQ16*(AP21-AP18)*(AP21-AP20)*(AP21-AP17)*(AP21-AP19)/((AP16-AP18)*(AP16-AP20)*(AP16-AP17)*(AP16-AP19))+AQ18*(AP21-AP16)*(AP21-AP20)*(AP21-AP17)*(AP21-AP19)/((AP18-AP16)*(AP18-AP20)*(AP18-AP17)*(AP18-AP19))+AQ20*(AP21-AP16)*(AP21-AP18)*(AP21-AP17)*(AP21-AP19)/((AP20-AP16)*(AP20-AP18)*(AP20-AP17)*(AP20-AP19))+AQ17*(AP21-AP18)*(AP21-AP20)*(AP21-AP16)*(AP21-AP19)/((AP17-AP18)*(AP17-AP20)*(AP17-AP16)*(AP17-AP19))+AQ19*(AP21-AP18)*(AP21-AP20)*(AP21-AP16)*(AP21-AP17)/((AP19-AP18)*(AP19-AP20)*(AP19-AP16)*(AP19-AP17))</f>
        <v>230.26751866795263</v>
      </c>
      <c r="AR21" s="174" t="s">
        <v>28</v>
      </c>
      <c r="AS21" s="9">
        <f>$B$2</f>
        <v>6.0220000000000002</v>
      </c>
      <c r="AT21" s="174">
        <f>AT16*(AS21-AS18)*(AS21-AS20)*(AS21-AS17)*(AS21-AS19)/((AS16-AS18)*(AS16-AS20)*(AS16-AS17)*(AS16-AS19))+AT18*(AS21-AS16)*(AS21-AS20)*(AS21-AS17)*(AS21-AS19)/((AS18-AS16)*(AS18-AS20)*(AS18-AS17)*(AS18-AS19))+AT20*(AS21-AS16)*(AS21-AS18)*(AS21-AS17)*(AS21-AS19)/((AS20-AS16)*(AS20-AS18)*(AS20-AS17)*(AS20-AS19))+AT17*(AS21-AS18)*(AS21-AS20)*(AS21-AS16)*(AS21-AS19)/((AS17-AS18)*(AS17-AS20)*(AS17-AS16)*(AS17-AS19))+AT19*(AS21-AS18)*(AS21-AS20)*(AS21-AS16)*(AS21-AS17)/((AS19-AS18)*(AS19-AS20)*(AS19-AS16)*(AS19-AS17))</f>
        <v>-395.52897756216657</v>
      </c>
      <c r="AU21" s="174" t="s">
        <v>28</v>
      </c>
      <c r="AV21" s="9">
        <f>$B$2</f>
        <v>6.0220000000000002</v>
      </c>
      <c r="AW21" s="174">
        <f>AW16*(AV21-AV18)*(AV21-AV20)*(AV21-AV17)*(AV21-AV19)/((AV16-AV18)*(AV16-AV20)*(AV16-AV17)*(AV16-AV19))+AW18*(AV21-AV16)*(AV21-AV20)*(AV21-AV17)*(AV21-AV19)/((AV18-AV16)*(AV18-AV20)*(AV18-AV17)*(AV18-AV19))+AW20*(AV21-AV16)*(AV21-AV18)*(AV21-AV17)*(AV21-AV19)/((AV20-AV16)*(AV20-AV18)*(AV20-AV17)*(AV20-AV19))+AW17*(AV21-AV18)*(AV21-AV20)*(AV21-AV16)*(AV21-AV19)/((AV17-AV18)*(AV17-AV20)*(AV17-AV16)*(AV17-AV19))+AW19*(AV21-AV18)*(AV21-AV20)*(AV21-AV16)*(AV21-AV17)/((AV19-AV18)*(AV19-AV20)*(AV19-AV16)*(AV19-AV17))</f>
        <v>238.48053453340555</v>
      </c>
      <c r="AX21" s="174" t="s">
        <v>28</v>
      </c>
      <c r="AY21" s="9">
        <f>$B$2</f>
        <v>6.0220000000000002</v>
      </c>
      <c r="AZ21" s="174">
        <f>AZ16*(AY21-AY18)*(AY21-AY20)*(AY21-AY17)*(AY21-AY19)/((AY16-AY18)*(AY16-AY20)*(AY16-AY17)*(AY16-AY19))+AZ18*(AY21-AY16)*(AY21-AY20)*(AY21-AY17)*(AY21-AY19)/((AY18-AY16)*(AY18-AY20)*(AY18-AY17)*(AY18-AY19))+AZ20*(AY21-AY16)*(AY21-AY18)*(AY21-AY17)*(AY21-AY19)/((AY20-AY16)*(AY20-AY18)*(AY20-AY17)*(AY20-AY19))+AZ17*(AY21-AY18)*(AY21-AY20)*(AY21-AY16)*(AY21-AY19)/((AY17-AY18)*(AY17-AY20)*(AY17-AY16)*(AY17-AY19))+AZ19*(AY21-AY18)*(AY21-AY20)*(AY21-AY16)*(AY21-AY17)/((AY19-AY18)*(AY19-AY20)*(AY19-AY16)*(AY19-AY17))</f>
        <v>222.17420983335364</v>
      </c>
      <c r="BA21" s="1"/>
    </row>
    <row r="22" spans="1:56">
      <c r="D22"/>
      <c r="K22" s="1"/>
      <c r="N22" s="173" t="s">
        <v>12</v>
      </c>
      <c r="O22" s="1"/>
      <c r="P22" s="1"/>
      <c r="Q22" s="1" t="s">
        <v>13</v>
      </c>
      <c r="R22" s="1"/>
      <c r="S22" s="1"/>
      <c r="T22" s="1" t="s">
        <v>8</v>
      </c>
      <c r="U22" s="1"/>
      <c r="V22" s="1"/>
      <c r="W22" s="1" t="s">
        <v>9</v>
      </c>
      <c r="X22" s="1"/>
      <c r="Z22" s="163">
        <v>100</v>
      </c>
      <c r="AA22" s="164">
        <f>S38-U38</f>
        <v>0.56000000000000227</v>
      </c>
      <c r="AB22" s="176"/>
      <c r="AN22" s="1"/>
      <c r="AQ22" s="174" t="s">
        <v>12</v>
      </c>
      <c r="AR22" s="1"/>
      <c r="AS22" s="1"/>
      <c r="AT22" s="1" t="s">
        <v>13</v>
      </c>
      <c r="AU22" s="1"/>
      <c r="AV22" s="1"/>
      <c r="AW22" s="1" t="s">
        <v>8</v>
      </c>
      <c r="AX22" s="1"/>
      <c r="AY22" s="1"/>
      <c r="AZ22" s="1" t="s">
        <v>9</v>
      </c>
      <c r="BA22" s="1"/>
    </row>
    <row r="23" spans="1:56">
      <c r="A23" s="173" t="s">
        <v>36</v>
      </c>
      <c r="B23" s="23">
        <f>D13</f>
        <v>0.95607498182760431</v>
      </c>
      <c r="D23"/>
      <c r="E23" t="s">
        <v>216</v>
      </c>
      <c r="F23" s="15">
        <v>-7.5</v>
      </c>
      <c r="G23" s="7" t="s">
        <v>6</v>
      </c>
      <c r="H23" s="7" t="s">
        <v>7</v>
      </c>
      <c r="I23" s="7" t="s">
        <v>8</v>
      </c>
      <c r="J23" s="7" t="s">
        <v>9</v>
      </c>
      <c r="K23" s="1">
        <v>-0.3</v>
      </c>
      <c r="L23" s="173" t="s">
        <v>10</v>
      </c>
      <c r="M23" s="173">
        <v>0</v>
      </c>
      <c r="N23" s="173">
        <f>G6</f>
        <v>227.59</v>
      </c>
      <c r="O23" s="173" t="s">
        <v>10</v>
      </c>
      <c r="P23" s="173">
        <v>0</v>
      </c>
      <c r="Q23" s="173">
        <f>H6</f>
        <v>-493.33333333333201</v>
      </c>
      <c r="R23" s="173" t="s">
        <v>10</v>
      </c>
      <c r="S23" s="173">
        <v>0</v>
      </c>
      <c r="T23" s="173">
        <f>I6</f>
        <v>235.72</v>
      </c>
      <c r="U23" s="173" t="s">
        <v>10</v>
      </c>
      <c r="V23" s="173">
        <v>0</v>
      </c>
      <c r="W23" s="173">
        <f>J6</f>
        <v>219.5</v>
      </c>
      <c r="X23" s="1"/>
      <c r="Z23" s="163">
        <v>97.5</v>
      </c>
      <c r="AA23" s="164">
        <f t="shared" ref="AA23:AA26" si="1">S39-U39</f>
        <v>0.54000000000002046</v>
      </c>
      <c r="AB23" s="176"/>
      <c r="AD23" s="174" t="s">
        <v>36</v>
      </c>
      <c r="AE23" s="23">
        <f>AG13</f>
        <v>0.95693625635877311</v>
      </c>
      <c r="AI23" s="15">
        <v>7.5</v>
      </c>
      <c r="AJ23" s="7" t="s">
        <v>6</v>
      </c>
      <c r="AK23" s="7" t="s">
        <v>7</v>
      </c>
      <c r="AL23" s="7" t="s">
        <v>8</v>
      </c>
      <c r="AM23" s="7" t="s">
        <v>9</v>
      </c>
      <c r="AN23" s="1"/>
      <c r="AO23" s="174" t="s">
        <v>27</v>
      </c>
      <c r="AP23" s="174">
        <v>0</v>
      </c>
      <c r="AQ23" s="174">
        <f>AJ6</f>
        <v>227.55</v>
      </c>
      <c r="AR23" s="174" t="s">
        <v>27</v>
      </c>
      <c r="AS23" s="174">
        <v>0</v>
      </c>
      <c r="AT23" s="174">
        <f>AK6</f>
        <v>-493.33333333333201</v>
      </c>
      <c r="AU23" s="174" t="s">
        <v>27</v>
      </c>
      <c r="AV23" s="174">
        <v>0</v>
      </c>
      <c r="AW23" s="174">
        <f>AL6</f>
        <v>235.72</v>
      </c>
      <c r="AX23" s="174" t="s">
        <v>27</v>
      </c>
      <c r="AY23" s="174">
        <v>0</v>
      </c>
      <c r="AZ23" s="174">
        <f>AM6</f>
        <v>219.5</v>
      </c>
      <c r="BA23" s="1"/>
    </row>
    <row r="24" spans="1:56">
      <c r="A24" s="173" t="s">
        <v>37</v>
      </c>
      <c r="B24" s="23">
        <f>D14</f>
        <v>-0.29127503841191799</v>
      </c>
      <c r="D24"/>
      <c r="E24" s="185">
        <v>256.61</v>
      </c>
      <c r="F24" s="173">
        <v>100</v>
      </c>
      <c r="G24" s="173">
        <v>256.57</v>
      </c>
      <c r="H24" s="173">
        <v>875</v>
      </c>
      <c r="I24" s="173">
        <v>268.26</v>
      </c>
      <c r="J24" s="173">
        <f>$K$23+K24</f>
        <v>244.54999999999998</v>
      </c>
      <c r="K24" s="180">
        <v>244.85</v>
      </c>
      <c r="L24" s="173" t="s">
        <v>10</v>
      </c>
      <c r="M24" s="173">
        <v>-2.5</v>
      </c>
      <c r="N24" s="173">
        <f>G13</f>
        <v>229.86</v>
      </c>
      <c r="O24" s="173" t="s">
        <v>10</v>
      </c>
      <c r="P24" s="173">
        <v>-2.5</v>
      </c>
      <c r="Q24" s="173">
        <f>H13</f>
        <v>-413.33333333333201</v>
      </c>
      <c r="R24" s="173" t="s">
        <v>10</v>
      </c>
      <c r="S24" s="173">
        <v>-2.5</v>
      </c>
      <c r="T24" s="173">
        <f>I13</f>
        <v>238.29</v>
      </c>
      <c r="U24" s="173" t="s">
        <v>10</v>
      </c>
      <c r="V24" s="173">
        <v>-2.5</v>
      </c>
      <c r="W24" s="173">
        <f>J13</f>
        <v>221.46</v>
      </c>
      <c r="X24" s="1"/>
      <c r="Z24" s="163">
        <v>95</v>
      </c>
      <c r="AA24" s="164">
        <f t="shared" si="1"/>
        <v>0.53000000000000114</v>
      </c>
      <c r="AB24" s="176"/>
      <c r="AD24" s="174" t="s">
        <v>37</v>
      </c>
      <c r="AE24" s="23">
        <f>AG14</f>
        <v>-0.28927689675650509</v>
      </c>
      <c r="AI24" s="174">
        <v>100</v>
      </c>
      <c r="AJ24" s="175">
        <v>246.65</v>
      </c>
      <c r="AK24" s="175">
        <v>323.33333333333337</v>
      </c>
      <c r="AL24" s="175">
        <v>256.61</v>
      </c>
      <c r="AM24" s="175">
        <v>236.77</v>
      </c>
      <c r="AO24" s="174" t="s">
        <v>27</v>
      </c>
      <c r="AP24" s="174">
        <v>2.5</v>
      </c>
      <c r="AQ24" s="174">
        <f>AJ13</f>
        <v>225.11</v>
      </c>
      <c r="AR24" s="174" t="s">
        <v>27</v>
      </c>
      <c r="AS24" s="174">
        <v>2.5</v>
      </c>
      <c r="AT24" s="174">
        <f>AK13</f>
        <v>-575</v>
      </c>
      <c r="AU24" s="174" t="s">
        <v>27</v>
      </c>
      <c r="AV24" s="174">
        <v>2.5</v>
      </c>
      <c r="AW24" s="174">
        <f>AL13</f>
        <v>232.96</v>
      </c>
      <c r="AX24" s="174" t="s">
        <v>27</v>
      </c>
      <c r="AY24" s="174">
        <v>2.5</v>
      </c>
      <c r="AZ24" s="174">
        <f>AM13</f>
        <v>217.38</v>
      </c>
      <c r="BA24" s="1"/>
    </row>
    <row r="25" spans="1:56">
      <c r="D25"/>
      <c r="E25" s="185">
        <v>249.14</v>
      </c>
      <c r="F25" s="173">
        <v>97.5</v>
      </c>
      <c r="G25" s="173">
        <v>249.1</v>
      </c>
      <c r="H25" s="173">
        <v>441.66666666666669</v>
      </c>
      <c r="I25" s="173">
        <v>259.8</v>
      </c>
      <c r="J25" s="180">
        <f t="shared" ref="J25:J28" si="2">$K$23+K25</f>
        <v>238.10999999999999</v>
      </c>
      <c r="K25" s="180">
        <v>238.41</v>
      </c>
      <c r="L25" s="173" t="s">
        <v>10</v>
      </c>
      <c r="M25" s="173">
        <v>-5</v>
      </c>
      <c r="N25" s="173">
        <f>G20</f>
        <v>231.96</v>
      </c>
      <c r="O25" s="173" t="s">
        <v>10</v>
      </c>
      <c r="P25" s="173">
        <v>-5</v>
      </c>
      <c r="Q25" s="173">
        <f>H20</f>
        <v>-335</v>
      </c>
      <c r="R25" s="173" t="s">
        <v>10</v>
      </c>
      <c r="S25" s="173">
        <v>-5</v>
      </c>
      <c r="T25" s="173">
        <f>I20</f>
        <v>240.69</v>
      </c>
      <c r="U25" s="173" t="s">
        <v>10</v>
      </c>
      <c r="V25" s="173">
        <v>-5</v>
      </c>
      <c r="W25" s="173">
        <f>J20</f>
        <v>222.98</v>
      </c>
      <c r="X25" s="1"/>
      <c r="Z25" s="163">
        <v>92.5</v>
      </c>
      <c r="AA25" s="164">
        <f t="shared" si="1"/>
        <v>0.50999999999999091</v>
      </c>
      <c r="AB25" s="176"/>
      <c r="AI25" s="174">
        <v>97.5</v>
      </c>
      <c r="AJ25" s="175">
        <v>237.8</v>
      </c>
      <c r="AK25" s="175">
        <v>-93.333333333333343</v>
      </c>
      <c r="AL25" s="175">
        <v>246.73</v>
      </c>
      <c r="AM25" s="175">
        <v>228.97</v>
      </c>
      <c r="AN25">
        <v>92.5</v>
      </c>
      <c r="AO25" s="174" t="s">
        <v>27</v>
      </c>
      <c r="AP25" s="174">
        <v>5</v>
      </c>
      <c r="AQ25" s="174">
        <f>AJ20</f>
        <v>222.45</v>
      </c>
      <c r="AR25" s="174" t="s">
        <v>27</v>
      </c>
      <c r="AS25" s="174">
        <v>5</v>
      </c>
      <c r="AT25" s="174">
        <f>AK20</f>
        <v>-661.66666666666799</v>
      </c>
      <c r="AU25" s="174" t="s">
        <v>27</v>
      </c>
      <c r="AV25" s="174">
        <v>5</v>
      </c>
      <c r="AW25" s="174">
        <f>AL20</f>
        <v>229.97</v>
      </c>
      <c r="AX25" s="174" t="s">
        <v>27</v>
      </c>
      <c r="AY25" s="174">
        <v>5</v>
      </c>
      <c r="AZ25" s="174">
        <f>AM20</f>
        <v>215.05</v>
      </c>
      <c r="BA25" s="1"/>
    </row>
    <row r="26" spans="1:56">
      <c r="A26" s="240" t="s">
        <v>39</v>
      </c>
      <c r="B26" s="241"/>
      <c r="D26"/>
      <c r="E26" s="185">
        <v>241.58</v>
      </c>
      <c r="F26" s="173">
        <v>95</v>
      </c>
      <c r="G26" s="173">
        <v>241.54</v>
      </c>
      <c r="H26" s="173">
        <v>68</v>
      </c>
      <c r="I26" s="173">
        <v>251.35</v>
      </c>
      <c r="J26" s="180">
        <f t="shared" si="2"/>
        <v>231.45999999999998</v>
      </c>
      <c r="K26" s="180">
        <v>231.76</v>
      </c>
      <c r="L26" s="173" t="s">
        <v>10</v>
      </c>
      <c r="M26" s="173">
        <v>-7.5</v>
      </c>
      <c r="N26" s="173">
        <f>G27</f>
        <v>233.94</v>
      </c>
      <c r="O26" s="173" t="s">
        <v>10</v>
      </c>
      <c r="P26" s="173">
        <v>-7.5</v>
      </c>
      <c r="Q26">
        <f>H27</f>
        <v>-258.33333333333337</v>
      </c>
      <c r="R26" s="173" t="s">
        <v>10</v>
      </c>
      <c r="S26" s="173">
        <v>-7.5</v>
      </c>
      <c r="T26" s="173">
        <f>I27</f>
        <v>242.95</v>
      </c>
      <c r="U26" s="173" t="s">
        <v>10</v>
      </c>
      <c r="V26" s="173">
        <v>-7.5</v>
      </c>
      <c r="W26" s="173">
        <f>J27</f>
        <v>224.67</v>
      </c>
      <c r="Z26" s="163">
        <v>90</v>
      </c>
      <c r="AA26" s="164">
        <f t="shared" si="1"/>
        <v>0.49000000000000909</v>
      </c>
      <c r="AB26" s="176"/>
      <c r="AD26" s="240" t="s">
        <v>39</v>
      </c>
      <c r="AE26" s="241"/>
      <c r="AI26" s="174">
        <v>95</v>
      </c>
      <c r="AJ26" s="175">
        <v>228.74</v>
      </c>
      <c r="AK26" s="175">
        <v>-450</v>
      </c>
      <c r="AL26" s="175">
        <v>236.75</v>
      </c>
      <c r="AM26" s="175">
        <v>220.85</v>
      </c>
      <c r="AO26" s="174" t="s">
        <v>27</v>
      </c>
      <c r="AP26" s="174">
        <v>7.5</v>
      </c>
      <c r="AQ26" s="174">
        <f>AJ27</f>
        <v>219.55</v>
      </c>
      <c r="AR26" s="174" t="s">
        <v>27</v>
      </c>
      <c r="AS26" s="174">
        <v>7.5</v>
      </c>
      <c r="AT26" s="1">
        <f>AK27</f>
        <v>-748.33333333333337</v>
      </c>
      <c r="AU26" s="174" t="s">
        <v>27</v>
      </c>
      <c r="AV26" s="174">
        <v>7.5</v>
      </c>
      <c r="AW26" s="174">
        <f>AL27</f>
        <v>226.71</v>
      </c>
      <c r="AX26" s="174" t="s">
        <v>27</v>
      </c>
      <c r="AY26" s="174">
        <v>7.5</v>
      </c>
      <c r="AZ26" s="174">
        <f>AM27</f>
        <v>212.49</v>
      </c>
    </row>
    <row r="27" spans="1:56">
      <c r="A27" s="11">
        <f>D16</f>
        <v>228.78479951453573</v>
      </c>
      <c r="B27" s="173">
        <f>D17</f>
        <v>229.10846579307744</v>
      </c>
      <c r="D27"/>
      <c r="E27" s="185">
        <v>233.97</v>
      </c>
      <c r="F27" s="173">
        <v>92.5</v>
      </c>
      <c r="G27" s="173">
        <v>233.94</v>
      </c>
      <c r="H27" s="173">
        <v>-258.33333333333337</v>
      </c>
      <c r="I27" s="173">
        <v>242.95</v>
      </c>
      <c r="J27" s="180">
        <f t="shared" si="2"/>
        <v>224.67</v>
      </c>
      <c r="K27" s="180">
        <v>224.97</v>
      </c>
      <c r="L27" s="173" t="s">
        <v>10</v>
      </c>
      <c r="M27" s="173">
        <v>-10</v>
      </c>
      <c r="N27" s="173">
        <f>G34</f>
        <v>235.79</v>
      </c>
      <c r="O27" s="173" t="s">
        <v>10</v>
      </c>
      <c r="P27" s="173">
        <v>-10</v>
      </c>
      <c r="Q27" s="173">
        <f>H34</f>
        <v>-183.33333333333334</v>
      </c>
      <c r="R27" s="173" t="s">
        <v>10</v>
      </c>
      <c r="S27" s="173">
        <v>-10</v>
      </c>
      <c r="T27" s="173">
        <f>I34</f>
        <v>245.08</v>
      </c>
      <c r="U27" s="173" t="s">
        <v>10</v>
      </c>
      <c r="V27" s="173">
        <v>-10</v>
      </c>
      <c r="W27" s="173">
        <f>J34</f>
        <v>226.26</v>
      </c>
      <c r="X27" s="1"/>
      <c r="Y27" s="163" t="s">
        <v>194</v>
      </c>
      <c r="Z27" s="164">
        <f>$A$30</f>
        <v>99.881983394320457</v>
      </c>
      <c r="AA27" s="164">
        <f>AA22*(Z27-Z23)*(Z27-Z24)*(Z27-Z25)*(Z27-Z26)/((Z22-Z23)*(Z22-Z24)*(Z22-Z25)*(Z22-Z26))+AA23*(Z27-Z22)*(Z27-Z24)*(Z27-Z25)*(Z27-Z26)/((Z23-Z22)*(Z23-Z24)*(Z23-Z25)*(Z23-Z26))+AA24*(Z27-Z22)*(Z27-Z23)*(Z27-Z25)*(Z27-Z26)/((Z24-Z22)*(Z24-Z23)*(Z24-Z25)*(Z24-Z26))+AA25*(Z27-Z22)*(Z27-Z23)*(Z27-Z24)*(Z27-Z26)/((Z25-Z22)*(Z25-Z23)*(Z25-Z24)*(Z25-Z26))+AA26*(Z27-Z22)*(Z27-Z23)*(Z27-Z24)*(Z27-Z25)/((Z26-Z22)*(Z26-Z23)*(Z26-Z24)*(Z26-Z25))</f>
        <v>0.55821400816381483</v>
      </c>
      <c r="AB27" s="176"/>
      <c r="AD27" s="11">
        <f>AG16</f>
        <v>228.51490291637873</v>
      </c>
      <c r="AE27" s="174">
        <f>AG17</f>
        <v>228.79823726813166</v>
      </c>
      <c r="AI27" s="174">
        <v>92.5</v>
      </c>
      <c r="AJ27" s="175">
        <v>219.55</v>
      </c>
      <c r="AK27" s="175">
        <v>-748.33333333333337</v>
      </c>
      <c r="AL27" s="175">
        <v>226.71</v>
      </c>
      <c r="AM27" s="175">
        <v>212.49</v>
      </c>
      <c r="AO27" s="174" t="s">
        <v>27</v>
      </c>
      <c r="AP27" s="174">
        <v>10</v>
      </c>
      <c r="AQ27" s="174">
        <f>AJ34</f>
        <v>216.33</v>
      </c>
      <c r="AR27" s="174" t="s">
        <v>27</v>
      </c>
      <c r="AS27" s="174">
        <v>10</v>
      </c>
      <c r="AT27" s="174">
        <f>AK34</f>
        <v>-838.33333333333337</v>
      </c>
      <c r="AU27" s="174" t="s">
        <v>27</v>
      </c>
      <c r="AV27" s="174">
        <v>10</v>
      </c>
      <c r="AW27" s="174">
        <f>AL34</f>
        <v>223.1</v>
      </c>
      <c r="AX27" s="174" t="s">
        <v>27</v>
      </c>
      <c r="AY27" s="174">
        <v>10</v>
      </c>
      <c r="AZ27" s="174">
        <f>AM34</f>
        <v>209.64</v>
      </c>
      <c r="BA27" s="1"/>
    </row>
    <row r="28" spans="1:56">
      <c r="D28"/>
      <c r="E28" s="185">
        <v>226.38</v>
      </c>
      <c r="F28" s="173">
        <v>90</v>
      </c>
      <c r="G28" s="173">
        <v>226.35</v>
      </c>
      <c r="H28" s="173">
        <v>-535</v>
      </c>
      <c r="I28" s="173">
        <v>234.65</v>
      </c>
      <c r="J28" s="180">
        <f t="shared" si="2"/>
        <v>217.82</v>
      </c>
      <c r="K28" s="180">
        <v>218.12</v>
      </c>
      <c r="L28" s="173" t="s">
        <v>11</v>
      </c>
      <c r="M28" s="9">
        <f>$B$2</f>
        <v>6.0220000000000002</v>
      </c>
      <c r="N28" s="173">
        <f>N23*(M28-M25)*(M28-M27)*(M28-M24)*(M28-M26)/((M23-M25)*(M23-M27)*(M23-M24)*(M23-M26))+N25*(M28-M23)*(M28-M27)*(M28-M24)*(M28-M26)/((M25-M23)*(M25-M27)*(M25-M24)*(M25-M26))+N27*(M28-M23)*(M28-M25)*(M28-M24)*(M28-M26)/((M27-M23)*(M27-M25)*(M27-M24)*(M27-M26))+N24*(M28-M25)*(M28-M27)*(M28-M23)*(M28-M26)/((M24-M25)*(M24-M27)*(M24-M23)*(M24-M26))+N26*(M28-M25)*(M28-M27)*(M28-M23)*(M28-M24)/((M26-M25)*(M26-M27)*(M26-M23)*(M26-M24))</f>
        <v>220.63289028032887</v>
      </c>
      <c r="O28" s="173" t="s">
        <v>11</v>
      </c>
      <c r="P28" s="9">
        <f>$B$2</f>
        <v>6.0220000000000002</v>
      </c>
      <c r="Q28" s="173">
        <f>Q23*(P28-P25)*(P28-P27)*(P28-P24)*(P28-P26)/((P23-P25)*(P23-P27)*(P23-P24)*(P23-P26))+Q25*(P28-P23)*(P28-P27)*(P28-P24)*(P28-P26)/((P25-P23)*(P25-P27)*(P25-P24)*(P25-P26))+Q27*(P28-P23)*(P28-P25)*(P28-P24)*(P28-P26)/((P27-P23)*(P27-P25)*(P27-P24)*(P27-P26))+Q24*(P28-P25)*(P28-P27)*(P28-P23)*(P28-P26)/((P24-P25)*(P24-P27)*(P24-P23)*(P24-P26))+Q26*(P28-P25)*(P28-P27)*(P28-P23)*(P28-P24)/((P26-P25)*(P26-P27)*(P26-P23)*(P26-P24))</f>
        <v>-692.8799312000574</v>
      </c>
      <c r="R28" s="173" t="s">
        <v>11</v>
      </c>
      <c r="S28" s="9">
        <f>$B$2</f>
        <v>6.0220000000000002</v>
      </c>
      <c r="T28" s="173">
        <f>T23*(S28-S25)*(S28-S27)*(S28-S24)*(S28-S26)/((S23-S25)*(S23-S27)*(S23-S24)*(S23-S26))+T25*(S28-S23)*(S28-S27)*(S28-S24)*(S28-S26)/((S25-S23)*(S25-S27)*(S25-S24)*(S25-S26))+T27*(S28-S23)*(S28-S25)*(S28-S24)*(S28-S26)/((S27-S23)*(S27-S25)*(S27-S24)*(S27-S26))+T24*(S28-S25)*(S28-S27)*(S28-S23)*(S28-S26)/((S24-S25)*(S24-S27)*(S24-S23)*(S24-S26))+T26*(S28-S25)*(S28-S27)*(S28-S23)*(S28-S24)/((S26-S25)*(S26-S27)*(S26-S23)*(S26-S24))</f>
        <v>228.48726238391282</v>
      </c>
      <c r="U28" s="173" t="s">
        <v>11</v>
      </c>
      <c r="V28" s="9">
        <f>$B$2</f>
        <v>6.0220000000000002</v>
      </c>
      <c r="W28" s="173">
        <f>W23*(V28-V25)*(V28-V27)*(V28-V24)*(V28-V26)/((V23-V25)*(V23-V27)*(V23-V24)*(V23-V26))+W25*(V28-V23)*(V28-V27)*(V28-V24)*(V28-V26)/((V25-V23)*(V25-V27)*(V25-V24)*(V25-V26))+W27*(V28-V23)*(V28-V25)*(V28-V24)*(V28-V26)/((V27-V23)*(V27-V25)*(V27-V24)*(V27-V26))+W24*(V28-V25)*(V28-V27)*(V28-V23)*(V28-V26)/((V24-V25)*(V24-V27)*(V24-V23)*(V24-V26))+W26*(V28-V25)*(V28-V27)*(V28-V23)*(V28-V24)/((V26-V25)*(V26-V27)*(V26-V23)*(V26-V24))</f>
        <v>202.11233993822498</v>
      </c>
      <c r="AB28" s="176"/>
      <c r="AI28" s="174">
        <v>90</v>
      </c>
      <c r="AJ28" s="175">
        <v>210.25</v>
      </c>
      <c r="AK28" s="175">
        <v>-993.33333333333337</v>
      </c>
      <c r="AL28" s="175">
        <v>216.66</v>
      </c>
      <c r="AM28" s="175">
        <v>203.96</v>
      </c>
      <c r="AO28" s="174" t="s">
        <v>28</v>
      </c>
      <c r="AP28" s="9">
        <f>$B$2</f>
        <v>6.0220000000000002</v>
      </c>
      <c r="AQ28" s="174">
        <f>AQ23*(AP28-AP25)*(AP28-AP27)*(AP28-AP24)*(AP28-AP26)/((AP23-AP25)*(AP23-AP27)*(AP23-AP24)*(AP23-AP26))+AQ25*(AP28-AP23)*(AP28-AP27)*(AP28-AP24)*(AP28-AP26)/((AP25-AP23)*(AP25-AP27)*(AP25-AP24)*(AP25-AP26))+AQ27*(AP28-AP23)*(AP28-AP25)*(AP28-AP24)*(AP28-AP26)/((AP27-AP23)*(AP27-AP25)*(AP27-AP24)*(AP27-AP26))+AQ24*(AP28-AP25)*(AP28-AP27)*(AP28-AP23)*(AP28-AP26)/((AP24-AP25)*(AP24-AP27)*(AP24-AP23)*(AP24-AP26))+AQ26*(AP28-AP25)*(AP28-AP27)*(AP28-AP23)*(AP28-AP24)/((AP26-AP25)*(AP26-AP27)*(AP26-AP23)*(AP26-AP24))</f>
        <v>221.29666723345753</v>
      </c>
      <c r="AR28" s="174" t="s">
        <v>28</v>
      </c>
      <c r="AS28" s="9">
        <f>$B$2</f>
        <v>6.0220000000000002</v>
      </c>
      <c r="AT28" s="174">
        <f>AT23*(AS28-AS25)*(AS28-AS27)*(AS28-AS24)*(AS28-AS26)/((AS23-AS25)*(AS23-AS27)*(AS23-AS24)*(AS23-AS26))+AT25*(AS28-AS23)*(AS28-AS27)*(AS28-AS24)*(AS28-AS26)/((AS25-AS23)*(AS25-AS27)*(AS25-AS24)*(AS25-AS26))+AT27*(AS28-AS23)*(AS28-AS25)*(AS28-AS24)*(AS28-AS26)/((AS27-AS23)*(AS27-AS25)*(AS27-AS24)*(AS27-AS26))+AT24*(AS28-AS25)*(AS28-AS27)*(AS28-AS23)*(AS28-AS26)/((AS24-AS25)*(AS24-AS27)*(AS24-AS23)*(AS24-AS26))+AT26*(AS28-AS25)*(AS28-AS27)*(AS28-AS23)*(AS28-AS24)/((AS26-AS25)*(AS26-AS27)*(AS26-AS23)*(AS26-AS24))</f>
        <v>-697.09495963714107</v>
      </c>
      <c r="AU28" s="174" t="s">
        <v>28</v>
      </c>
      <c r="AV28" s="9">
        <f>$B$2</f>
        <v>6.0220000000000002</v>
      </c>
      <c r="AW28" s="174">
        <f>AW23*(AV28-AV25)*(AV28-AV27)*(AV28-AV24)*(AV28-AV26)/((AV23-AV25)*(AV23-AV27)*(AV23-AV24)*(AV23-AV26))+AW25*(AV28-AV23)*(AV28-AV27)*(AV28-AV24)*(AV28-AV26)/((AV25-AV23)*(AV25-AV27)*(AV25-AV24)*(AV25-AV26))+AW27*(AV28-AV23)*(AV28-AV25)*(AV28-AV24)*(AV28-AV26)/((AV27-AV23)*(AV27-AV25)*(AV27-AV24)*(AV27-AV26))+AW24*(AV28-AV25)*(AV28-AV27)*(AV28-AV23)*(AV28-AV26)/((AV24-AV25)*(AV24-AV27)*(AV24-AV23)*(AV24-AV26))+AW26*(AV28-AV25)*(AV28-AV27)*(AV28-AV23)*(AV28-AV24)/((AV26-AV25)*(AV26-AV27)*(AV26-AV23)*(AV26-AV24))</f>
        <v>228.67357595150733</v>
      </c>
      <c r="AX28" s="174" t="s">
        <v>28</v>
      </c>
      <c r="AY28" s="9">
        <f>$B$2</f>
        <v>6.0220000000000002</v>
      </c>
      <c r="AZ28" s="174">
        <f>AZ23*(AY28-AY25)*(AY28-AY27)*(AY28-AY24)*(AY28-AY26)/((AY23-AY25)*(AY23-AY27)*(AY23-AY24)*(AY23-AY26))+AZ25*(AY28-AY23)*(AY28-AY27)*(AY28-AY24)*(AY28-AY26)/((AY25-AY23)*(AY25-AY27)*(AY25-AY24)*(AY25-AY26))+AZ27*(AY28-AY23)*(AY28-AY25)*(AY28-AY24)*(AY28-AY26)/((AY27-AY23)*(AY27-AY25)*(AY27-AY24)*(AY27-AY26))+AZ24*(AY28-AY25)*(AY28-AY27)*(AY28-AY23)*(AY28-AY26)/((AY24-AY25)*(AY24-AY27)*(AY24-AY23)*(AY24-AY26))+AZ26*(AY28-AY25)*(AY28-AY27)*(AY28-AY23)*(AY28-AY24)/((AY26-AY25)*(AY26-AY27)*(AY26-AY23)*(AY26-AY24))</f>
        <v>214.03376735900559</v>
      </c>
    </row>
    <row r="29" spans="1:56">
      <c r="A29" s="173" t="s">
        <v>41</v>
      </c>
      <c r="B29" s="173" t="s">
        <v>42</v>
      </c>
      <c r="D29"/>
      <c r="N29" s="173" t="s">
        <v>12</v>
      </c>
      <c r="O29" s="1"/>
      <c r="P29" s="1"/>
      <c r="Q29" s="1" t="s">
        <v>13</v>
      </c>
      <c r="R29" s="1"/>
      <c r="S29" s="1"/>
      <c r="T29" s="1" t="s">
        <v>8</v>
      </c>
      <c r="U29" s="1"/>
      <c r="V29" s="1"/>
      <c r="W29" s="1" t="s">
        <v>9</v>
      </c>
      <c r="AB29" s="176"/>
      <c r="AD29" s="174" t="s">
        <v>41</v>
      </c>
      <c r="AE29" s="174" t="s">
        <v>42</v>
      </c>
      <c r="AQ29" s="174" t="s">
        <v>12</v>
      </c>
      <c r="AR29" s="1"/>
      <c r="AS29" s="1"/>
      <c r="AT29" s="1" t="s">
        <v>13</v>
      </c>
      <c r="AU29" s="1"/>
      <c r="AV29" s="1"/>
      <c r="AW29" s="1" t="s">
        <v>8</v>
      </c>
      <c r="AX29" s="1"/>
      <c r="AY29" s="1"/>
      <c r="AZ29" s="1" t="s">
        <v>9</v>
      </c>
    </row>
    <row r="30" spans="1:56">
      <c r="A30" s="11">
        <f>M38*(D2-K39)*(D2-K40)*(D2-K41)*(D2-K42)/((K38-K39)*(K38-K40)*(K38-K41)*(K38-K42))+M39*(D2-K38)*(D2-K40)*(D2-K41)*(D2-K42)/((K39-K38)*(K39-K40)*(K39-K41)*(K39-K42))+M40*(D2-K39)*(D2-K38)*(D2-K41)*(D2-K42)/((K40-K38)*(K40-K39)*(K40-K41)*(K40-K42))+M41*(D2-K39)*(D2-K40)*(D2-K38)*(D2-K42)/((K41-K39)*(K41-K40)*(K41-K38)*(K41-K42))+M42*(D2-K39)*(D2-K40)*(D2-K41)*(D2-K38)/((K42-K39)*(K42-K40)*(K42-K41)*(K42-K38))</f>
        <v>99.881983394320457</v>
      </c>
      <c r="B30" s="24">
        <f>(AA7*(B23+(B14*A30/100)))+AA19</f>
        <v>79.368870032590166</v>
      </c>
      <c r="D30"/>
      <c r="E30" t="s">
        <v>216</v>
      </c>
      <c r="F30" s="15">
        <v>-10</v>
      </c>
      <c r="G30" s="7" t="s">
        <v>6</v>
      </c>
      <c r="H30" s="7" t="s">
        <v>7</v>
      </c>
      <c r="I30" s="7" t="s">
        <v>8</v>
      </c>
      <c r="J30" s="7" t="s">
        <v>9</v>
      </c>
      <c r="K30" s="14">
        <v>-0.3</v>
      </c>
      <c r="L30" s="173" t="s">
        <v>10</v>
      </c>
      <c r="M30" s="173">
        <v>0</v>
      </c>
      <c r="N30" s="173">
        <f>G7</f>
        <v>219.34</v>
      </c>
      <c r="O30" s="173" t="s">
        <v>10</v>
      </c>
      <c r="P30" s="173">
        <v>0</v>
      </c>
      <c r="Q30" s="173">
        <f>H7</f>
        <v>-755</v>
      </c>
      <c r="R30" s="173" t="s">
        <v>10</v>
      </c>
      <c r="S30" s="173">
        <v>0</v>
      </c>
      <c r="T30" s="173">
        <f>I7</f>
        <v>226.74</v>
      </c>
      <c r="U30" s="173" t="s">
        <v>10</v>
      </c>
      <c r="V30" s="173">
        <v>0</v>
      </c>
      <c r="W30" s="173">
        <f>J7</f>
        <v>211.99</v>
      </c>
      <c r="Y30" s="14" t="s">
        <v>219</v>
      </c>
      <c r="Z30" s="14" t="s">
        <v>220</v>
      </c>
      <c r="AB30" s="176"/>
      <c r="AD30" s="11">
        <f>AP38*(AG2-AN39)*(AG2-AN40)*(AG2-AN41)*(AG2-AN42)/((AN38-AN39)*(AN38-AN40)*(AN38-AN41)*(AN38-AN42))+AP39*(AG2-AN38)*(AG2-AN40)*(AG2-AN41)*(AG2-AN42)/((AN39-AN38)*(AN39-AN40)*(AN39-AN41)*(AN39-AN42))+AP40*(AG2-AN39)*(AG2-AN38)*(AG2-AN41)*(AG2-AN42)/((AN40-AN38)*(AN40-AN39)*(AN40-AN41)*(AN40-AN42))+AP41*(AG2-AN39)*(AG2-AN40)*(AG2-AN38)*(AG2-AN42)/((AN41-AN39)*(AN41-AN40)*(AN41-AN38)*(AN41-AN42))+AP42*(AG2-AN39)*(AG2-AN40)*(AG2-AN41)*(AG2-AN38)/((AN42-AN39)*(AN42-AN40)*(AN42-AN41)*(AN42-AN38))</f>
        <v>99.734764836887479</v>
      </c>
      <c r="AE30" s="24">
        <f>(BD7*(AE23+(AE14*AD30/100)))+BD19</f>
        <v>-1.4710289278518758</v>
      </c>
      <c r="AI30" s="15">
        <v>10</v>
      </c>
      <c r="AJ30" s="7" t="s">
        <v>6</v>
      </c>
      <c r="AK30" s="7" t="s">
        <v>7</v>
      </c>
      <c r="AL30" s="7" t="s">
        <v>8</v>
      </c>
      <c r="AM30" s="7" t="s">
        <v>9</v>
      </c>
      <c r="AO30" s="174" t="s">
        <v>27</v>
      </c>
      <c r="AP30" s="174">
        <v>0</v>
      </c>
      <c r="AQ30" s="174">
        <f>AJ7</f>
        <v>219.3</v>
      </c>
      <c r="AR30" s="174" t="s">
        <v>27</v>
      </c>
      <c r="AS30" s="174">
        <v>0</v>
      </c>
      <c r="AT30" s="174">
        <f>AK7</f>
        <v>-755</v>
      </c>
      <c r="AU30" s="174" t="s">
        <v>27</v>
      </c>
      <c r="AV30" s="174">
        <v>0</v>
      </c>
      <c r="AW30" s="174">
        <f>AL7</f>
        <v>226.74</v>
      </c>
      <c r="AX30" s="174" t="s">
        <v>27</v>
      </c>
      <c r="AY30" s="174">
        <v>0</v>
      </c>
      <c r="AZ30" s="174">
        <f>AM7</f>
        <v>211.99</v>
      </c>
    </row>
    <row r="31" spans="1:56">
      <c r="A31" s="173" t="s">
        <v>44</v>
      </c>
      <c r="B31" s="173" t="s">
        <v>43</v>
      </c>
      <c r="D31"/>
      <c r="E31" s="185">
        <v>257.95999999999998</v>
      </c>
      <c r="F31" s="173">
        <v>100</v>
      </c>
      <c r="G31" s="173">
        <v>257.91000000000003</v>
      </c>
      <c r="H31" s="173">
        <v>960</v>
      </c>
      <c r="I31" s="173">
        <v>269.87</v>
      </c>
      <c r="J31" s="173">
        <f>$K$30+K31</f>
        <v>245.61999999999998</v>
      </c>
      <c r="K31" s="180">
        <v>245.92</v>
      </c>
      <c r="L31" s="173" t="s">
        <v>10</v>
      </c>
      <c r="M31" s="173">
        <v>-2.5</v>
      </c>
      <c r="N31" s="173">
        <f>G14</f>
        <v>221.85</v>
      </c>
      <c r="O31" s="173" t="s">
        <v>10</v>
      </c>
      <c r="P31" s="173">
        <v>-2.5</v>
      </c>
      <c r="Q31" s="173">
        <f>H14</f>
        <v>-680</v>
      </c>
      <c r="R31" s="173" t="s">
        <v>10</v>
      </c>
      <c r="S31" s="173">
        <v>-2.5</v>
      </c>
      <c r="T31" s="173">
        <f>I14</f>
        <v>229.56</v>
      </c>
      <c r="U31" s="173" t="s">
        <v>10</v>
      </c>
      <c r="V31" s="173">
        <v>-2.5</v>
      </c>
      <c r="W31" s="173">
        <f>J14</f>
        <v>214.19</v>
      </c>
      <c r="Y31">
        <f>$N$7*($B$16--1)/((1--1))+$N$52*($B$16-1)/((-1-1))</f>
        <v>247.5458050641947</v>
      </c>
      <c r="Z31">
        <f>$N$52*($B$16--1)/((1--1))+$N$7*($B$16-1)/((-1-1))</f>
        <v>247.84844491987943</v>
      </c>
      <c r="AB31" s="176"/>
      <c r="AD31" s="174" t="s">
        <v>44</v>
      </c>
      <c r="AE31" s="174" t="s">
        <v>43</v>
      </c>
      <c r="AI31" s="174">
        <v>100</v>
      </c>
      <c r="AJ31" s="175">
        <v>244.6</v>
      </c>
      <c r="AK31" s="175">
        <v>221.66666666666669</v>
      </c>
      <c r="AL31" s="175">
        <v>254.22</v>
      </c>
      <c r="AM31" s="175">
        <v>235.06</v>
      </c>
      <c r="AO31" s="174" t="s">
        <v>27</v>
      </c>
      <c r="AP31" s="174">
        <v>2.5</v>
      </c>
      <c r="AQ31" s="174">
        <f>AJ14</f>
        <v>216.56</v>
      </c>
      <c r="AR31" s="174" t="s">
        <v>27</v>
      </c>
      <c r="AS31" s="174">
        <v>2.5</v>
      </c>
      <c r="AT31" s="174">
        <f>AK14</f>
        <v>-833.33333333333201</v>
      </c>
      <c r="AU31" s="174" t="s">
        <v>27</v>
      </c>
      <c r="AV31" s="174">
        <v>2.5</v>
      </c>
      <c r="AW31" s="174">
        <f>AL14</f>
        <v>223.68</v>
      </c>
      <c r="AX31" s="174" t="s">
        <v>27</v>
      </c>
      <c r="AY31" s="174">
        <v>2.5</v>
      </c>
      <c r="AZ31" s="174">
        <f>AM14</f>
        <v>209.57</v>
      </c>
    </row>
    <row r="32" spans="1:56">
      <c r="A32" s="25">
        <f>(360-ROUNDDOWN((1-(A30/100))*360,0))*276/360</f>
        <v>276</v>
      </c>
      <c r="B32" s="11">
        <f>MOD((A30/100)*-360,1)*-((D2-A27)/(D2-B27))+15</f>
        <v>14.567266580803215</v>
      </c>
      <c r="C32">
        <f>A32*100/276</f>
        <v>100</v>
      </c>
      <c r="D32" s="194">
        <f>C32-A30</f>
        <v>0.11801660567954286</v>
      </c>
      <c r="E32" s="185">
        <v>250.65</v>
      </c>
      <c r="F32" s="173">
        <v>97.5</v>
      </c>
      <c r="G32" s="173">
        <v>250.61</v>
      </c>
      <c r="H32" s="173">
        <v>525</v>
      </c>
      <c r="I32" s="173">
        <v>261.58999999999997</v>
      </c>
      <c r="J32" s="180">
        <f t="shared" ref="J32:J35" si="3">$K$30+K32</f>
        <v>239.35</v>
      </c>
      <c r="K32" s="180">
        <v>239.65</v>
      </c>
      <c r="L32" s="173" t="s">
        <v>10</v>
      </c>
      <c r="M32" s="173">
        <v>-5</v>
      </c>
      <c r="N32" s="173">
        <f>G21</f>
        <v>224.18</v>
      </c>
      <c r="O32" s="173" t="s">
        <v>10</v>
      </c>
      <c r="P32" s="173">
        <v>-5</v>
      </c>
      <c r="Q32" s="173">
        <f>H21</f>
        <v>-606.66666666666674</v>
      </c>
      <c r="R32" s="173" t="s">
        <v>10</v>
      </c>
      <c r="S32" s="173">
        <v>-5</v>
      </c>
      <c r="T32" s="173">
        <f>I21</f>
        <v>232.19</v>
      </c>
      <c r="U32" s="173" t="s">
        <v>10</v>
      </c>
      <c r="V32" s="173">
        <v>-5</v>
      </c>
      <c r="W32" s="173">
        <f>J21</f>
        <v>215.92999999999998</v>
      </c>
      <c r="Y32">
        <f>$N$14*($B$16--1)/((1--1))+$N$59*($B$16-1)/((-1-1))</f>
        <v>239.25959445930215</v>
      </c>
      <c r="Z32">
        <f>$N$59*($B$16--1)/((1--1))+$N$14*($B$16-1)/((-1-1))</f>
        <v>239.52391480123794</v>
      </c>
      <c r="AB32" s="176"/>
      <c r="AD32" s="25">
        <f>(360-ROUNDDOWN((1-(AD30/100))*360,0))*276/360</f>
        <v>276</v>
      </c>
      <c r="AE32" s="11">
        <f>MOD((AD30/100)*-360,1)*-((AG2-AD27)/(AG2-AE27))+15</f>
        <v>14.029933273672775</v>
      </c>
      <c r="AI32" s="174">
        <v>97.5</v>
      </c>
      <c r="AJ32" s="175">
        <v>235.41</v>
      </c>
      <c r="AK32" s="175">
        <v>-193.33333333333334</v>
      </c>
      <c r="AL32" s="175">
        <v>243.99</v>
      </c>
      <c r="AM32" s="175">
        <v>226.92</v>
      </c>
      <c r="AN32">
        <v>90</v>
      </c>
      <c r="AO32" s="174" t="s">
        <v>27</v>
      </c>
      <c r="AP32" s="174">
        <v>5</v>
      </c>
      <c r="AQ32" s="174">
        <f>AJ21</f>
        <v>213.57</v>
      </c>
      <c r="AR32" s="174" t="s">
        <v>27</v>
      </c>
      <c r="AS32" s="174">
        <v>5</v>
      </c>
      <c r="AT32" s="174">
        <f>AK21</f>
        <v>-913.33333333333201</v>
      </c>
      <c r="AU32" s="174" t="s">
        <v>27</v>
      </c>
      <c r="AV32" s="174">
        <v>5</v>
      </c>
      <c r="AW32" s="174">
        <f>AL21</f>
        <v>220.34</v>
      </c>
      <c r="AX32" s="174" t="s">
        <v>27</v>
      </c>
      <c r="AY32" s="174">
        <v>5</v>
      </c>
      <c r="AZ32" s="174">
        <f>AM21</f>
        <v>206.92</v>
      </c>
    </row>
    <row r="33" spans="1:56">
      <c r="C33" s="194">
        <v>0.28000000000000003</v>
      </c>
      <c r="D33">
        <v>15</v>
      </c>
      <c r="E33" s="185">
        <v>243.26</v>
      </c>
      <c r="F33" s="173">
        <v>95</v>
      </c>
      <c r="G33" s="173">
        <v>243.22</v>
      </c>
      <c r="H33" s="173">
        <v>145</v>
      </c>
      <c r="I33" s="173">
        <v>253.3</v>
      </c>
      <c r="J33" s="180">
        <f t="shared" si="3"/>
        <v>232.86999999999998</v>
      </c>
      <c r="K33" s="180">
        <v>233.17</v>
      </c>
      <c r="L33" s="173" t="s">
        <v>10</v>
      </c>
      <c r="M33" s="173">
        <v>-7.5</v>
      </c>
      <c r="N33" s="173">
        <f>G28</f>
        <v>226.35</v>
      </c>
      <c r="O33" s="173" t="s">
        <v>10</v>
      </c>
      <c r="P33" s="173">
        <v>-7.5</v>
      </c>
      <c r="Q33" s="1">
        <f>H28</f>
        <v>-535</v>
      </c>
      <c r="R33" s="173" t="s">
        <v>10</v>
      </c>
      <c r="S33" s="173">
        <v>-7.5</v>
      </c>
      <c r="T33" s="173">
        <f>I28</f>
        <v>234.65</v>
      </c>
      <c r="U33" s="173" t="s">
        <v>10</v>
      </c>
      <c r="V33" s="173">
        <v>-7.5</v>
      </c>
      <c r="W33" s="173">
        <f>J28</f>
        <v>217.82</v>
      </c>
      <c r="Y33">
        <f>$N$21*($B$16--1)/((1--1))+$N$66*($B$16-1)/((-1-1))</f>
        <v>230.64135476195722</v>
      </c>
      <c r="Z33">
        <f>$N$66*($B$16--1)/((1--1))+$N$21*($B$16-1)/((-1-1))</f>
        <v>230.48753035656276</v>
      </c>
      <c r="AB33" s="176"/>
      <c r="AI33" s="174">
        <v>95</v>
      </c>
      <c r="AJ33" s="175">
        <v>225.97</v>
      </c>
      <c r="AK33" s="175">
        <v>-546.66666666666674</v>
      </c>
      <c r="AL33" s="175">
        <v>233.6</v>
      </c>
      <c r="AM33" s="175">
        <v>218.43</v>
      </c>
      <c r="AO33" s="174" t="s">
        <v>27</v>
      </c>
      <c r="AP33" s="174">
        <v>7.5</v>
      </c>
      <c r="AQ33" s="174">
        <f>AJ28</f>
        <v>210.25</v>
      </c>
      <c r="AR33" s="174" t="s">
        <v>27</v>
      </c>
      <c r="AS33" s="174">
        <v>7.5</v>
      </c>
      <c r="AT33" s="1">
        <f>AK28</f>
        <v>-993.33333333333337</v>
      </c>
      <c r="AU33" s="174" t="s">
        <v>27</v>
      </c>
      <c r="AV33" s="174">
        <v>7.5</v>
      </c>
      <c r="AW33" s="174">
        <f>AL28</f>
        <v>216.66</v>
      </c>
      <c r="AX33" s="174" t="s">
        <v>27</v>
      </c>
      <c r="AY33" s="174">
        <v>7.5</v>
      </c>
      <c r="AZ33" s="174">
        <f>AM28</f>
        <v>203.96</v>
      </c>
    </row>
    <row r="34" spans="1:56">
      <c r="A34">
        <v>1</v>
      </c>
      <c r="C34" s="194">
        <f>C33-D32</f>
        <v>0.16198339432045716</v>
      </c>
      <c r="D34">
        <f>D33-(D33-D35)*(C33-C34)/((C33-C35))</f>
        <v>14.560809850091561</v>
      </c>
      <c r="E34" s="185">
        <v>235.83</v>
      </c>
      <c r="F34" s="173">
        <v>92.5</v>
      </c>
      <c r="G34" s="173">
        <v>235.79</v>
      </c>
      <c r="H34" s="173">
        <v>-183.33333333333334</v>
      </c>
      <c r="I34" s="173">
        <v>245.08</v>
      </c>
      <c r="J34" s="180">
        <f t="shared" si="3"/>
        <v>226.26</v>
      </c>
      <c r="K34" s="180">
        <v>226.56</v>
      </c>
      <c r="L34" s="173" t="s">
        <v>10</v>
      </c>
      <c r="M34" s="173">
        <v>-10</v>
      </c>
      <c r="N34" s="173">
        <f>G35</f>
        <v>228.39</v>
      </c>
      <c r="O34" s="173" t="s">
        <v>10</v>
      </c>
      <c r="P34" s="173">
        <v>-10</v>
      </c>
      <c r="Q34" s="173">
        <f>H35</f>
        <v>-465</v>
      </c>
      <c r="R34" s="173" t="s">
        <v>10</v>
      </c>
      <c r="S34" s="173">
        <v>-10</v>
      </c>
      <c r="T34" s="173">
        <f>I35</f>
        <v>236.95</v>
      </c>
      <c r="U34" s="173" t="s">
        <v>10</v>
      </c>
      <c r="V34" s="173">
        <v>-10</v>
      </c>
      <c r="W34" s="173">
        <f>J35</f>
        <v>219.57999999999998</v>
      </c>
      <c r="Y34">
        <f>$N$28*($B$16--1)/((1--1))+$N$73*($B$16-1)/((-1-1))</f>
        <v>220.65843651516721</v>
      </c>
      <c r="Z34">
        <f>$N$73*($B$16--1)/((1--1))+$N$28*($B$16-1)/((-1-1))</f>
        <v>221.82347942705505</v>
      </c>
      <c r="AB34" s="176"/>
      <c r="AD34">
        <v>1</v>
      </c>
      <c r="AI34" s="174">
        <v>92.5</v>
      </c>
      <c r="AJ34" s="175">
        <v>216.33</v>
      </c>
      <c r="AK34" s="175">
        <v>-838.33333333333337</v>
      </c>
      <c r="AL34" s="175">
        <v>223.1</v>
      </c>
      <c r="AM34" s="175">
        <v>209.64</v>
      </c>
      <c r="AO34" s="174" t="s">
        <v>27</v>
      </c>
      <c r="AP34" s="174">
        <v>10</v>
      </c>
      <c r="AQ34" s="174">
        <f>AJ35</f>
        <v>206.53</v>
      </c>
      <c r="AR34" s="174" t="s">
        <v>27</v>
      </c>
      <c r="AS34" s="174">
        <v>10</v>
      </c>
      <c r="AT34" s="174">
        <f>AK35</f>
        <v>-1078.3333333333335</v>
      </c>
      <c r="AU34" s="174" t="s">
        <v>27</v>
      </c>
      <c r="AV34" s="174">
        <v>10</v>
      </c>
      <c r="AW34" s="174">
        <f>AL35</f>
        <v>212.53</v>
      </c>
      <c r="AX34" s="174" t="s">
        <v>27</v>
      </c>
      <c r="AY34" s="174">
        <v>10</v>
      </c>
      <c r="AZ34" s="174">
        <f>AM35</f>
        <v>200.62</v>
      </c>
    </row>
    <row r="35" spans="1:56">
      <c r="C35">
        <v>0.13</v>
      </c>
      <c r="D35" s="194">
        <f>D33-AA27</f>
        <v>14.441785991836186</v>
      </c>
      <c r="E35" s="185">
        <v>228.42</v>
      </c>
      <c r="F35" s="173">
        <v>90</v>
      </c>
      <c r="G35" s="173">
        <v>228.39</v>
      </c>
      <c r="H35" s="173">
        <v>-465</v>
      </c>
      <c r="I35" s="173">
        <v>236.95</v>
      </c>
      <c r="J35" s="180">
        <f t="shared" si="3"/>
        <v>219.57999999999998</v>
      </c>
      <c r="K35" s="180">
        <v>219.88</v>
      </c>
      <c r="L35" s="173" t="s">
        <v>11</v>
      </c>
      <c r="M35" s="9">
        <f>$B$2</f>
        <v>6.0220000000000002</v>
      </c>
      <c r="N35" s="173">
        <f>N30*(M35-M32)*(M35-M34)*(M35-M31)*(M35-M33)/((M30-M32)*(M30-M34)*(M30-M31)*(M30-M33))+N32*(M35-M30)*(M35-M34)*(M35-M31)*(M35-M33)/((M32-M30)*(M32-M34)*(M32-M31)*(M32-M33))+N34*(M35-M30)*(M35-M32)*(M35-M31)*(M35-M33)/((M34-M30)*(M34-M32)*(M34-M31)*(M34-M33))+N31*(M35-M32)*(M35-M34)*(M35-M30)*(M35-M33)/((M31-M32)*(M31-M34)*(M31-M30)*(M31-M33))+N33*(M35-M32)*(M35-M34)*(M35-M30)*(M35-M31)/((M33-M32)*(M33-M34)*(M33-M30)*(M33-M31))</f>
        <v>212.51582622892056</v>
      </c>
      <c r="O35" s="173" t="s">
        <v>11</v>
      </c>
      <c r="P35" s="9">
        <f>$B$2</f>
        <v>6.0220000000000002</v>
      </c>
      <c r="Q35" s="173">
        <f>Q30*(P35-P32)*(P35-P34)*(P35-P31)*(P35-P33)/((P30-P32)*(P30-P34)*(P30-P31)*(P30-P33))+Q32*(P35-P30)*(P35-P34)*(P35-P31)*(P35-P33)/((P32-P30)*(P32-P34)*(P32-P31)*(P32-P33))+Q34*(P35-P30)*(P35-P32)*(P35-P31)*(P35-P33)/((P34-P30)*(P34-P32)*(P34-P31)*(P34-P33))+Q31*(P35-P32)*(P35-P34)*(P35-P30)*(P35-P33)/((P31-P32)*(P31-P34)*(P31-P30)*(P31-P33))+Q33*(P35-P32)*(P35-P34)*(P35-P30)*(P35-P31)/((P33-P32)*(P33-P34)*(P33-P30)*(P33-P31))</f>
        <v>-942.50259786667084</v>
      </c>
      <c r="R35" s="173" t="s">
        <v>11</v>
      </c>
      <c r="S35" s="9">
        <f>$B$2</f>
        <v>6.0220000000000002</v>
      </c>
      <c r="T35" s="173">
        <f>T30*(S35-S32)*(S35-S34)*(S35-S31)*(S35-S33)/((S30-S32)*(S30-S34)*(S30-S31)*(S30-S33))+T32*(S35-S30)*(S35-S34)*(S35-S31)*(S35-S33)/((S32-S30)*(S32-S34)*(S32-S31)*(S32-S33))+T34*(S35-S30)*(S35-S32)*(S35-S31)*(S35-S33)/((S34-S30)*(S34-S32)*(S34-S31)*(S34-S33))+T31*(S35-S32)*(S35-S34)*(S35-S30)*(S35-S33)/((S31-S32)*(S31-S34)*(S31-S30)*(S31-S33))+T33*(S35-S32)*(S35-S34)*(S35-S30)*(S35-S31)/((S33-S32)*(S33-S34)*(S33-S30)*(S33-S31))</f>
        <v>218.96487188088031</v>
      </c>
      <c r="U35" s="173" t="s">
        <v>11</v>
      </c>
      <c r="V35" s="9">
        <f>$B$2</f>
        <v>6.0220000000000002</v>
      </c>
      <c r="W35" s="173">
        <f>W30*(V35-V32)*(V35-V34)*(V35-V31)*(V35-V33)/((V30-V32)*(V30-V34)*(V30-V31)*(V30-V33))+W32*(V35-V30)*(V35-V34)*(V35-V31)*(V35-V33)/((V32-V30)*(V32-V34)*(V32-V31)*(V32-V33))+W34*(V35-V30)*(V35-V32)*(V35-V31)*(V35-V33)/((V34-V30)*(V34-V32)*(V34-V31)*(V34-V33))+W31*(V35-V32)*(V35-V34)*(V35-V30)*(V35-V33)/((V31-V32)*(V31-V34)*(V31-V30)*(V31-V33))+W33*(V35-V32)*(V35-V34)*(V35-V30)*(V35-V31)/((V33-V32)*(V33-V34)*(V33-V30)*(V33-V31))</f>
        <v>193.86053138339958</v>
      </c>
      <c r="Y35">
        <f>$N$35*($B$16--1)/((1--1))+$N$80*($B$16-1)/((-1-1))</f>
        <v>212.51801772204234</v>
      </c>
      <c r="Z35">
        <f>$N$80*($B$16--1)/((1--1))+$N$35*($B$16-1)/((-1-1))</f>
        <v>212.61796135538535</v>
      </c>
      <c r="AB35" s="176"/>
      <c r="AI35" s="174">
        <v>90</v>
      </c>
      <c r="AJ35" s="175">
        <v>206.53</v>
      </c>
      <c r="AK35" s="175">
        <v>-1078.3333333333335</v>
      </c>
      <c r="AL35" s="175">
        <v>212.53</v>
      </c>
      <c r="AM35" s="175">
        <v>200.62</v>
      </c>
      <c r="AO35" s="174" t="s">
        <v>28</v>
      </c>
      <c r="AP35" s="9">
        <f>$B$2</f>
        <v>6.0220000000000002</v>
      </c>
      <c r="AQ35" s="174">
        <f>AQ30*(AP35-AP32)*(AP35-AP34)*(AP35-AP31)*(AP35-AP33)/((AP30-AP32)*(AP30-AP34)*(AP30-AP31)*(AP30-AP33))+AQ32*(AP35-AP30)*(AP35-AP34)*(AP35-AP31)*(AP35-AP33)/((AP32-AP30)*(AP32-AP34)*(AP32-AP31)*(AP32-AP33))+AQ34*(AP35-AP30)*(AP35-AP32)*(AP35-AP31)*(AP35-AP33)/((AP34-AP30)*(AP34-AP32)*(AP34-AP31)*(AP34-AP33))+AQ31*(AP35-AP32)*(AP35-AP34)*(AP35-AP30)*(AP35-AP33)/((AP31-AP32)*(AP31-AP34)*(AP31-AP30)*(AP31-AP33))+AQ33*(AP35-AP32)*(AP35-AP34)*(AP35-AP30)*(AP35-AP31)/((AP33-AP32)*(AP33-AP34)*(AP33-AP30)*(AP33-AP31))</f>
        <v>212.25685965678105</v>
      </c>
      <c r="AR35" s="174" t="s">
        <v>28</v>
      </c>
      <c r="AS35" s="9">
        <f>$B$2</f>
        <v>6.0220000000000002</v>
      </c>
      <c r="AT35" s="174">
        <f>AT30*(AS35-AS32)*(AS35-AS34)*(AS35-AS31)*(AS35-AS33)/((AS30-AS32)*(AS30-AS34)*(AS30-AS31)*(AS30-AS33))+AT32*(AS35-AS30)*(AS35-AS34)*(AS35-AS31)*(AS35-AS33)/((AS32-AS30)*(AS32-AS34)*(AS32-AS31)*(AS32-AS33))+AT34*(AS35-AS30)*(AS35-AS32)*(AS35-AS31)*(AS35-AS33)/((AS34-AS30)*(AS34-AS32)*(AS34-AS31)*(AS34-AS33))+AT31*(AS35-AS32)*(AS35-AS34)*(AS35-AS30)*(AS35-AS33)/((AS31-AS32)*(AS31-AS34)*(AS31-AS30)*(AS31-AS33))+AT33*(AS35-AS32)*(AS35-AS34)*(AS35-AS30)*(AS35-AS31)/((AS33-AS32)*(AS33-AS34)*(AS33-AS30)*(AS33-AS31))</f>
        <v>-945.90409122450592</v>
      </c>
      <c r="AU35" s="174" t="s">
        <v>28</v>
      </c>
      <c r="AV35" s="9">
        <f>$B$2</f>
        <v>6.0220000000000002</v>
      </c>
      <c r="AW35" s="174">
        <f>AW30*(AV35-AV32)*(AV35-AV34)*(AV35-AV31)*(AV35-AV33)/((AV30-AV32)*(AV30-AV34)*(AV30-AV31)*(AV30-AV33))+AW32*(AV35-AV30)*(AV35-AV34)*(AV35-AV31)*(AV35-AV33)/((AV32-AV30)*(AV32-AV34)*(AV32-AV31)*(AV32-AV33))+AW34*(AV35-AV30)*(AV35-AV32)*(AV35-AV31)*(AV35-AV33)/((AV34-AV30)*(AV34-AV32)*(AV34-AV31)*(AV34-AV33))+AW31*(AV35-AV32)*(AV35-AV34)*(AV35-AV30)*(AV35-AV33)/((AV31-AV32)*(AV31-AV34)*(AV31-AV30)*(AV31-AV33))+AW33*(AV35-AV32)*(AV35-AV34)*(AV35-AV30)*(AV35-AV31)/((AV33-AV32)*(AV33-AV34)*(AV33-AV30)*(AV33-AV31))</f>
        <v>218.8818155132351</v>
      </c>
      <c r="AX35" s="174" t="s">
        <v>28</v>
      </c>
      <c r="AY35" s="9">
        <f>$B$2</f>
        <v>6.0220000000000002</v>
      </c>
      <c r="AZ35" s="174">
        <f>AZ30*(AY35-AY32)*(AY35-AY34)*(AY35-AY31)*(AY35-AY33)/((AY30-AY32)*(AY30-AY34)*(AY30-AY31)*(AY30-AY33))+AZ32*(AY35-AY30)*(AY35-AY34)*(AY35-AY31)*(AY35-AY33)/((AY32-AY30)*(AY32-AY34)*(AY32-AY31)*(AY32-AY33))+AZ34*(AY35-AY30)*(AY35-AY32)*(AY35-AY31)*(AY35-AY33)/((AY34-AY30)*(AY34-AY32)*(AY34-AY31)*(AY34-AY33))+AZ31*(AY35-AY32)*(AY35-AY34)*(AY35-AY30)*(AY35-AY33)/((AY31-AY32)*(AY31-AY34)*(AY31-AY30)*(AY31-AY33))+AZ33*(AY35-AY32)*(AY35-AY34)*(AY35-AY30)*(AY35-AY31)/((AY33-AY32)*(AY33-AY34)*(AY33-AY30)*(AY33-AY31))</f>
        <v>205.7516108311811</v>
      </c>
    </row>
    <row r="36" spans="1:56">
      <c r="A36" s="15" t="s">
        <v>203</v>
      </c>
      <c r="B36" s="7">
        <f>IF(Plan1!$B$2&gt;0,AD30,A30)</f>
        <v>99.734764836887479</v>
      </c>
      <c r="D36"/>
      <c r="AB36" s="176"/>
    </row>
    <row r="37" spans="1:56">
      <c r="A37" s="15" t="s">
        <v>204</v>
      </c>
      <c r="B37" s="7">
        <f>IF(Plan1!$B$2&gt;0,AE30,B30)</f>
        <v>-1.4710289278518758</v>
      </c>
      <c r="F37" s="159" t="s">
        <v>198</v>
      </c>
      <c r="G37" s="159" t="s">
        <v>199</v>
      </c>
      <c r="H37" s="159" t="s">
        <v>200</v>
      </c>
      <c r="I37" s="159" t="s">
        <v>201</v>
      </c>
      <c r="J37" s="159" t="s">
        <v>12</v>
      </c>
      <c r="K37" s="159" t="s">
        <v>197</v>
      </c>
      <c r="O37" s="1" t="s">
        <v>38</v>
      </c>
      <c r="S37" s="14" t="s">
        <v>6</v>
      </c>
      <c r="T37" s="1" t="s">
        <v>14</v>
      </c>
      <c r="U37" s="1" t="s">
        <v>187</v>
      </c>
      <c r="V37" s="14" t="s">
        <v>195</v>
      </c>
      <c r="W37" s="14" t="s">
        <v>196</v>
      </c>
      <c r="AB37" s="176"/>
      <c r="AG37" s="1"/>
      <c r="AI37" s="159" t="s">
        <v>198</v>
      </c>
      <c r="AJ37" s="159" t="s">
        <v>199</v>
      </c>
      <c r="AK37" s="159" t="s">
        <v>200</v>
      </c>
      <c r="AL37" s="159" t="s">
        <v>201</v>
      </c>
      <c r="AM37" s="159" t="s">
        <v>12</v>
      </c>
      <c r="AN37" s="159" t="s">
        <v>197</v>
      </c>
      <c r="AR37" s="1" t="s">
        <v>38</v>
      </c>
      <c r="AV37" s="14" t="s">
        <v>6</v>
      </c>
      <c r="AW37" s="1" t="s">
        <v>14</v>
      </c>
      <c r="AX37" s="1" t="s">
        <v>187</v>
      </c>
      <c r="AY37" s="14" t="s">
        <v>195</v>
      </c>
      <c r="AZ37" s="14" t="s">
        <v>196</v>
      </c>
    </row>
    <row r="38" spans="1:56">
      <c r="A38" s="15" t="s">
        <v>205</v>
      </c>
      <c r="B38" s="177">
        <f>IF(Plan1!$B$2&gt;0,AD32,A32)</f>
        <v>276</v>
      </c>
      <c r="C38" s="194">
        <f>I38-D38</f>
        <v>411.91090555993287</v>
      </c>
      <c r="D38" s="1">
        <f>H96</f>
        <v>93.050120336018153</v>
      </c>
      <c r="E38">
        <f>(I38+F38)/2</f>
        <v>232.54695268443629</v>
      </c>
      <c r="F38" s="11">
        <f>Q52*A34</f>
        <v>-39.867120527078441</v>
      </c>
      <c r="G38" s="11">
        <f>(C38+E38)/2</f>
        <v>322.22892912218458</v>
      </c>
      <c r="H38" s="11">
        <f>I38-E38</f>
        <v>272.41407321151473</v>
      </c>
      <c r="I38" s="11">
        <f>Q7*A34</f>
        <v>504.96102589595102</v>
      </c>
      <c r="J38" s="160">
        <f>Y31</f>
        <v>247.5458050641947</v>
      </c>
      <c r="K38" s="160">
        <f>Y38</f>
        <v>247.01078383325708</v>
      </c>
      <c r="M38" s="173">
        <v>100</v>
      </c>
      <c r="N38" s="173">
        <f>G3</f>
        <v>252.08</v>
      </c>
      <c r="O38" s="11">
        <f>S38*((R38-(100/360))-R39)*((R38-(100/360))-R40)/((R38-R39)*(R38-R40))+S39*((R38-(100/360))-R38)*((R38-(100/360))-R40)/((R39-R38)*(R39-R40))+S40*((R38-(100/360))-R38)*((R38-(100/360))-R39)/((R40-R38)*(R40-R39))</f>
        <v>251.1903703703704</v>
      </c>
      <c r="P38" s="173">
        <v>251.52</v>
      </c>
      <c r="R38" s="173">
        <v>100</v>
      </c>
      <c r="S38" s="173">
        <f>G3</f>
        <v>252.08</v>
      </c>
      <c r="T38" s="173"/>
      <c r="U38" s="173">
        <v>251.52</v>
      </c>
      <c r="V38" s="11">
        <f>T7</f>
        <v>258.12762909562116</v>
      </c>
      <c r="W38" s="11">
        <f>IF($B$4&lt;180,W7,W52)</f>
        <v>225.43781332015715</v>
      </c>
      <c r="Y38">
        <f>Y31*($B$24-9)*($B$24--9)/((0-9)*(0--9))+V38*($B$24-0)*($B$24--9)/((9-0)*(9--9))+W38*($B$24-0)*($B$24-9)/((-9-0)*(-9-9))</f>
        <v>247.01078383325708</v>
      </c>
      <c r="Z38">
        <f>Z31*($B$24-9)*($B$24--9)/((0-9)*(0--9))+V83*($B$24-0)*($B$24--9)/((9-0)*(9--9))+W83*($B$24-0)*($B$24-9)/((-9-0)*(-9-9))</f>
        <v>247.72053994962405</v>
      </c>
      <c r="AB38" s="176"/>
      <c r="AF38" s="194">
        <f>AL38-AG38</f>
        <v>204.99681453800639</v>
      </c>
      <c r="AG38" s="1">
        <f>S96</f>
        <v>175.58147093333332</v>
      </c>
      <c r="AH38">
        <f>(AL38+AI38)/2</f>
        <v>205.23630639601987</v>
      </c>
      <c r="AI38" s="11">
        <f>AT52*AD34</f>
        <v>29.8943273207</v>
      </c>
      <c r="AJ38" s="11">
        <f>(AH38+AF38)/2</f>
        <v>205.11656046701313</v>
      </c>
      <c r="AK38" s="11">
        <f>AL38-AH38</f>
        <v>175.34197907531984</v>
      </c>
      <c r="AL38" s="11">
        <f>AT7*AD34</f>
        <v>380.57828547133971</v>
      </c>
      <c r="AM38" s="10">
        <f>AQ7*($AE$16--1)/((1--1))+AQ52*($AE$16-1)/((-1-1))</f>
        <v>247.80256356727841</v>
      </c>
      <c r="AN38" s="160">
        <f>AM38*($AE$24-9)*($AE$24--9)/((0-9)*(0--9))+AY38*($AE$24-0)*($AE$24--9)/((9-0)*(9--9))+AZ38*($AE$24-0)*($AE$24-9)/((-9-0)*(-9-9))</f>
        <v>247.47761494445152</v>
      </c>
      <c r="AP38" s="174">
        <v>100</v>
      </c>
      <c r="AQ38" s="174">
        <f>AJ3</f>
        <v>252.02</v>
      </c>
      <c r="AR38" s="11">
        <f>AV38*((AU38-(100/360))-AU39)*((AU38-(100/360))-AU40)/((AU38-AU39)*(AU38-AU40))+AV39*((AU38-(100/360))-AU38)*((AU38-(100/360))-AU40)/((AU39-AU38)*(AU39-AU40))+AV40*((AU38-(100/360))-AU38)*((AU38-(100/360))-AU39)/((AU40-AU38)*(AU40-AU39))</f>
        <v>251.13197530864201</v>
      </c>
      <c r="AS38" s="174">
        <v>251.42</v>
      </c>
      <c r="AU38" s="174">
        <v>100</v>
      </c>
      <c r="AV38" s="174">
        <f>AJ3</f>
        <v>252.02</v>
      </c>
      <c r="AW38" s="174"/>
      <c r="AX38" s="174">
        <v>251.42</v>
      </c>
      <c r="AY38" s="11">
        <f>AW7</f>
        <v>257.94533629870273</v>
      </c>
      <c r="AZ38" s="11">
        <f>AZ7</f>
        <v>237.72364227162603</v>
      </c>
    </row>
    <row r="39" spans="1:56">
      <c r="A39" s="15" t="s">
        <v>128</v>
      </c>
      <c r="B39" s="7">
        <f>IF(Plan1!$B$2&gt;0,AE32,B32)</f>
        <v>14.029933273672775</v>
      </c>
      <c r="C39" s="194">
        <f t="shared" ref="C39:C42" si="4">I39-D39</f>
        <v>119.1353160693543</v>
      </c>
      <c r="D39" s="1">
        <f>H103</f>
        <v>-68.395965472052922</v>
      </c>
      <c r="E39">
        <f t="shared" ref="E39:E42" si="5">(I39+F39)/2</f>
        <v>264.50916676218799</v>
      </c>
      <c r="F39" s="11">
        <f>Q59*A34</f>
        <v>478.27898292707459</v>
      </c>
      <c r="G39" s="11">
        <f t="shared" ref="G39:G42" si="6">(C39+E39)/2</f>
        <v>191.82224141577115</v>
      </c>
      <c r="H39" s="11">
        <f t="shared" ref="H39:H42" si="7">I39-E39</f>
        <v>-213.76981616488661</v>
      </c>
      <c r="I39" s="11">
        <f>Q14*A34</f>
        <v>50.739350597301382</v>
      </c>
      <c r="J39" s="160">
        <f t="shared" ref="J39:J42" si="8">Y32</f>
        <v>239.25959445930215</v>
      </c>
      <c r="K39" s="160">
        <f t="shared" ref="K39:K42" si="9">Y39</f>
        <v>238.70450449581608</v>
      </c>
      <c r="M39" s="10">
        <v>97.5</v>
      </c>
      <c r="N39" s="173">
        <f>G4</f>
        <v>244.02</v>
      </c>
      <c r="O39" s="11">
        <f>S41*((R39-(100/360))-R39)*((R39-(100/360))-R40)/((R41-R39)*(R41-R40))+S39*((R39-(100/360))-R41)*((R39-(100/360))-R40)/((R39-R41)*(R39-R40))+S40*((R39-(100/360))-R41)*((R39-(100/360))-R39)/((R40-R41)*(R40-R39))</f>
        <v>243.11456790123461</v>
      </c>
      <c r="P39" s="173">
        <v>243.48</v>
      </c>
      <c r="R39" s="173">
        <v>97.5</v>
      </c>
      <c r="S39" s="173">
        <f>G4</f>
        <v>244.02</v>
      </c>
      <c r="T39" s="173"/>
      <c r="U39" s="173">
        <v>243.48</v>
      </c>
      <c r="V39" s="11">
        <f>T14</f>
        <v>251.69529850883009</v>
      </c>
      <c r="W39" s="11">
        <f>IF($B$4&lt;180,W14,W59)</f>
        <v>217.68793347438987</v>
      </c>
      <c r="Y39">
        <f>Y32*($B$24-9)*($B$24--9)/((0-9)*(0--9))+V39*($B$24-0)*($B$24--9)/((9-0)*(9--9))+W39*($B$24-0)*($B$24-9)/((-9-0)*(-9-9))</f>
        <v>238.70450449581608</v>
      </c>
      <c r="Z39">
        <f>Z32*($B$24-9)*($B$24--9)/((0-9)*(0--9))+V84*($B$24-0)*($B$24--9)/((9-0)*(9--9))+W84*($B$24-0)*($B$24-9)/((-9-0)*(-9-9))</f>
        <v>239.37598123511964</v>
      </c>
      <c r="AB39" s="176"/>
      <c r="AF39" s="194">
        <f t="shared" ref="AF39:AF42" si="10">AL39-AG39</f>
        <v>185.09139297982</v>
      </c>
      <c r="AG39" s="1">
        <f>S103</f>
        <v>-223.05586240000005</v>
      </c>
      <c r="AH39">
        <f>(AL39+AI39)/2</f>
        <v>185.28359561692665</v>
      </c>
      <c r="AI39" s="11">
        <f>AT59*AD34</f>
        <v>408.53166065403332</v>
      </c>
      <c r="AJ39" s="11">
        <f t="shared" ref="AJ39:AJ42" si="11">(AH39+AF39)/2</f>
        <v>185.18749429837334</v>
      </c>
      <c r="AK39" s="11">
        <f t="shared" ref="AK39:AK42" si="12">AL39-AH39</f>
        <v>-223.2480650371067</v>
      </c>
      <c r="AL39" s="11">
        <f>AT14*AD34</f>
        <v>-37.964469420180045</v>
      </c>
      <c r="AM39" s="10">
        <f>AQ14*($AE$16--1)/((1--1))+AQ59*($AE$16-1)/((-1-1))</f>
        <v>239.13282455355443</v>
      </c>
      <c r="AN39" s="160">
        <f>AM39*($AE$24-9)*($AE$24--9)/((0-9)*(0--9))+AY39*($AE$24-0)*($AE$24--9)/((9-0)*(9--9))+AZ39*($AE$24-0)*($AE$24-9)/((-9-0)*(-9-9))</f>
        <v>238.84107948751944</v>
      </c>
      <c r="AP39" s="10">
        <v>97.5</v>
      </c>
      <c r="AQ39" s="174">
        <f>AJ4</f>
        <v>243.97</v>
      </c>
      <c r="AR39" s="11">
        <f>AV41*((AU39-(100/360))-AU39)*((AU39-(100/360))-AU40)/((AU41-AU39)*(AU41-AU40))+AV39*((AU39-(100/360))-AU41)*((AU39-(100/360))-AU40)/((AU39-AU41)*(AU39-AU40))+AV40*((AU39-(100/360))-AU41)*((AU39-(100/360))-AU39)/((AU40-AU41)*(AU40-AU39))</f>
        <v>243.06407407407411</v>
      </c>
      <c r="AS39" s="174">
        <v>243.39</v>
      </c>
      <c r="AU39" s="174">
        <v>97.5</v>
      </c>
      <c r="AV39" s="174">
        <f>AJ4</f>
        <v>243.97</v>
      </c>
      <c r="AW39" s="174"/>
      <c r="AX39" s="174">
        <v>243.39</v>
      </c>
      <c r="AY39" s="11">
        <f>AW14</f>
        <v>248.25750526675137</v>
      </c>
      <c r="AZ39" s="11">
        <f>AZ14</f>
        <v>230.10094287312663</v>
      </c>
    </row>
    <row r="40" spans="1:56">
      <c r="C40" s="194">
        <f t="shared" si="4"/>
        <v>943.87104837258539</v>
      </c>
      <c r="D40" s="1">
        <f>H110</f>
        <v>-1367.7720748990387</v>
      </c>
      <c r="E40">
        <f t="shared" si="5"/>
        <v>210.75793088475257</v>
      </c>
      <c r="F40" s="11">
        <f>Q66*A34</f>
        <v>845.41688829595842</v>
      </c>
      <c r="G40" s="11">
        <f t="shared" si="6"/>
        <v>577.31448962866898</v>
      </c>
      <c r="H40" s="11">
        <f t="shared" si="7"/>
        <v>-634.65895741120585</v>
      </c>
      <c r="I40" s="11">
        <f>Q21*A34</f>
        <v>-423.90102652645328</v>
      </c>
      <c r="J40" s="160">
        <f t="shared" si="8"/>
        <v>230.64135476195722</v>
      </c>
      <c r="K40" s="160">
        <f t="shared" si="9"/>
        <v>230.17352579604841</v>
      </c>
      <c r="M40" s="10">
        <v>95</v>
      </c>
      <c r="N40" s="173">
        <f>G5</f>
        <v>235.84</v>
      </c>
      <c r="O40" s="10">
        <f>S41*((R40-(100/360))-R42)*((R40-(100/360))-R40)/((R41-R42)*(R41-R40))+S42*((R40-(100/360))-R41)*((R40-(100/360))-R40)/((R42-R41)*(R42-R40))+S40*((R40-(100/360))-R41)*((R40-(100/360))-R42)/((R40-R41)*(R40-R42))</f>
        <v>234.92333333333335</v>
      </c>
      <c r="P40" s="173">
        <v>235.31</v>
      </c>
      <c r="R40" s="173">
        <v>95</v>
      </c>
      <c r="S40" s="173">
        <f>G5</f>
        <v>235.84</v>
      </c>
      <c r="T40" s="173"/>
      <c r="U40" s="173">
        <v>235.31</v>
      </c>
      <c r="V40" s="11">
        <f>T21</f>
        <v>238.8210321272436</v>
      </c>
      <c r="W40" s="11">
        <f>IF($B$4&lt;180,W21,W66)</f>
        <v>210.30395399076588</v>
      </c>
      <c r="Y40">
        <f>Y33*($B$24-9)*($B$24--9)/((0-9)*(0--9))+V40*($B$24-0)*($B$24--9)/((9-0)*(9--9))+W40*($B$24-0)*($B$24-9)/((-9-0)*(-9-9))</f>
        <v>230.17352579604841</v>
      </c>
      <c r="Z40">
        <f>Z33*($B$24-9)*($B$24--9)/((0-9)*(0--9))+V85*($B$24-0)*($B$24--9)/((9-0)*(9--9))+W85*($B$24-0)*($B$24-9)/((-9-0)*(-9-9))</f>
        <v>230.4272957618538</v>
      </c>
      <c r="AB40" s="176"/>
      <c r="AF40" s="194">
        <f t="shared" si="10"/>
        <v>166.9166842542337</v>
      </c>
      <c r="AG40" s="1">
        <f>S110</f>
        <v>-562.44566181640027</v>
      </c>
      <c r="AH40">
        <f>(AL40+AI40)/2</f>
        <v>166.98840576917678</v>
      </c>
      <c r="AI40" s="11">
        <f>AT66*AD34</f>
        <v>729.50578910052013</v>
      </c>
      <c r="AJ40" s="11">
        <f t="shared" si="11"/>
        <v>166.95254501170524</v>
      </c>
      <c r="AK40" s="11">
        <f t="shared" si="12"/>
        <v>-562.51738333134335</v>
      </c>
      <c r="AL40" s="11">
        <f>AT21*AD34</f>
        <v>-395.52897756216657</v>
      </c>
      <c r="AM40" s="10">
        <f>AQ21*($AE$16--1)/((1--1))+AQ66*($AE$16-1)/((-1-1))</f>
        <v>230.27269149306147</v>
      </c>
      <c r="AN40" s="160">
        <f>AM40*($AE$24-9)*($AE$24--9)/((0-9)*(0--9))+AY40*($AE$24-0)*($AE$24--9)/((9-0)*(9--9))+AZ40*($AE$24-0)*($AE$24-9)/((-9-0)*(-9-9))</f>
        <v>230.01069003887957</v>
      </c>
      <c r="AP40" s="10">
        <v>95</v>
      </c>
      <c r="AQ40" s="174">
        <f>AJ5</f>
        <v>235.79</v>
      </c>
      <c r="AR40" s="10">
        <f>AV41*((AU40-(100/360))-AU42)*((AU40-(100/360))-AU40)/((AU41-AU42)*(AU41-AU40))+AV42*((AU40-(100/360))-AU41)*((AU40-(100/360))-AU40)/((AU42-AU41)*(AU42-AU40))+AV40*((AU40-(100/360))-AU41)*((AU40-(100/360))-AU42)/((AU40-AU41)*(AU40-AU42))</f>
        <v>234.87493827160495</v>
      </c>
      <c r="AS40" s="174">
        <v>235.23</v>
      </c>
      <c r="AU40" s="174">
        <v>95</v>
      </c>
      <c r="AV40" s="174">
        <f>AJ5</f>
        <v>235.79</v>
      </c>
      <c r="AW40" s="174"/>
      <c r="AX40" s="174">
        <v>235.23</v>
      </c>
      <c r="AY40" s="11">
        <f>AW21</f>
        <v>238.48053453340555</v>
      </c>
      <c r="AZ40" s="11">
        <f>AZ21</f>
        <v>222.17420983335364</v>
      </c>
    </row>
    <row r="41" spans="1:56">
      <c r="C41" s="194">
        <f t="shared" si="4"/>
        <v>138.28480439279701</v>
      </c>
      <c r="D41" s="1">
        <f>H117</f>
        <v>-831.16473559285441</v>
      </c>
      <c r="E41">
        <f t="shared" si="5"/>
        <v>103.47757739953613</v>
      </c>
      <c r="F41" s="11">
        <f>Q73*A34</f>
        <v>899.83508599912966</v>
      </c>
      <c r="G41" s="11">
        <f t="shared" si="6"/>
        <v>120.88119089616657</v>
      </c>
      <c r="H41" s="11">
        <f t="shared" si="7"/>
        <v>-796.35750859959353</v>
      </c>
      <c r="I41" s="11">
        <f>Q28*A34</f>
        <v>-692.8799312000574</v>
      </c>
      <c r="J41" s="160">
        <f t="shared" si="8"/>
        <v>220.65843651516721</v>
      </c>
      <c r="K41" s="160">
        <f t="shared" si="9"/>
        <v>220.2260261788299</v>
      </c>
      <c r="M41" s="10">
        <v>92.5</v>
      </c>
      <c r="N41" s="173">
        <f>G6</f>
        <v>227.59</v>
      </c>
      <c r="O41" s="10">
        <f>S41*((R41-(100/360))-R42)*((R41-(100/360))-R40)/((R41-R42)*(R41-R40))+S42*((R41-(100/360))-R41)*((R41-(100/360))-R40)/((R42-R41)*(R42-R40))+S40*((R41-(100/360))-R41)*((R41-(100/360))-R42)/((R40-R41)*(R40-R42))</f>
        <v>226.67333333333337</v>
      </c>
      <c r="P41" s="173">
        <v>227.08</v>
      </c>
      <c r="R41" s="173">
        <v>92.5</v>
      </c>
      <c r="S41" s="173">
        <f>G6</f>
        <v>227.59</v>
      </c>
      <c r="T41" s="173"/>
      <c r="U41" s="173">
        <v>227.08</v>
      </c>
      <c r="V41" s="11">
        <f>T28</f>
        <v>228.48726238391282</v>
      </c>
      <c r="W41" s="11">
        <f>IF($B$4&lt;180,W28,W73)</f>
        <v>202.11233993822498</v>
      </c>
      <c r="Y41">
        <f>Y34*($B$24-9)*($B$24--9)/((0-9)*(0--9))+V41*($B$24-0)*($B$24--9)/((9-0)*(9--9))+W41*($B$24-0)*($B$24-9)/((-9-0)*(-9-9))</f>
        <v>220.2260261788299</v>
      </c>
      <c r="Z41">
        <f>Z34*($B$24-9)*($B$24--9)/((0-9)*(0--9))+V86*($B$24-0)*($B$24--9)/((9-0)*(9--9))+W86*($B$24-0)*($B$24-9)/((-9-0)*(-9-9))</f>
        <v>221.79728205182798</v>
      </c>
      <c r="AB41" s="176"/>
      <c r="AF41" s="194">
        <f t="shared" si="10"/>
        <v>148.35041254589896</v>
      </c>
      <c r="AG41" s="1">
        <f>S117</f>
        <v>-845.44537218304004</v>
      </c>
      <c r="AH41">
        <f>(AL41+AI41)/2</f>
        <v>149.62719656052286</v>
      </c>
      <c r="AI41" s="11">
        <f>AT73*AD34</f>
        <v>996.3493527581868</v>
      </c>
      <c r="AJ41" s="11">
        <f t="shared" si="11"/>
        <v>148.98880455321091</v>
      </c>
      <c r="AK41" s="11">
        <f t="shared" si="12"/>
        <v>-846.72215619766394</v>
      </c>
      <c r="AL41" s="11">
        <f>AT28*AD34</f>
        <v>-697.09495963714107</v>
      </c>
      <c r="AM41" s="10">
        <f>AQ28*($AE$16--1)/((1--1))+AQ73*($AE$16-1)/((-1-1))</f>
        <v>221.30116028343002</v>
      </c>
      <c r="AN41" s="160">
        <f>AM41*($AE$24-9)*($AE$24--9)/((0-9)*(0--9))+AY41*($AE$24-0)*($AE$24--9)/((9-0)*(9--9))+AZ41*($AE$24-0)*($AE$24-9)/((-9-0)*(-9-9))</f>
        <v>221.06593906634606</v>
      </c>
      <c r="AP41" s="10">
        <v>92.5</v>
      </c>
      <c r="AQ41" s="174">
        <f>AJ6</f>
        <v>227.55</v>
      </c>
      <c r="AR41" s="10">
        <f>AV41*((AU41-(100/360))-AU42)*((AU41-(100/360))-AU40)/((AU41-AU42)*(AU41-AU40))+AV42*((AU41-(100/360))-AU41)*((AU41-(100/360))-AU40)/((AU42-AU41)*(AU42-AU40))+AV40*((AU41-(100/360))-AU41)*((AU41-(100/360))-AU42)/((AU40-AU41)*(AU40-AU42))</f>
        <v>226.63382716049387</v>
      </c>
      <c r="AS41" s="174">
        <v>227.01</v>
      </c>
      <c r="AU41" s="174">
        <v>92.5</v>
      </c>
      <c r="AV41" s="174">
        <f>AJ6</f>
        <v>227.55</v>
      </c>
      <c r="AW41" s="174"/>
      <c r="AX41" s="174">
        <v>227.01</v>
      </c>
      <c r="AY41" s="11">
        <f>AW28</f>
        <v>228.67357595150733</v>
      </c>
      <c r="AZ41" s="11">
        <f>AZ28</f>
        <v>214.03376735900559</v>
      </c>
    </row>
    <row r="42" spans="1:56">
      <c r="C42" s="194">
        <f t="shared" si="4"/>
        <v>85.473178343167092</v>
      </c>
      <c r="D42" s="1">
        <f>H124</f>
        <v>-1027.9757762098379</v>
      </c>
      <c r="E42">
        <f t="shared" si="5"/>
        <v>231.12733774485059</v>
      </c>
      <c r="F42" s="11">
        <f>Q80*A34</f>
        <v>1404.757273356372</v>
      </c>
      <c r="G42" s="11">
        <f t="shared" si="6"/>
        <v>158.30025804400884</v>
      </c>
      <c r="H42" s="11">
        <f t="shared" si="7"/>
        <v>-1173.6299356115214</v>
      </c>
      <c r="I42" s="11">
        <f>Q35*A34</f>
        <v>-942.50259786667084</v>
      </c>
      <c r="J42" s="160">
        <f t="shared" si="8"/>
        <v>212.51801772204234</v>
      </c>
      <c r="K42" s="160">
        <f t="shared" si="9"/>
        <v>212.10538578539817</v>
      </c>
      <c r="M42" s="10">
        <v>90</v>
      </c>
      <c r="N42" s="173">
        <f>G7</f>
        <v>219.34</v>
      </c>
      <c r="O42" s="10">
        <f>S41*((R42-(100/360))-R42)*((R42-(100/360))-R40)/((R41-R42)*(R41-R40))+S42*((R42-(100/360))-R41)*((R42-(100/360))-R40)/((R42-R41)*(R42-R40))+S40*((R42-(100/360))-R41)*((R42-(100/360))-R42)/((R40-R41)*(R40-R42))</f>
        <v>218.42333333333335</v>
      </c>
      <c r="P42" s="173">
        <v>218.85</v>
      </c>
      <c r="R42" s="173">
        <v>90</v>
      </c>
      <c r="S42" s="173">
        <f>G7</f>
        <v>219.34</v>
      </c>
      <c r="T42" s="173"/>
      <c r="U42" s="173">
        <v>218.85</v>
      </c>
      <c r="V42" s="11">
        <f>T35</f>
        <v>218.96487188088031</v>
      </c>
      <c r="W42" s="11">
        <f>IF($B$4&lt;180,W35,W80)</f>
        <v>193.86053138339958</v>
      </c>
      <c r="Y42">
        <f>Y35*($B$24-9)*($B$24--9)/((0-9)*(0--9))+V42*($B$24-0)*($B$24--9)/((9-0)*(9--9))+W42*($B$24-0)*($B$24-9)/((-9-0)*(-9-9))</f>
        <v>212.10538578539817</v>
      </c>
      <c r="Z42">
        <f>Z35*($B$24-9)*($B$24--9)/((0-9)*(0--9))+V87*($B$24-0)*($B$24--9)/((9-0)*(9--9))+W87*($B$24-0)*($B$24-9)/((-9-0)*(-9-9))</f>
        <v>212.61265798782091</v>
      </c>
      <c r="AB42" s="176"/>
      <c r="AF42" s="194">
        <f t="shared" si="10"/>
        <v>133.9220014998275</v>
      </c>
      <c r="AG42" s="1">
        <f>S124</f>
        <v>-1079.8260927243334</v>
      </c>
      <c r="AH42">
        <f>(AL42+AI42)/2</f>
        <v>134.2479199877472</v>
      </c>
      <c r="AI42" s="11">
        <f>AT80*AD34</f>
        <v>1214.3999312000003</v>
      </c>
      <c r="AJ42" s="11">
        <f t="shared" si="11"/>
        <v>134.08496074378735</v>
      </c>
      <c r="AK42" s="11">
        <f t="shared" si="12"/>
        <v>-1080.152011212253</v>
      </c>
      <c r="AL42" s="11">
        <f>AT35*AD34</f>
        <v>-945.90409122450592</v>
      </c>
      <c r="AM42" s="10">
        <f>AQ35*($AE$16--1)/((1--1))+AQ80*($AE$16-1)/((-1-1))</f>
        <v>212.26073250746336</v>
      </c>
      <c r="AN42" s="160">
        <f>AM42*($AE$24-9)*($AE$24--9)/((0-9)*(0--9))+AY42*($AE$24-0)*($AE$24--9)/((9-0)*(9--9))+AZ42*($AE$24-0)*($AE$24-9)/((-9-0)*(-9-9))</f>
        <v>212.04977562642611</v>
      </c>
      <c r="AP42" s="10">
        <v>90</v>
      </c>
      <c r="AQ42" s="174">
        <f>AJ7</f>
        <v>219.3</v>
      </c>
      <c r="AR42" s="10">
        <f>AV41*((AU42-(100/360))-AU42)*((AU42-(100/360))-AU40)/((AU41-AU42)*(AU41-AU40))+AV42*((AU42-(100/360))-AU41)*((AU42-(100/360))-AU40)/((AU42-AU41)*(AU42-AU40))+AV40*((AU42-(100/360))-AU41)*((AU42-(100/360))-AU42)/((AU40-AU41)*(AU40-AU42))</f>
        <v>218.38271604938271</v>
      </c>
      <c r="AS42" s="174">
        <v>218.78</v>
      </c>
      <c r="AU42" s="174">
        <v>90</v>
      </c>
      <c r="AV42" s="174">
        <f>AJ7</f>
        <v>219.3</v>
      </c>
      <c r="AW42" s="174"/>
      <c r="AX42" s="174">
        <v>218.78</v>
      </c>
      <c r="AY42" s="11">
        <f>AW35</f>
        <v>218.8818155132351</v>
      </c>
      <c r="AZ42" s="11">
        <f>AZ35</f>
        <v>205.7516108311811</v>
      </c>
    </row>
    <row r="43" spans="1:56">
      <c r="AB43" s="176"/>
      <c r="AG43" s="1"/>
    </row>
    <row r="44" spans="1:56">
      <c r="AB44" s="176"/>
      <c r="AG44" s="1"/>
    </row>
    <row r="45" spans="1:56">
      <c r="AB45" s="176"/>
      <c r="AG45" s="1"/>
    </row>
    <row r="46" spans="1:56">
      <c r="A46" s="7" t="s">
        <v>0</v>
      </c>
      <c r="B46" s="26">
        <f>Plan1!B1</f>
        <v>246.59</v>
      </c>
      <c r="C46" s="238" t="s">
        <v>46</v>
      </c>
      <c r="D46" s="238"/>
      <c r="E46" s="238"/>
      <c r="F46" s="268" t="s">
        <v>192</v>
      </c>
      <c r="G46" s="268"/>
      <c r="H46" s="268"/>
      <c r="I46" s="268"/>
      <c r="J46" s="268"/>
      <c r="N46" s="1" t="s">
        <v>12</v>
      </c>
      <c r="O46" s="1"/>
      <c r="P46" s="1"/>
      <c r="Q46" s="1" t="s">
        <v>13</v>
      </c>
      <c r="R46" s="1"/>
      <c r="S46" s="1"/>
      <c r="T46" s="1" t="s">
        <v>8</v>
      </c>
      <c r="U46" s="1"/>
      <c r="V46" s="1"/>
      <c r="W46" s="1" t="s">
        <v>9</v>
      </c>
      <c r="AB46" s="176"/>
      <c r="AD46" s="7" t="s">
        <v>0</v>
      </c>
      <c r="AE46" s="26">
        <f>Plan1!$B$1</f>
        <v>246.59</v>
      </c>
      <c r="AF46" s="238" t="s">
        <v>46</v>
      </c>
      <c r="AG46" s="238"/>
      <c r="AH46" s="238"/>
      <c r="AI46" s="268" t="s">
        <v>192</v>
      </c>
      <c r="AJ46" s="268"/>
      <c r="AK46" s="268"/>
      <c r="AL46" s="268"/>
      <c r="AM46" s="268"/>
      <c r="AQ46" s="1" t="s">
        <v>12</v>
      </c>
      <c r="AR46" s="1"/>
      <c r="AS46" s="1"/>
      <c r="AT46" s="1" t="s">
        <v>13</v>
      </c>
      <c r="AU46" s="1"/>
      <c r="AV46" s="1"/>
      <c r="AW46" s="1" t="s">
        <v>8</v>
      </c>
      <c r="AX46" s="1"/>
      <c r="AY46" s="1"/>
      <c r="AZ46" s="1" t="s">
        <v>9</v>
      </c>
    </row>
    <row r="47" spans="1:56">
      <c r="A47" s="7" t="s">
        <v>1</v>
      </c>
      <c r="B47" s="27">
        <f>Plan1!B2</f>
        <v>6.0220000000000002</v>
      </c>
      <c r="C47" s="5"/>
      <c r="D47" s="26">
        <f>A9</f>
        <v>246.57342556553317</v>
      </c>
      <c r="F47" s="161">
        <v>0</v>
      </c>
      <c r="G47" s="162" t="s">
        <v>6</v>
      </c>
      <c r="H47" s="162" t="s">
        <v>7</v>
      </c>
      <c r="I47" s="162" t="s">
        <v>8</v>
      </c>
      <c r="J47" s="162" t="s">
        <v>9</v>
      </c>
      <c r="K47">
        <v>0</v>
      </c>
      <c r="L47" s="173" t="s">
        <v>10</v>
      </c>
      <c r="M47" s="173">
        <v>0</v>
      </c>
      <c r="N47" s="173">
        <f>G48</f>
        <v>252.42</v>
      </c>
      <c r="O47" s="173" t="s">
        <v>10</v>
      </c>
      <c r="P47" s="173">
        <v>0</v>
      </c>
      <c r="Q47" s="173">
        <f>H48</f>
        <v>-171.66666666666669</v>
      </c>
      <c r="R47" s="173" t="s">
        <v>10</v>
      </c>
      <c r="S47" s="173">
        <v>0</v>
      </c>
      <c r="T47" s="173">
        <f>I48</f>
        <v>262.92</v>
      </c>
      <c r="U47" s="173" t="s">
        <v>10</v>
      </c>
      <c r="V47" s="173">
        <v>0</v>
      </c>
      <c r="W47" s="173">
        <f>J48</f>
        <v>241.21</v>
      </c>
      <c r="Z47" s="163">
        <v>100</v>
      </c>
      <c r="AA47" s="163">
        <f>G83</f>
        <v>142.864976246688</v>
      </c>
      <c r="AB47" s="176"/>
      <c r="AD47" s="7" t="s">
        <v>1</v>
      </c>
      <c r="AE47" s="27">
        <f>Plan1!$B$2</f>
        <v>6.0220000000000002</v>
      </c>
      <c r="AF47" s="5"/>
      <c r="AG47" s="26">
        <f>A9</f>
        <v>246.57342556553317</v>
      </c>
      <c r="AI47" s="161">
        <v>0</v>
      </c>
      <c r="AJ47" s="162" t="s">
        <v>6</v>
      </c>
      <c r="AK47" s="162" t="s">
        <v>7</v>
      </c>
      <c r="AL47" s="162" t="s">
        <v>8</v>
      </c>
      <c r="AM47" s="162" t="s">
        <v>9</v>
      </c>
      <c r="AO47" s="174" t="s">
        <v>27</v>
      </c>
      <c r="AP47" s="174">
        <v>0</v>
      </c>
      <c r="AQ47" s="174">
        <f>AJ48</f>
        <v>252.36</v>
      </c>
      <c r="AR47" s="174" t="s">
        <v>27</v>
      </c>
      <c r="AS47" s="174">
        <v>0</v>
      </c>
      <c r="AT47" s="174">
        <f>AK48</f>
        <v>-171.66666666666669</v>
      </c>
      <c r="AU47" s="174" t="s">
        <v>27</v>
      </c>
      <c r="AV47" s="174">
        <v>0</v>
      </c>
      <c r="AW47" s="174">
        <f>AL48</f>
        <v>262.92</v>
      </c>
      <c r="AX47" s="174" t="s">
        <v>27</v>
      </c>
      <c r="AY47" s="174">
        <v>0</v>
      </c>
      <c r="AZ47" s="174">
        <f>AM48</f>
        <v>241.21</v>
      </c>
      <c r="BC47" s="163">
        <v>100</v>
      </c>
      <c r="BD47" s="163">
        <f>AJ83</f>
        <v>205.35605232502661</v>
      </c>
    </row>
    <row r="48" spans="1:56">
      <c r="A48" s="7" t="s">
        <v>2</v>
      </c>
      <c r="B48" s="27">
        <f>Plan1!B3</f>
        <v>1</v>
      </c>
      <c r="C48" s="5"/>
      <c r="D48" s="26">
        <f>A54</f>
        <v>258.43625000000003</v>
      </c>
      <c r="F48" s="173">
        <v>100</v>
      </c>
      <c r="G48" s="180">
        <v>252.42</v>
      </c>
      <c r="H48" s="173">
        <v>-171.66666666666669</v>
      </c>
      <c r="I48" s="173">
        <v>262.92</v>
      </c>
      <c r="J48" s="173">
        <f>$K$47+K48</f>
        <v>241.21</v>
      </c>
      <c r="K48" s="193">
        <v>241.21</v>
      </c>
      <c r="L48" s="173" t="s">
        <v>10</v>
      </c>
      <c r="M48" s="173">
        <v>-2.5</v>
      </c>
      <c r="N48" s="173">
        <f>G55</f>
        <v>254.01</v>
      </c>
      <c r="O48" s="173" t="s">
        <v>10</v>
      </c>
      <c r="P48" s="173">
        <v>-2.5</v>
      </c>
      <c r="Q48" s="173">
        <f>H55</f>
        <v>-251.66666666666669</v>
      </c>
      <c r="R48" s="173" t="s">
        <v>10</v>
      </c>
      <c r="S48" s="173">
        <v>-2.5</v>
      </c>
      <c r="T48" s="173">
        <f>I55</f>
        <v>264.79000000000002</v>
      </c>
      <c r="U48" s="173" t="s">
        <v>10</v>
      </c>
      <c r="V48" s="173">
        <v>-2.5</v>
      </c>
      <c r="W48" s="173">
        <f>J55</f>
        <v>242.5</v>
      </c>
      <c r="Z48" s="163">
        <v>97.5</v>
      </c>
      <c r="AA48" s="163">
        <f>G84</f>
        <v>337.19609210860483</v>
      </c>
      <c r="AB48" s="176"/>
      <c r="AD48" s="7" t="s">
        <v>2</v>
      </c>
      <c r="AE48" s="27">
        <f>Plan1!$B$3</f>
        <v>1</v>
      </c>
      <c r="AF48" s="5"/>
      <c r="AG48" s="26">
        <f>AD54</f>
        <v>258.43625000000003</v>
      </c>
      <c r="AI48" s="174">
        <v>100</v>
      </c>
      <c r="AJ48" s="175">
        <v>252.36</v>
      </c>
      <c r="AK48" s="175">
        <v>-171.66666666666669</v>
      </c>
      <c r="AL48" s="175">
        <v>262.92</v>
      </c>
      <c r="AM48" s="175">
        <v>241.21</v>
      </c>
      <c r="AO48" s="174" t="s">
        <v>27</v>
      </c>
      <c r="AP48" s="174">
        <v>2.5</v>
      </c>
      <c r="AQ48" s="174">
        <f>AJ55</f>
        <v>250.67</v>
      </c>
      <c r="AR48" s="174" t="s">
        <v>27</v>
      </c>
      <c r="AS48" s="174">
        <v>2.5</v>
      </c>
      <c r="AT48" s="174">
        <f>AK55</f>
        <v>-88.333333333333343</v>
      </c>
      <c r="AU48" s="174" t="s">
        <v>27</v>
      </c>
      <c r="AV48" s="174">
        <v>2.5</v>
      </c>
      <c r="AW48" s="174">
        <f>AL55</f>
        <v>260.94</v>
      </c>
      <c r="AX48" s="174" t="s">
        <v>27</v>
      </c>
      <c r="AY48" s="174">
        <v>2.5</v>
      </c>
      <c r="AZ48" s="174">
        <f>AM55</f>
        <v>239.84</v>
      </c>
      <c r="BC48" s="163">
        <v>97.5</v>
      </c>
      <c r="BD48" s="163">
        <f>AJ84</f>
        <v>185.37969693547996</v>
      </c>
    </row>
    <row r="49" spans="1:56">
      <c r="A49" s="7" t="s">
        <v>3</v>
      </c>
      <c r="B49" s="28">
        <f>Plan1!B4</f>
        <v>106.667</v>
      </c>
      <c r="C49" s="3"/>
      <c r="D49" s="26">
        <f>D47</f>
        <v>246.57342556553317</v>
      </c>
      <c r="F49" s="173">
        <v>97.5</v>
      </c>
      <c r="G49" s="180">
        <v>244.32</v>
      </c>
      <c r="H49" s="173">
        <v>215</v>
      </c>
      <c r="I49" s="173">
        <v>254.03</v>
      </c>
      <c r="J49" s="193">
        <f t="shared" ref="J49:J52" si="13">$K$47+K49</f>
        <v>234.19</v>
      </c>
      <c r="K49" s="193">
        <v>234.19</v>
      </c>
      <c r="L49" s="173" t="s">
        <v>10</v>
      </c>
      <c r="M49" s="173">
        <v>-5</v>
      </c>
      <c r="N49" s="173">
        <f>G62</f>
        <v>255.51</v>
      </c>
      <c r="O49" s="173" t="s">
        <v>10</v>
      </c>
      <c r="P49" s="173">
        <v>-5</v>
      </c>
      <c r="Q49" s="173">
        <f>H62</f>
        <v>-331.66666666666669</v>
      </c>
      <c r="R49" s="173" t="s">
        <v>10</v>
      </c>
      <c r="S49" s="173">
        <v>-5</v>
      </c>
      <c r="T49" s="173">
        <f>I62</f>
        <v>266.57</v>
      </c>
      <c r="U49" s="173" t="s">
        <v>10</v>
      </c>
      <c r="V49" s="173">
        <v>-5</v>
      </c>
      <c r="W49" s="173">
        <f>J62</f>
        <v>244.01000000000002</v>
      </c>
      <c r="Z49" s="163">
        <v>95</v>
      </c>
      <c r="AA49" s="163">
        <f>G85</f>
        <v>-155.79862785916384</v>
      </c>
      <c r="AB49" s="176"/>
      <c r="AD49" s="7" t="s">
        <v>3</v>
      </c>
      <c r="AE49" s="28">
        <f>Plan1!$B$4</f>
        <v>106.667</v>
      </c>
      <c r="AF49" s="3"/>
      <c r="AG49" s="26">
        <f>AG47</f>
        <v>246.57342556553317</v>
      </c>
      <c r="AI49" s="174">
        <v>97.5</v>
      </c>
      <c r="AJ49" s="175">
        <v>244.27</v>
      </c>
      <c r="AK49" s="175">
        <v>215</v>
      </c>
      <c r="AL49" s="175">
        <v>254.03</v>
      </c>
      <c r="AM49" s="175">
        <v>234.19</v>
      </c>
      <c r="AN49" s="16">
        <v>100</v>
      </c>
      <c r="AO49" s="174" t="s">
        <v>27</v>
      </c>
      <c r="AP49" s="174">
        <v>5</v>
      </c>
      <c r="AQ49" s="174">
        <f>AJ62</f>
        <v>248.88</v>
      </c>
      <c r="AR49" s="174" t="s">
        <v>27</v>
      </c>
      <c r="AS49" s="174">
        <v>5</v>
      </c>
      <c r="AT49" s="174">
        <f>AK62</f>
        <v>-5</v>
      </c>
      <c r="AU49" s="174" t="s">
        <v>27</v>
      </c>
      <c r="AV49" s="174">
        <v>5</v>
      </c>
      <c r="AW49" s="174">
        <f>AL62</f>
        <v>258.83999999999997</v>
      </c>
      <c r="AX49" s="174" t="s">
        <v>27</v>
      </c>
      <c r="AY49" s="174">
        <v>5</v>
      </c>
      <c r="AZ49" s="174">
        <f>AM62</f>
        <v>238.36</v>
      </c>
      <c r="BC49" s="163">
        <v>95</v>
      </c>
      <c r="BD49" s="163">
        <f>AJ85</f>
        <v>167.02426652664832</v>
      </c>
    </row>
    <row r="50" spans="1:56">
      <c r="A50" s="7" t="s">
        <v>4</v>
      </c>
      <c r="B50" s="7">
        <f>Plan1!B5*B53</f>
        <v>-1.6574434466824872</v>
      </c>
      <c r="C50" s="2"/>
      <c r="F50" s="173">
        <v>95</v>
      </c>
      <c r="G50" s="180">
        <v>236.11</v>
      </c>
      <c r="H50" s="173">
        <v>543.33333333333337</v>
      </c>
      <c r="I50" s="173">
        <v>244.78</v>
      </c>
      <c r="J50" s="193">
        <f t="shared" si="13"/>
        <v>226.93</v>
      </c>
      <c r="K50" s="193">
        <v>226.93</v>
      </c>
      <c r="L50" s="173" t="s">
        <v>10</v>
      </c>
      <c r="M50" s="173">
        <v>-7.5</v>
      </c>
      <c r="N50" s="173">
        <f>G69</f>
        <v>256.94</v>
      </c>
      <c r="O50" s="173" t="s">
        <v>10</v>
      </c>
      <c r="P50" s="173">
        <v>-7.5</v>
      </c>
      <c r="Q50" s="173">
        <f>H69</f>
        <v>-408.33333333333337</v>
      </c>
      <c r="R50" s="173" t="s">
        <v>10</v>
      </c>
      <c r="S50" s="173">
        <v>-7.5</v>
      </c>
      <c r="T50" s="173">
        <f>I69</f>
        <v>268.26</v>
      </c>
      <c r="U50" s="173" t="s">
        <v>10</v>
      </c>
      <c r="V50" s="173">
        <v>-7.5</v>
      </c>
      <c r="W50" s="173">
        <f>J69</f>
        <v>245.15</v>
      </c>
      <c r="Z50" s="163">
        <v>92.5</v>
      </c>
      <c r="AA50" s="163">
        <f>G86</f>
        <v>86.073963902905689</v>
      </c>
      <c r="AB50" s="176"/>
      <c r="AD50" s="7" t="s">
        <v>4</v>
      </c>
      <c r="AE50" s="7">
        <f>Plan1!B5*AE53</f>
        <v>-1.6100879196344162</v>
      </c>
      <c r="AF50" s="2"/>
      <c r="AG50" s="1"/>
      <c r="AI50" s="174">
        <v>95</v>
      </c>
      <c r="AJ50" s="175">
        <v>236.06</v>
      </c>
      <c r="AK50" s="175">
        <v>543.33333333333337</v>
      </c>
      <c r="AL50" s="175">
        <v>244.78</v>
      </c>
      <c r="AM50" s="175">
        <v>226.93</v>
      </c>
      <c r="AN50" s="16"/>
      <c r="AO50" s="174" t="s">
        <v>27</v>
      </c>
      <c r="AP50" s="174">
        <v>7.5</v>
      </c>
      <c r="AQ50" s="174">
        <f>AJ69</f>
        <v>246.96</v>
      </c>
      <c r="AR50" s="174" t="s">
        <v>27</v>
      </c>
      <c r="AS50" s="174">
        <v>7.5</v>
      </c>
      <c r="AT50" s="174">
        <f>AK69</f>
        <v>81.666666666666671</v>
      </c>
      <c r="AU50" s="174" t="s">
        <v>27</v>
      </c>
      <c r="AV50" s="174">
        <v>7.5</v>
      </c>
      <c r="AW50" s="174">
        <f>AL69</f>
        <v>256.61</v>
      </c>
      <c r="AX50" s="174" t="s">
        <v>27</v>
      </c>
      <c r="AY50" s="174">
        <v>7.5</v>
      </c>
      <c r="AZ50" s="174">
        <f>AM69</f>
        <v>236.77</v>
      </c>
      <c r="BC50" s="163">
        <v>92.5</v>
      </c>
      <c r="BD50" s="163">
        <f>AJ86</f>
        <v>150.26558856783481</v>
      </c>
    </row>
    <row r="51" spans="1:56">
      <c r="A51" s="7" t="s">
        <v>5</v>
      </c>
      <c r="B51" s="29">
        <f>Plan1!B6</f>
        <v>0.85</v>
      </c>
      <c r="C51" s="6"/>
      <c r="D51" s="165">
        <f>G83*(D47-J84)*(D47-J85)*(D47-J86)*(D47-J87)/((J83-J84)*(J83-J85)*(J83-J86)*(J83-J87))+G84*(D47-J83)*(D47-J85)*(D47-J86)*(D47-J87)/((J84-J83)*(J84-J85)*(J84-J86)*(J84-J87))+G85*(D47-J84)*(D47-J83)*(D47-J86)*(D47-J87)/((J85-J84)*(J85-J84)*(J85-J86)*(J85-J87))+G86*(D47-J84)*(D47-J85)*(D47-J83)*(D47-J87)/((J86-J84)*(J86-J85)*(J86-J83)*(J86-J87))+G87*(D47-J84)*(D47-J85)*(D47-J86)*(D47-J83)/((J87-J84)*(J87-J85)*(J87-J86)*(J87-J83))</f>
        <v>362.59704727326846</v>
      </c>
      <c r="F51" s="173">
        <v>92.5</v>
      </c>
      <c r="G51" s="180">
        <v>227.83</v>
      </c>
      <c r="H51" s="173">
        <v>823.33333333333337</v>
      </c>
      <c r="I51" s="173">
        <v>235.72</v>
      </c>
      <c r="J51" s="193">
        <f t="shared" si="13"/>
        <v>219.5</v>
      </c>
      <c r="K51" s="193">
        <v>219.5</v>
      </c>
      <c r="L51" s="173" t="s">
        <v>10</v>
      </c>
      <c r="M51" s="173">
        <v>-10</v>
      </c>
      <c r="N51" s="173">
        <f>G76</f>
        <v>258.29000000000002</v>
      </c>
      <c r="O51" s="173" t="s">
        <v>10</v>
      </c>
      <c r="P51" s="173">
        <v>-10</v>
      </c>
      <c r="Q51" s="173">
        <f>H76</f>
        <v>-483.33333333333337</v>
      </c>
      <c r="R51" s="173" t="s">
        <v>10</v>
      </c>
      <c r="S51" s="173">
        <v>-10</v>
      </c>
      <c r="T51" s="173">
        <f>I76</f>
        <v>269.87</v>
      </c>
      <c r="U51" s="173" t="s">
        <v>10</v>
      </c>
      <c r="V51" s="173">
        <v>-10</v>
      </c>
      <c r="W51" s="173">
        <f>J76</f>
        <v>246.22</v>
      </c>
      <c r="Z51" s="163">
        <v>90</v>
      </c>
      <c r="AA51" s="163">
        <f>G87</f>
        <v>303.95441744569234</v>
      </c>
      <c r="AB51" s="176"/>
      <c r="AD51" s="7" t="s">
        <v>5</v>
      </c>
      <c r="AE51" s="29">
        <f>Plan1!$B$6</f>
        <v>0.85</v>
      </c>
      <c r="AF51" s="6"/>
      <c r="AG51" s="165">
        <f>AJ83*(AG47-AM84)*(AG47-AM85)*(AG47-AM86)*(AG47-AM87)/((AM83-AM84)*(AM83-AM85)*(AM83-AM86)*(AM83-AM87))+AJ84*(AG47-AM83)*(AG47-AM85)*(AG47-AM86)*(AG47-AM87)/((AM84-AM83)*(AM84-AM85)*(AM84-AM86)*(AM84-AM87))+AJ85*(AG47-AM84)*(AG47-AM83)*(AG47-AM86)*(AG47-AM87)/((AM85-AM84)*(AM85-AM84)*(AM85-AM86)*(AM85-AM87))+AJ86*(AG47-AM84)*(AG47-AM85)*(AG47-AM83)*(AG47-AM87)/((AM86-AM84)*(AM86-AM85)*(AM86-AM83)*(AM86-AM87))+AJ87*(AG47-AM84)*(AG47-AM85)*(AG47-AM86)*(AG47-AM83)/((AM87-AM84)*(AM87-AM85)*(AM87-AM86)*(AM87-AM83))</f>
        <v>141.209791068231</v>
      </c>
      <c r="AI51" s="174">
        <v>92.5</v>
      </c>
      <c r="AJ51" s="175">
        <v>227.78</v>
      </c>
      <c r="AK51" s="175">
        <v>823.33333333333337</v>
      </c>
      <c r="AL51" s="175">
        <v>235.72</v>
      </c>
      <c r="AM51" s="175">
        <v>219.5</v>
      </c>
      <c r="AN51" s="1"/>
      <c r="AO51" s="174" t="s">
        <v>27</v>
      </c>
      <c r="AP51" s="174">
        <v>10</v>
      </c>
      <c r="AQ51" s="174">
        <f>AJ76</f>
        <v>244.89</v>
      </c>
      <c r="AR51" s="174" t="s">
        <v>27</v>
      </c>
      <c r="AS51" s="174">
        <v>10</v>
      </c>
      <c r="AT51" s="174">
        <f>AK76</f>
        <v>173.33333333333334</v>
      </c>
      <c r="AU51" s="174" t="s">
        <v>27</v>
      </c>
      <c r="AV51" s="174">
        <v>10</v>
      </c>
      <c r="AW51" s="174">
        <f>AL76</f>
        <v>254.22</v>
      </c>
      <c r="AX51" s="174" t="s">
        <v>27</v>
      </c>
      <c r="AY51" s="174">
        <v>10</v>
      </c>
      <c r="AZ51" s="174">
        <f>AM76</f>
        <v>235.06</v>
      </c>
      <c r="BC51" s="163">
        <v>90</v>
      </c>
      <c r="BD51" s="163">
        <f>AJ87</f>
        <v>134.41087923170704</v>
      </c>
    </row>
    <row r="52" spans="1:56">
      <c r="A52">
        <f>30/34</f>
        <v>0.88235294117647056</v>
      </c>
      <c r="B52">
        <f>31/35</f>
        <v>0.88571428571428568</v>
      </c>
      <c r="D52" s="1">
        <f>H83*(D47-J84)*(D47-J85)*(D47-J86)*(D47-J87)/((J83-J84)*(J83-J85)*(J83-J86)*(J83-J87))+H84*(D47-J83)*(D47-J85)*(D47-J86)*(D47-J87)/((J84-J83)*(J84-J85)*(J84-J86)*(J84-J87))+H85*(D47-J84)*(D47-J83)*(D47-J86)*(D47-J87)/((J85-J84)*(J85-J84)*(J85-J86)*(J85-J87))+H86*(D47-J84)*(D47-J85)*(D47-J83)*(D47-J87)/((J86-J84)*(J86-J85)*(J86-J83)*(J86-J87))+H87*(D47-J84)*(D47-J85)*(D47-J86)*(D47-J83)/((J87-J84)*(J87-J85)*(J87-J86)*(J87-J83))</f>
        <v>-392.79568084590255</v>
      </c>
      <c r="F52" s="173">
        <v>90</v>
      </c>
      <c r="G52" s="180">
        <v>219.55</v>
      </c>
      <c r="H52" s="173">
        <v>1055</v>
      </c>
      <c r="I52" s="173">
        <v>226.74</v>
      </c>
      <c r="J52" s="193">
        <f t="shared" si="13"/>
        <v>211.99</v>
      </c>
      <c r="K52" s="193">
        <v>211.99</v>
      </c>
      <c r="L52" s="173" t="s">
        <v>11</v>
      </c>
      <c r="M52" s="9">
        <f>$B$2</f>
        <v>6.0220000000000002</v>
      </c>
      <c r="N52" s="178">
        <f>N47*(M52-M49)*(M52-M51)*(M52-M48)*(M52-M50)/((M47-M49)*(M47-M51)*(M47-M48)*(M47-M50))+N49*(M52-M47)*(M52-M51)*(M52-M48)*(M52-M50)/((M49-M47)*(M49-M51)*(M49-M48)*(M49-M50))+N51*(M52-M47)*(M52-M49)*(M52-M48)*(M52-M50)/((M51-M47)*(M51-M49)*(M51-M48)*(M51-M50))+N48*(M52-M49)*(M52-M51)*(M52-M47)*(M52-M50)/((M48-M49)*(M48-M51)*(M48-M47)*(M48-M50))+N50*(M52-M49)*(M52-M51)*(M52-M47)*(M52-M48)/((M50-M49)*(M50-M51)*(M50-M47)*(M50-M48))</f>
        <v>247.85508099203253</v>
      </c>
      <c r="O52" s="173" t="s">
        <v>10</v>
      </c>
      <c r="P52" s="9">
        <f>$B$2</f>
        <v>6.0220000000000002</v>
      </c>
      <c r="Q52" s="178">
        <f>Q47*(P52-P49)*(P52-P51)*(P52-P48)*(P52-P50)/((P47-P49)*(P47-P51)*(P47-P48)*(P47-P50))+Q49*(P52-P47)*(P52-P51)*(P52-P48)*(P52-P50)/((P49-P47)*(P49-P51)*(P49-P48)*(P49-P50))+Q51*(P52-P47)*(P52-P49)*(P52-P48)*(P52-P50)/((P51-P47)*(P51-P49)*(P51-P48)*(P51-P50))+Q48*(P52-P49)*(P52-P51)*(P52-P47)*(P52-P50)/((P48-P49)*(P48-P51)*(P48-P47)*(P48-P50))+Q50*(P52-P49)*(P52-P51)*(P52-P47)*(P52-P48)/((P50-P49)*(P50-P51)*(P50-P47)*(P50-P48))</f>
        <v>-39.867120527078441</v>
      </c>
      <c r="R52" s="173" t="s">
        <v>10</v>
      </c>
      <c r="S52" s="9">
        <f>$B$2</f>
        <v>6.0220000000000002</v>
      </c>
      <c r="T52" s="178">
        <f>T47*(S52-S49)*(S52-S51)*(S52-S48)*(S52-S50)/((S47-S49)*(S47-S51)*(S47-S48)*(S47-S50))+T49*(S52-S47)*(S52-S51)*(S52-S48)*(S52-S50)/((S49-S47)*(S49-S51)*(S49-S48)*(S49-S50))+T51*(S52-S47)*(S52-S49)*(S52-S48)*(S52-S50)/((S51-S47)*(S51-S49)*(S51-S48)*(S51-S50))+T48*(S52-S49)*(S52-S51)*(S52-S47)*(S52-S50)/((S48-S49)*(S48-S51)*(S48-S47)*(S48-S50))+T50*(S52-S49)*(S52-S51)*(S52-S47)*(S52-S48)/((S50-S49)*(S50-S51)*(S50-S47)*(S50-S48))</f>
        <v>258.12762909562116</v>
      </c>
      <c r="U52" s="173" t="s">
        <v>10</v>
      </c>
      <c r="V52" s="9">
        <f>$B$2</f>
        <v>6.0220000000000002</v>
      </c>
      <c r="W52" s="178">
        <f>W47*(V52-V49)*(V52-V51)*(V52-V48)*(V52-V50)/((V47-V49)*(V47-V51)*(V47-V48)*(V47-V50))+W49*(V52-V47)*(V52-V51)*(V52-V48)*(V52-V50)/((V49-V47)*(V49-V51)*(V49-V48)*(V49-V50))+W51*(V52-V47)*(V52-V49)*(V52-V48)*(V52-V50)/((V51-V47)*(V51-V49)*(V51-V48)*(V51-V50))+W48*(V52-V49)*(V52-V51)*(V52-V47)*(V52-V50)/((V48-V49)*(V48-V51)*(V48-V47)*(V48-V50))+W50*(V52-V49)*(V52-V51)*(V52-V47)*(V52-V48)/((V50-V49)*(V50-V51)*(V50-V47)*(V50-V48))</f>
        <v>249.82675194190415</v>
      </c>
      <c r="Y52" s="163" t="s">
        <v>193</v>
      </c>
      <c r="Z52" s="164">
        <f>A75</f>
        <v>99.623762498937467</v>
      </c>
      <c r="AA52" s="164">
        <f>AA47*(Z52-Z48)*(Z52-Z49)*(Z52-Z50)*(Z52-Z51)/((Z47-Z48)*(Z47-Z49)*(Z47-Z50)*(Z47-Z51))+AA48*(Z52-Z47)*(Z52-Z49)*(Z52-Z50)*(Z52-Z51)/((Z48-Z47)*(Z48-Z49)*(Z48-Z50)*(Z48-Z51))+AA49*(Z52-Z47)*(Z52-Z48)*(Z52-Z50)*(Z52-Z51)/((Z49-Z47)*(Z49-Z48)*(Z49-Z50)*(Z49-Z51))+AA50*(Z52-Z47)*(Z52-Z48)*(Z52-Z49)*(Z52-Z51)/((Z50-Z47)*(Z50-Z48)*(Z50-Z49)*(Z50-Z51))+AA51*(Z52-Z47)*(Z52-Z48)*(Z52-Z49)*(Z52-Z50)/((Z51-Z47)*(Z51-Z48)*(Z51-Z49)*(Z51-Z50))</f>
        <v>333.32416385227401</v>
      </c>
      <c r="AB52" s="176"/>
      <c r="AD52">
        <f>30/35</f>
        <v>0.8571428571428571</v>
      </c>
      <c r="AE52">
        <f>31/35</f>
        <v>0.88571428571428568</v>
      </c>
      <c r="AG52" s="1">
        <f>AK83*(AG47-AM84)*(AG47-AM85)*(AG47-AM86)*(AG47-AM87)/((AM83-AM84)*(AM83-AM85)*(AM83-AM86)*(AM83-AM87))+AK84*(AG47-AM83)*(AG47-AM85)*(AG47-AM86)*(AG47-AM87)/((AM84-AM83)*(AM84-AM85)*(AM84-AM86)*(AM84-AM87))+AK85*(AG47-AM84)*(AG47-AM83)*(AG47-AM86)*(AG47-AM87)/((AM85-AM84)*(AM85-AM84)*(AM85-AM86)*(AM85-AM87))+AK86*(AG47-AM84)*(AG47-AM85)*(AG47-AM83)*(AG47-AM87)/((AM86-AM84)*(AM86-AM85)*(AM86-AM83)*(AM86-AM87))+AK87*(AG47-AM84)*(AG47-AM85)*(AG47-AM86)*(AG47-AM83)/((AM87-AM84)*(AM87-AM85)*(AM87-AM86)*(AM87-AM83))</f>
        <v>-303.69332318608753</v>
      </c>
      <c r="AI52" s="174">
        <v>90</v>
      </c>
      <c r="AJ52" s="175">
        <v>219.51</v>
      </c>
      <c r="AK52" s="175">
        <v>1055</v>
      </c>
      <c r="AL52" s="175">
        <v>226.74</v>
      </c>
      <c r="AM52" s="175">
        <v>211.99</v>
      </c>
      <c r="AN52" s="1"/>
      <c r="AO52" s="174" t="s">
        <v>28</v>
      </c>
      <c r="AP52" s="9">
        <f>$B$2</f>
        <v>6.0220000000000002</v>
      </c>
      <c r="AQ52" s="178">
        <f>AQ47*(AP52-AP49)*(AP52-AP51)*(AP52-AP48)*(AP52-AP50)/((AP47-AP49)*(AP47-AP51)*(AP47-AP48)*(AP47-AP50))+AQ49*(AP52-AP47)*(AP52-AP51)*(AP52-AP48)*(AP52-AP50)/((AP49-AP47)*(AP49-AP51)*(AP49-AP48)*(AP49-AP50))+AQ51*(AP52-AP47)*(AP52-AP49)*(AP52-AP48)*(AP52-AP50)/((AP51-AP47)*(AP51-AP49)*(AP51-AP48)*(AP51-AP50))+AQ48*(AP52-AP49)*(AP52-AP51)*(AP52-AP47)*(AP52-AP50)/((AP48-AP49)*(AP48-AP51)*(AP48-AP47)*(AP48-AP50))+AQ50*(AP52-AP49)*(AP52-AP51)*(AP52-AP47)*(AP52-AP48)/((AP50-AP49)*(AP50-AP51)*(AP50-AP47)*(AP50-AP48))</f>
        <v>248.11217404752668</v>
      </c>
      <c r="AR52" s="174" t="s">
        <v>28</v>
      </c>
      <c r="AS52" s="9">
        <f>$B$2</f>
        <v>6.0220000000000002</v>
      </c>
      <c r="AT52" s="178">
        <f>AT47*(AS52-AS49)*(AS52-AS51)*(AS52-AS48)*(AS52-AS50)/((AS47-AS49)*(AS47-AS51)*(AS47-AS48)*(AS47-AS50))+AT49*(AS52-AS47)*(AS52-AS51)*(AS52-AS48)*(AS52-AS50)/((AS49-AS47)*(AS49-AS51)*(AS49-AS48)*(AS49-AS50))+AT51*(AS52-AS47)*(AS52-AS49)*(AS52-AS48)*(AS52-AS50)/((AS51-AS47)*(AS51-AS49)*(AS51-AS48)*(AS51-AS50))+AT48*(AS52-AS49)*(AS52-AS51)*(AS52-AS47)*(AS52-AS50)/((AS48-AS49)*(AS48-AS51)*(AS48-AS47)*(AS48-AS50))+AT50*(AS52-AS49)*(AS52-AS51)*(AS52-AS47)*(AS52-AS48)/((AS50-AS49)*(AS50-AS51)*(AS50-AS47)*(AS50-AS48))</f>
        <v>29.8943273207</v>
      </c>
      <c r="AU52" s="174" t="s">
        <v>28</v>
      </c>
      <c r="AV52" s="9">
        <f>$B$2</f>
        <v>6.0220000000000002</v>
      </c>
      <c r="AW52" s="178">
        <f>AW47*(AV52-AV49)*(AV52-AV51)*(AV52-AV48)*(AV52-AV50)/((AV47-AV49)*(AV47-AV51)*(AV47-AV48)*(AV47-AV50))+AW49*(AV52-AV47)*(AV52-AV51)*(AV52-AV48)*(AV52-AV50)/((AV49-AV47)*(AV49-AV51)*(AV49-AV48)*(AV49-AV50))+AW51*(AV52-AV47)*(AV52-AV49)*(AV52-AV48)*(AV52-AV50)/((AV51-AV47)*(AV51-AV49)*(AV51-AV48)*(AV51-AV50))+AW48*(AV52-AV49)*(AV52-AV51)*(AV52-AV47)*(AV52-AV50)/((AV48-AV49)*(AV48-AV51)*(AV48-AV47)*(AV48-AV50))+AW50*(AV52-AV49)*(AV52-AV51)*(AV52-AV47)*(AV52-AV48)/((AV50-AV49)*(AV50-AV51)*(AV50-AV47)*(AV50-AV48))</f>
        <v>257.94533629870273</v>
      </c>
      <c r="AX52" s="174" t="s">
        <v>28</v>
      </c>
      <c r="AY52" s="9">
        <f>$B$2</f>
        <v>6.0220000000000002</v>
      </c>
      <c r="AZ52" s="178">
        <f>AZ47*(AY52-AY49)*(AY52-AY51)*(AY52-AY48)*(AY52-AY50)/((AY47-AY49)*(AY47-AY51)*(AY47-AY48)*(AY47-AY50))+AZ49*(AY52-AY47)*(AY52-AY51)*(AY52-AY48)*(AY52-AY50)/((AY49-AY47)*(AY49-AY51)*(AY49-AY48)*(AY49-AY50))+AZ51*(AY52-AY47)*(AY52-AY49)*(AY52-AY48)*(AY52-AY50)/((AY51-AY47)*(AY51-AY49)*(AY51-AY48)*(AY51-AY50))+AZ48*(AY52-AY49)*(AY52-AY51)*(AY52-AY47)*(AY52-AY50)/((AY48-AY49)*(AY48-AY51)*(AY48-AY47)*(AY48-AY50))+AZ50*(AY52-AY49)*(AY52-AY51)*(AY52-AY47)*(AY52-AY48)/((AY50-AY49)*(AY50-AY51)*(AY50-AY47)*(AY50-AY48))</f>
        <v>237.72364227162603</v>
      </c>
      <c r="BB52" s="163" t="s">
        <v>193</v>
      </c>
      <c r="BC52" s="164">
        <f>AD75</f>
        <v>99.645619023957522</v>
      </c>
      <c r="BD52" s="164">
        <f>BD47*(BC52-BC48)*(BC52-BC49)*(BC52-BC50)*(BC52-BC51)/((BC47-BC48)*(BC47-BC49)*(BC47-BC50)*(BC47-BC51))+BD48*(BC52-BC47)*(BC52-BC49)*(BC52-BC50)*(BC52-BC51)/((BC48-BC47)*(BC48-BC49)*(BC48-BC50)*(BC48-BC51))+BD49*(BC52-BC47)*(BC52-BC48)*(BC52-BC50)*(BC52-BC51)/((BC49-BC47)*(BC49-BC48)*(BC49-BC50)*(BC49-BC51))+BD50*(BC52-BC47)*(BC52-BC48)*(BC52-BC49)*(BC52-BC51)/((BC50-BC47)*(BC50-BC48)*(BC50-BC49)*(BC50-BC51))+BD51*(BC52-BC47)*(BC52-BC48)*(BC52-BC49)*(BC52-BC50)/((BC51-BC47)*(BC51-BC48)*(BC51-BC49)*(BC51-BC50))</f>
        <v>202.44284714404384</v>
      </c>
    </row>
    <row r="53" spans="1:56">
      <c r="B53">
        <f>IF(Plan1!$E$16=4,A52,B52)</f>
        <v>0.88235294117647056</v>
      </c>
      <c r="K53" s="13"/>
      <c r="N53" s="1" t="s">
        <v>12</v>
      </c>
      <c r="O53" s="1"/>
      <c r="P53" s="1"/>
      <c r="Q53" s="1" t="s">
        <v>13</v>
      </c>
      <c r="R53" s="1"/>
      <c r="S53" s="1"/>
      <c r="T53" s="1" t="s">
        <v>8</v>
      </c>
      <c r="U53" s="1"/>
      <c r="V53" s="1"/>
      <c r="W53" s="1" t="s">
        <v>9</v>
      </c>
      <c r="AB53" s="176"/>
      <c r="AE53">
        <f>IF(Plan1!$E$16=4,AD52,AE52)</f>
        <v>0.8571428571428571</v>
      </c>
      <c r="AG53" s="1"/>
      <c r="AN53" s="13"/>
      <c r="AQ53" s="1" t="s">
        <v>12</v>
      </c>
      <c r="AR53" s="1"/>
      <c r="AS53" s="1"/>
      <c r="AT53" s="1" t="s">
        <v>13</v>
      </c>
      <c r="AU53" s="1"/>
      <c r="AV53" s="1"/>
      <c r="AW53" s="1" t="s">
        <v>8</v>
      </c>
      <c r="AX53" s="1"/>
      <c r="AY53" s="1"/>
      <c r="AZ53" s="1" t="s">
        <v>9</v>
      </c>
    </row>
    <row r="54" spans="1:56">
      <c r="A54" s="4">
        <f>0*(B51-0.9)*(B51-0.8)/((1-0.9)*(1-0.8))+7.7*(B51-1)*(B51-0.8)/((0.9-1)*(0.9-0.8))+16.19*(B51-1)*(B51-0.9)/((0.8-1)*(0.8-0.9))+B46</f>
        <v>258.43625000000003</v>
      </c>
      <c r="F54" s="15">
        <v>-2.5</v>
      </c>
      <c r="G54" s="7" t="s">
        <v>6</v>
      </c>
      <c r="H54" s="7" t="s">
        <v>7</v>
      </c>
      <c r="I54" s="7" t="s">
        <v>8</v>
      </c>
      <c r="J54" s="7" t="s">
        <v>9</v>
      </c>
      <c r="K54" s="13">
        <v>0</v>
      </c>
      <c r="L54" s="173" t="s">
        <v>10</v>
      </c>
      <c r="M54" s="173">
        <v>0</v>
      </c>
      <c r="N54" s="173">
        <f>G49</f>
        <v>244.32</v>
      </c>
      <c r="O54" s="173" t="s">
        <v>10</v>
      </c>
      <c r="P54" s="173">
        <v>0</v>
      </c>
      <c r="Q54" s="173">
        <f>H49</f>
        <v>215</v>
      </c>
      <c r="R54" s="173" t="s">
        <v>10</v>
      </c>
      <c r="S54" s="173">
        <v>0</v>
      </c>
      <c r="T54" s="173">
        <f>I49</f>
        <v>254.03</v>
      </c>
      <c r="U54" s="173" t="s">
        <v>10</v>
      </c>
      <c r="V54" s="173">
        <v>0</v>
      </c>
      <c r="W54" s="173">
        <f>J49</f>
        <v>234.19</v>
      </c>
      <c r="AB54" s="176"/>
      <c r="AD54" s="4">
        <f>0*(AE51-0.9)*(AE51-0.8)/((1-0.9)*(1-0.8))+7.7*(AE51-1)*(AE51-0.8)/((0.9-1)*(0.9-0.8))+16.19*(AE51-1)*(AE51-0.9)/((0.8-1)*(0.8-0.9))+AE46</f>
        <v>258.43625000000003</v>
      </c>
      <c r="AG54" s="1"/>
      <c r="AI54" s="15">
        <v>2.5</v>
      </c>
      <c r="AJ54" s="7" t="s">
        <v>6</v>
      </c>
      <c r="AK54" s="7" t="s">
        <v>7</v>
      </c>
      <c r="AL54" s="7" t="s">
        <v>8</v>
      </c>
      <c r="AM54" s="7" t="s">
        <v>9</v>
      </c>
      <c r="AN54" s="13"/>
      <c r="AO54" s="174" t="s">
        <v>27</v>
      </c>
      <c r="AP54" s="174">
        <v>0</v>
      </c>
      <c r="AQ54" s="174">
        <f>AJ49</f>
        <v>244.27</v>
      </c>
      <c r="AR54" s="174" t="s">
        <v>27</v>
      </c>
      <c r="AS54" s="174">
        <v>0</v>
      </c>
      <c r="AT54" s="174">
        <f>AK49</f>
        <v>215</v>
      </c>
      <c r="AU54" s="174" t="s">
        <v>27</v>
      </c>
      <c r="AV54" s="174">
        <v>0</v>
      </c>
      <c r="AW54" s="174">
        <f>AL49</f>
        <v>254.03</v>
      </c>
      <c r="AX54" s="174" t="s">
        <v>27</v>
      </c>
      <c r="AY54" s="174">
        <v>0</v>
      </c>
      <c r="AZ54" s="174">
        <f>AM49</f>
        <v>234.19</v>
      </c>
    </row>
    <row r="55" spans="1:56">
      <c r="F55" s="173">
        <v>100</v>
      </c>
      <c r="G55" s="180">
        <v>254.01</v>
      </c>
      <c r="H55" s="173">
        <v>-251.66666666666669</v>
      </c>
      <c r="I55" s="173">
        <v>264.79000000000002</v>
      </c>
      <c r="J55" s="175">
        <f>$K$54+K55</f>
        <v>242.5</v>
      </c>
      <c r="K55" s="193">
        <v>242.5</v>
      </c>
      <c r="L55" s="173" t="s">
        <v>10</v>
      </c>
      <c r="M55" s="173">
        <v>-2.5</v>
      </c>
      <c r="N55" s="173">
        <f>G56</f>
        <v>246.13</v>
      </c>
      <c r="O55" s="173" t="s">
        <v>10</v>
      </c>
      <c r="P55" s="173">
        <v>-2.5</v>
      </c>
      <c r="Q55" s="173">
        <f>H56</f>
        <v>136.66666666666669</v>
      </c>
      <c r="R55" s="173" t="s">
        <v>10</v>
      </c>
      <c r="S55" s="173">
        <v>-2.5</v>
      </c>
      <c r="T55" s="173">
        <f>I56</f>
        <v>255.96</v>
      </c>
      <c r="U55" s="173" t="s">
        <v>10</v>
      </c>
      <c r="V55" s="173">
        <v>-2.5</v>
      </c>
      <c r="W55" s="173">
        <f>J56</f>
        <v>235.69</v>
      </c>
      <c r="AB55" s="176"/>
      <c r="AG55" s="1"/>
      <c r="AI55" s="174">
        <v>100</v>
      </c>
      <c r="AJ55" s="175">
        <v>250.67</v>
      </c>
      <c r="AK55" s="175">
        <v>-88.333333333333343</v>
      </c>
      <c r="AL55" s="175">
        <v>260.94</v>
      </c>
      <c r="AM55" s="175">
        <v>239.84</v>
      </c>
      <c r="AN55" s="13"/>
      <c r="AO55" s="174" t="s">
        <v>27</v>
      </c>
      <c r="AP55" s="174">
        <v>2.5</v>
      </c>
      <c r="AQ55" s="174">
        <f>AJ56</f>
        <v>242.35</v>
      </c>
      <c r="AR55" s="174" t="s">
        <v>27</v>
      </c>
      <c r="AS55" s="174">
        <v>2.5</v>
      </c>
      <c r="AT55" s="174">
        <f>AK56</f>
        <v>295</v>
      </c>
      <c r="AU55" s="174" t="s">
        <v>27</v>
      </c>
      <c r="AV55" s="174">
        <v>2.5</v>
      </c>
      <c r="AW55" s="174">
        <f>AL56</f>
        <v>251.64</v>
      </c>
      <c r="AX55" s="174" t="s">
        <v>27</v>
      </c>
      <c r="AY55" s="174">
        <v>2.5</v>
      </c>
      <c r="AZ55" s="174">
        <f>AM56</f>
        <v>232.58</v>
      </c>
    </row>
    <row r="56" spans="1:56">
      <c r="A56" s="173" t="s">
        <v>23</v>
      </c>
      <c r="B56" s="173">
        <f>Plan1!B17</f>
        <v>86</v>
      </c>
      <c r="D56" s="165">
        <f>(($B$16*D51)+D52+(D51*$B$14))/($D$2*(44/17.5))</f>
        <v>-1.0426807289222044</v>
      </c>
      <c r="F56" s="173">
        <v>97.5</v>
      </c>
      <c r="G56" s="180">
        <v>246.13</v>
      </c>
      <c r="H56" s="173">
        <v>136.66666666666669</v>
      </c>
      <c r="I56" s="173">
        <v>255.96</v>
      </c>
      <c r="J56" s="193">
        <f t="shared" ref="J56:J59" si="14">$K$54+K56</f>
        <v>235.69</v>
      </c>
      <c r="K56" s="193">
        <v>235.69</v>
      </c>
      <c r="L56" s="173" t="s">
        <v>10</v>
      </c>
      <c r="M56" s="173">
        <v>-5</v>
      </c>
      <c r="N56" s="173">
        <f>G63</f>
        <v>247.83</v>
      </c>
      <c r="O56" s="173" t="s">
        <v>10</v>
      </c>
      <c r="P56" s="173">
        <v>-5</v>
      </c>
      <c r="Q56" s="173">
        <f>H63</f>
        <v>61.666666666666671</v>
      </c>
      <c r="R56" s="173" t="s">
        <v>10</v>
      </c>
      <c r="S56" s="173">
        <v>-5</v>
      </c>
      <c r="T56" s="173">
        <f>I63</f>
        <v>257.93</v>
      </c>
      <c r="U56" s="173" t="s">
        <v>10</v>
      </c>
      <c r="V56" s="173">
        <v>-5</v>
      </c>
      <c r="W56" s="173">
        <f>J63</f>
        <v>237.39000000000001</v>
      </c>
      <c r="AB56" s="176"/>
      <c r="AD56" s="174" t="s">
        <v>23</v>
      </c>
      <c r="AE56" s="174">
        <f>Plan1!AE61</f>
        <v>0</v>
      </c>
      <c r="AG56" s="165">
        <f>(($B$16*AG51)+AG52+(AG51*$B$14))/($D$2*(44/17.5))</f>
        <v>-0.64918038675002954</v>
      </c>
      <c r="AI56" s="174">
        <v>97.5</v>
      </c>
      <c r="AJ56" s="175">
        <v>242.35</v>
      </c>
      <c r="AK56" s="175">
        <v>295</v>
      </c>
      <c r="AL56" s="175">
        <v>251.64</v>
      </c>
      <c r="AM56" s="175">
        <v>232.58</v>
      </c>
      <c r="AN56" s="13"/>
      <c r="AO56" s="174" t="s">
        <v>27</v>
      </c>
      <c r="AP56" s="174">
        <v>5</v>
      </c>
      <c r="AQ56" s="174">
        <f>AJ63</f>
        <v>240.29</v>
      </c>
      <c r="AR56" s="174" t="s">
        <v>27</v>
      </c>
      <c r="AS56" s="174">
        <v>5</v>
      </c>
      <c r="AT56" s="174">
        <f>AK63</f>
        <v>375</v>
      </c>
      <c r="AU56" s="174" t="s">
        <v>27</v>
      </c>
      <c r="AV56" s="174">
        <v>5</v>
      </c>
      <c r="AW56" s="174">
        <f>AL63</f>
        <v>249.27</v>
      </c>
      <c r="AX56" s="174" t="s">
        <v>27</v>
      </c>
      <c r="AY56" s="174">
        <v>5</v>
      </c>
      <c r="AZ56" s="174">
        <f>AM63</f>
        <v>230.85</v>
      </c>
    </row>
    <row r="57" spans="1:56">
      <c r="A57" s="173" t="s">
        <v>24</v>
      </c>
      <c r="B57" s="173">
        <f>Plan1!B18</f>
        <v>49.06</v>
      </c>
      <c r="F57" s="173">
        <v>95</v>
      </c>
      <c r="G57" s="180">
        <v>238.14</v>
      </c>
      <c r="H57" s="173">
        <v>470</v>
      </c>
      <c r="I57" s="173">
        <v>247.1</v>
      </c>
      <c r="J57" s="193">
        <f t="shared" si="14"/>
        <v>228.65</v>
      </c>
      <c r="K57" s="193">
        <v>228.65</v>
      </c>
      <c r="L57" s="173" t="s">
        <v>10</v>
      </c>
      <c r="M57" s="173">
        <v>-7.5</v>
      </c>
      <c r="N57" s="173">
        <f>G70</f>
        <v>249.43</v>
      </c>
      <c r="O57" s="173" t="s">
        <v>10</v>
      </c>
      <c r="P57" s="173">
        <v>-7.5</v>
      </c>
      <c r="Q57" s="173">
        <f>H70</f>
        <v>-13.333333333333334</v>
      </c>
      <c r="R57" s="173" t="s">
        <v>10</v>
      </c>
      <c r="S57" s="173">
        <v>-7.5</v>
      </c>
      <c r="T57" s="173">
        <f>I70</f>
        <v>259.8</v>
      </c>
      <c r="U57" s="173" t="s">
        <v>10</v>
      </c>
      <c r="V57" s="173">
        <v>-7.5</v>
      </c>
      <c r="W57" s="173">
        <f>J70</f>
        <v>238.71</v>
      </c>
      <c r="AB57" s="176"/>
      <c r="AD57" s="174" t="s">
        <v>24</v>
      </c>
      <c r="AE57" s="174">
        <f>Plan1!AE62</f>
        <v>0</v>
      </c>
      <c r="AG57" s="1"/>
      <c r="AI57" s="174">
        <v>95</v>
      </c>
      <c r="AJ57" s="175">
        <v>233.88</v>
      </c>
      <c r="AK57" s="175">
        <v>620</v>
      </c>
      <c r="AL57" s="175">
        <v>242.3</v>
      </c>
      <c r="AM57" s="175">
        <v>225.07</v>
      </c>
      <c r="AN57" s="13">
        <v>97.5</v>
      </c>
      <c r="AO57" s="174" t="s">
        <v>27</v>
      </c>
      <c r="AP57" s="174">
        <v>7.5</v>
      </c>
      <c r="AQ57" s="174">
        <f>AJ70</f>
        <v>238.07</v>
      </c>
      <c r="AR57" s="174" t="s">
        <v>27</v>
      </c>
      <c r="AS57" s="174">
        <v>7.5</v>
      </c>
      <c r="AT57" s="174">
        <f>AK70</f>
        <v>458.33333333333337</v>
      </c>
      <c r="AU57" s="174" t="s">
        <v>27</v>
      </c>
      <c r="AV57" s="174">
        <v>7.5</v>
      </c>
      <c r="AW57" s="174">
        <f>AL70</f>
        <v>246.73</v>
      </c>
      <c r="AX57" s="174" t="s">
        <v>27</v>
      </c>
      <c r="AY57" s="174">
        <v>7.5</v>
      </c>
      <c r="AZ57" s="174">
        <f>AM70</f>
        <v>228.97</v>
      </c>
    </row>
    <row r="58" spans="1:56">
      <c r="A58" s="173" t="s">
        <v>25</v>
      </c>
      <c r="B58" s="173">
        <f>COS(RADIANS(B57))</f>
        <v>0.65526833938609963</v>
      </c>
      <c r="D58" s="166">
        <f>SIN(RADIANS(B49+D56*0.707))*B48</f>
        <v>0.96159857262413007</v>
      </c>
      <c r="F58" s="173">
        <v>92.5</v>
      </c>
      <c r="G58" s="180">
        <v>230.1</v>
      </c>
      <c r="H58" s="173">
        <v>755</v>
      </c>
      <c r="I58" s="173">
        <v>238.29</v>
      </c>
      <c r="J58" s="193">
        <f t="shared" si="14"/>
        <v>221.46</v>
      </c>
      <c r="K58" s="193">
        <v>221.46</v>
      </c>
      <c r="L58" s="173" t="s">
        <v>10</v>
      </c>
      <c r="M58" s="173">
        <v>-10</v>
      </c>
      <c r="N58" s="173">
        <f>G77</f>
        <v>250.95</v>
      </c>
      <c r="O58" s="173" t="s">
        <v>10</v>
      </c>
      <c r="P58" s="173">
        <v>-10</v>
      </c>
      <c r="Q58" s="173">
        <f>H77</f>
        <v>-86.666666666666671</v>
      </c>
      <c r="R58" s="173" t="s">
        <v>10</v>
      </c>
      <c r="S58" s="173">
        <v>-10</v>
      </c>
      <c r="T58" s="173">
        <f>I77</f>
        <v>261.58999999999997</v>
      </c>
      <c r="U58" s="173" t="s">
        <v>10</v>
      </c>
      <c r="V58" s="173">
        <v>-10</v>
      </c>
      <c r="W58" s="173">
        <f>J77</f>
        <v>239.95000000000002</v>
      </c>
      <c r="AB58" s="176"/>
      <c r="AD58" s="174" t="s">
        <v>25</v>
      </c>
      <c r="AE58" s="174">
        <f>COS(RADIANS(AE57))</f>
        <v>1</v>
      </c>
      <c r="AG58" s="166">
        <f>SIN(RADIANS(AE49+AG56*0.707))*AE48</f>
        <v>0.96025457825825111</v>
      </c>
      <c r="AI58" s="174">
        <v>92.5</v>
      </c>
      <c r="AJ58" s="175">
        <v>225.33</v>
      </c>
      <c r="AK58" s="175">
        <v>895</v>
      </c>
      <c r="AL58" s="175">
        <v>232.96</v>
      </c>
      <c r="AM58" s="175">
        <v>217.38</v>
      </c>
      <c r="AN58" s="1"/>
      <c r="AO58" s="174" t="s">
        <v>27</v>
      </c>
      <c r="AP58" s="174">
        <v>10</v>
      </c>
      <c r="AQ58" s="174">
        <f>AJ77</f>
        <v>235.66</v>
      </c>
      <c r="AR58" s="174" t="s">
        <v>27</v>
      </c>
      <c r="AS58" s="174">
        <v>10</v>
      </c>
      <c r="AT58" s="174">
        <f>AK77</f>
        <v>546.66666666666674</v>
      </c>
      <c r="AU58" s="174" t="s">
        <v>27</v>
      </c>
      <c r="AV58" s="174">
        <v>10</v>
      </c>
      <c r="AW58" s="174">
        <f>AL77</f>
        <v>243.99</v>
      </c>
      <c r="AX58" s="174" t="s">
        <v>27</v>
      </c>
      <c r="AY58" s="174">
        <v>10</v>
      </c>
      <c r="AZ58" s="174">
        <f>AM77</f>
        <v>226.92</v>
      </c>
    </row>
    <row r="59" spans="1:56">
      <c r="A59" s="173" t="s">
        <v>26</v>
      </c>
      <c r="B59" s="173">
        <f>B50</f>
        <v>-1.6574434466824872</v>
      </c>
      <c r="D59" s="166">
        <f>COS(RADIANS(B49+D56*0.5))*B48</f>
        <v>-0.2780802206175329</v>
      </c>
      <c r="F59" s="173">
        <v>90</v>
      </c>
      <c r="G59" s="180">
        <v>222.07</v>
      </c>
      <c r="H59" s="173">
        <v>990</v>
      </c>
      <c r="I59" s="173">
        <v>229.56</v>
      </c>
      <c r="J59" s="193">
        <f t="shared" si="14"/>
        <v>214.19</v>
      </c>
      <c r="K59" s="193">
        <v>214.19</v>
      </c>
      <c r="L59" s="173" t="s">
        <v>11</v>
      </c>
      <c r="M59" s="9">
        <f>$B$2</f>
        <v>6.0220000000000002</v>
      </c>
      <c r="N59" s="178">
        <f>N54*(M59-M56)*(M59-M58)*(M59-M55)*(M59-M57)/((M54-M56)*(M54-M58)*(M54-M55)*(M54-M57))+N56*(M59-M54)*(M59-M58)*(M59-M55)*(M59-M57)/((M56-M54)*(M56-M58)*(M56-M55)*(M56-M57))+N58*(M59-M54)*(M59-M56)*(M59-M55)*(M59-M57)/((M58-M54)*(M58-M56)*(M58-M55)*(M58-M57))+N55*(M59-M56)*(M59-M58)*(M59-M54)*(M59-M57)/((M55-M56)*(M55-M58)*(M55-M54)*(M55-M57))+N57*(M59-M56)*(M59-M58)*(M59-M54)*(M59-M55)/((M57-M56)*(M57-M58)*(M57-M54)*(M57-M55))</f>
        <v>239.52971063026598</v>
      </c>
      <c r="O59" s="173" t="s">
        <v>11</v>
      </c>
      <c r="P59" s="9">
        <f>$B$2</f>
        <v>6.0220000000000002</v>
      </c>
      <c r="Q59" s="178">
        <f>Q54*(P59-P56)*(P59-P58)*(P59-P55)*(P59-P57)/((P54-P56)*(P54-P58)*(P54-P55)*(P54-P57))+Q56*(P59-P54)*(P59-P58)*(P59-P55)*(P59-P57)/((P56-P54)*(P56-P58)*(P56-P55)*(P56-P57))+Q58*(P59-P54)*(P59-P56)*(P59-P55)*(P59-P57)/((P58-P54)*(P58-P56)*(P58-P55)*(P58-P57))+Q55*(P59-P56)*(P59-P58)*(P59-P54)*(P59-P57)/((P55-P56)*(P55-P58)*(P55-P54)*(P55-P57))+Q57*(P59-P56)*(P59-P58)*(P59-P54)*(P59-P55)/((P57-P56)*(P57-P58)*(P57-P54)*(P57-P55))</f>
        <v>478.27898292707459</v>
      </c>
      <c r="R59" s="173" t="s">
        <v>11</v>
      </c>
      <c r="S59" s="9">
        <f>$B$2</f>
        <v>6.0220000000000002</v>
      </c>
      <c r="T59" s="178">
        <f>T54*(S59-S56)*(S59-S58)*(S59-S55)*(S59-S57)/((S54-S56)*(S54-S58)*(S54-S55)*(S54-S57))+T56*(S59-S54)*(S59-S58)*(S59-S55)*(S59-S57)/((S56-S54)*(S56-S58)*(S56-S55)*(S56-S57))+T58*(S59-S54)*(S59-S56)*(S59-S55)*(S59-S57)/((S58-S54)*(S58-S56)*(S58-S55)*(S58-S57))+T55*(S59-S56)*(S59-S58)*(S59-S54)*(S59-S57)/((S55-S56)*(S55-S58)*(S55-S54)*(S55-S57))+T57*(S59-S56)*(S59-S58)*(S59-S54)*(S59-S55)/((S57-S56)*(S57-S58)*(S57-S54)*(S57-S55))</f>
        <v>251.69529850883009</v>
      </c>
      <c r="U59" s="173" t="s">
        <v>11</v>
      </c>
      <c r="V59" s="9">
        <f>$B$2</f>
        <v>6.0220000000000002</v>
      </c>
      <c r="W59" s="178">
        <f>W54*(V59-V56)*(V59-V58)*(V59-V55)*(V59-V57)/((V54-V56)*(V54-V58)*(V54-V55)*(V54-V57))+W56*(V59-V54)*(V59-V58)*(V59-V55)*(V59-V57)/((V56-V54)*(V56-V58)*(V56-V55)*(V56-V57))+W58*(V59-V54)*(V59-V56)*(V59-V55)*(V59-V57)/((V58-V54)*(V58-V56)*(V58-V55)*(V58-V57))+W55*(V59-V56)*(V59-V58)*(V59-V54)*(V59-V57)/((V55-V56)*(V55-V58)*(V55-V54)*(V55-V57))+W57*(V59-V56)*(V59-V58)*(V59-V54)*(V59-V55)/((V57-V56)*(V57-V58)*(V57-V54)*(V57-V55))</f>
        <v>242.07687209613323</v>
      </c>
      <c r="Z59" s="163">
        <v>100</v>
      </c>
      <c r="AA59" s="164">
        <f>H83</f>
        <v>-272.41407321151473</v>
      </c>
      <c r="AB59" s="176"/>
      <c r="AD59" s="174" t="s">
        <v>26</v>
      </c>
      <c r="AE59" s="174">
        <f>AE50</f>
        <v>-1.6100879196344162</v>
      </c>
      <c r="AG59" s="166">
        <f>COS(RADIANS(AE49+AG56*0.5))*AE48</f>
        <v>-0.28137707097897818</v>
      </c>
      <c r="AI59" s="174">
        <v>90</v>
      </c>
      <c r="AJ59" s="175">
        <v>216.77</v>
      </c>
      <c r="AK59" s="175">
        <v>1120</v>
      </c>
      <c r="AL59" s="175">
        <v>223.68</v>
      </c>
      <c r="AM59" s="175">
        <v>209.57</v>
      </c>
      <c r="AN59" s="1"/>
      <c r="AO59" s="174" t="s">
        <v>28</v>
      </c>
      <c r="AP59" s="9">
        <f>$B$2</f>
        <v>6.0220000000000002</v>
      </c>
      <c r="AQ59" s="178">
        <f>AQ54*(AP59-AP56)*(AP59-AP58)*(AP59-AP55)*(AP59-AP57)/((AP54-AP56)*(AP54-AP58)*(AP54-AP55)*(AP54-AP57))+AQ56*(AP59-AP54)*(AP59-AP58)*(AP59-AP55)*(AP59-AP57)/((AP56-AP54)*(AP56-AP58)*(AP56-AP55)*(AP56-AP57))+AQ58*(AP59-AP54)*(AP59-AP56)*(AP59-AP55)*(AP59-AP57)/((AP58-AP54)*(AP58-AP56)*(AP58-AP55)*(AP58-AP57))+AQ55*(AP59-AP56)*(AP59-AP58)*(AP59-AP54)*(AP59-AP57)/((AP55-AP56)*(AP55-AP58)*(AP55-AP54)*(AP55-AP57))+AQ57*(AP59-AP56)*(AP59-AP58)*(AP59-AP54)*(AP59-AP55)/((AP57-AP56)*(AP57-AP58)*(AP57-AP54)*(AP57-AP55))</f>
        <v>239.40327527692773</v>
      </c>
      <c r="AR59" s="174" t="s">
        <v>28</v>
      </c>
      <c r="AS59" s="9">
        <f>$B$2</f>
        <v>6.0220000000000002</v>
      </c>
      <c r="AT59" s="178">
        <f>AT54*(AS59-AS56)*(AS59-AS58)*(AS59-AS55)*(AS59-AS57)/((AS54-AS56)*(AS54-AS58)*(AS54-AS55)*(AS54-AS57))+AT56*(AS59-AS54)*(AS59-AS58)*(AS59-AS55)*(AS59-AS57)/((AS56-AS54)*(AS56-AS58)*(AS56-AS55)*(AS56-AS57))+AT58*(AS59-AS54)*(AS59-AS56)*(AS59-AS55)*(AS59-AS57)/((AS58-AS54)*(AS58-AS56)*(AS58-AS55)*(AS58-AS57))+AT55*(AS59-AS56)*(AS59-AS58)*(AS59-AS54)*(AS59-AS57)/((AS55-AS56)*(AS55-AS58)*(AS55-AS54)*(AS55-AS57))+AT57*(AS59-AS56)*(AS59-AS58)*(AS59-AS54)*(AS59-AS55)/((AS57-AS56)*(AS57-AS58)*(AS57-AS54)*(AS57-AS55))</f>
        <v>408.53166065403332</v>
      </c>
      <c r="AU59" s="174" t="s">
        <v>28</v>
      </c>
      <c r="AV59" s="9">
        <f>$B$2</f>
        <v>6.0220000000000002</v>
      </c>
      <c r="AW59" s="178">
        <f>AW54*(AV59-AV56)*(AV59-AV58)*(AV59-AV55)*(AV59-AV57)/((AV54-AV56)*(AV54-AV58)*(AV54-AV55)*(AV54-AV57))+AW56*(AV59-AV54)*(AV59-AV58)*(AV59-AV55)*(AV59-AV57)/((AV56-AV54)*(AV56-AV58)*(AV56-AV55)*(AV56-AV57))+AW58*(AV59-AV54)*(AV59-AV56)*(AV59-AV55)*(AV59-AV57)/((AV58-AV54)*(AV58-AV56)*(AV58-AV55)*(AV58-AV57))+AW55*(AV59-AV56)*(AV59-AV58)*(AV59-AV54)*(AV59-AV57)/((AV55-AV56)*(AV55-AV58)*(AV55-AV54)*(AV55-AV57))+AW57*(AV59-AV56)*(AV59-AV58)*(AV59-AV54)*(AV59-AV55)/((AV57-AV56)*(AV57-AV58)*(AV57-AV54)*(AV57-AV55))</f>
        <v>248.25750526675137</v>
      </c>
      <c r="AX59" s="174" t="s">
        <v>28</v>
      </c>
      <c r="AY59" s="9">
        <f>$B$2</f>
        <v>6.0220000000000002</v>
      </c>
      <c r="AZ59" s="178">
        <f>AZ54*(AY59-AY56)*(AY59-AY58)*(AY59-AY55)*(AY59-AY57)/((AY54-AY56)*(AY54-AY58)*(AY54-AY55)*(AY54-AY57))+AZ56*(AY59-AY54)*(AY59-AY58)*(AY59-AY55)*(AY59-AY57)/((AY56-AY54)*(AY56-AY58)*(AY56-AY55)*(AY56-AY57))+AZ58*(AY59-AY54)*(AY59-AY56)*(AY59-AY55)*(AY59-AY57)/((AY58-AY54)*(AY58-AY56)*(AY58-AY55)*(AY58-AY57))+AZ55*(AY59-AY56)*(AY59-AY58)*(AY59-AY54)*(AY59-AY57)/((AY55-AY56)*(AY55-AY58)*(AY55-AY54)*(AY55-AY57))+AZ57*(AY59-AY56)*(AY59-AY58)*(AY59-AY54)*(AY59-AY55)/((AY57-AY56)*(AY57-AY58)*(AY57-AY54)*(AY57-AY55))</f>
        <v>230.10094287312663</v>
      </c>
      <c r="BC59" s="163">
        <v>100</v>
      </c>
      <c r="BD59" s="164">
        <f>AK83</f>
        <v>-175.34197907531987</v>
      </c>
    </row>
    <row r="60" spans="1:56">
      <c r="A60" s="171">
        <f>B61/B48</f>
        <v>0.95798784374570456</v>
      </c>
      <c r="B60" s="167">
        <f>D58/B48</f>
        <v>0.96159857262413007</v>
      </c>
      <c r="K60" s="1"/>
      <c r="N60" s="1" t="s">
        <v>12</v>
      </c>
      <c r="O60" s="1"/>
      <c r="P60" s="1"/>
      <c r="Q60" s="1" t="s">
        <v>13</v>
      </c>
      <c r="R60" s="1"/>
      <c r="S60" s="1"/>
      <c r="T60" s="1" t="s">
        <v>8</v>
      </c>
      <c r="U60" s="1"/>
      <c r="V60" s="1"/>
      <c r="W60" s="1" t="s">
        <v>9</v>
      </c>
      <c r="Z60" s="163">
        <v>97.5</v>
      </c>
      <c r="AA60" s="164">
        <f>H84</f>
        <v>213.76981616488661</v>
      </c>
      <c r="AB60" s="176"/>
      <c r="AD60" s="171">
        <f>AE61/AE48</f>
        <v>0.95798784374570456</v>
      </c>
      <c r="AE60" s="167">
        <f>AG58/AE48</f>
        <v>0.96025457825825111</v>
      </c>
      <c r="AG60" s="1"/>
      <c r="AN60" s="1"/>
      <c r="AQ60" s="1" t="s">
        <v>12</v>
      </c>
      <c r="AR60" s="1"/>
      <c r="AS60" s="1"/>
      <c r="AT60" s="1" t="s">
        <v>13</v>
      </c>
      <c r="AU60" s="1"/>
      <c r="AV60" s="1"/>
      <c r="AW60" s="1" t="s">
        <v>8</v>
      </c>
      <c r="AX60" s="1"/>
      <c r="AY60" s="1"/>
      <c r="AZ60" s="1" t="s">
        <v>9</v>
      </c>
      <c r="BC60" s="163">
        <v>97.5</v>
      </c>
      <c r="BD60" s="164">
        <f>AK84</f>
        <v>223.24806503710667</v>
      </c>
    </row>
    <row r="61" spans="1:56">
      <c r="A61" s="173" t="s">
        <v>32</v>
      </c>
      <c r="B61" s="23">
        <f>B48*SIN(RADIANS(B49))</f>
        <v>0.95798784374570456</v>
      </c>
      <c r="D61" s="168">
        <f>O83*(D47-N84)*(D47-N85)*(D47-N86)*(D47-N87)/((N83-N84)*(N83-N85)*(N83-N86)*(N83-N87))+O84*(D47-N83)*(D47-N85)*(D47-N86)*(D47-N87)/((N84-N83)*(N84-N85)*(N84-N86)*(N84-N87))+O85*(D47-N84)*(D47-N83)*(D47-N86)*(D47-N87)/((N85-N84)*(N85-N83)*(N85-N86)*(N85-N87))+O86*(D47-N84)*(D47-N85)*(D47-N83)*(D47-N87)/((N86-N84)*(N86-N85)*(N86-N83)*(N86-N87))+O87*(D47-N84)*(D47-N85)*(D47-N86)*(D47-N83)/((N87-N84)*(N87-N85)*(N87-N86)*(N87-N86))</f>
        <v>230.64150324070823</v>
      </c>
      <c r="E61" t="s">
        <v>216</v>
      </c>
      <c r="F61" s="15">
        <v>-5</v>
      </c>
      <c r="G61" s="7" t="s">
        <v>6</v>
      </c>
      <c r="H61" s="7" t="s">
        <v>7</v>
      </c>
      <c r="I61" s="7" t="s">
        <v>8</v>
      </c>
      <c r="J61" s="7" t="s">
        <v>9</v>
      </c>
      <c r="K61" s="181">
        <v>0.3</v>
      </c>
      <c r="L61" s="173" t="s">
        <v>10</v>
      </c>
      <c r="M61" s="173">
        <v>0</v>
      </c>
      <c r="N61" s="173">
        <f>G50</f>
        <v>236.11</v>
      </c>
      <c r="O61" s="173" t="s">
        <v>10</v>
      </c>
      <c r="P61" s="173">
        <v>0</v>
      </c>
      <c r="Q61" s="173">
        <f>H50</f>
        <v>543.33333333333337</v>
      </c>
      <c r="R61" s="173" t="s">
        <v>10</v>
      </c>
      <c r="S61" s="173">
        <v>0</v>
      </c>
      <c r="T61" s="173">
        <f>I50</f>
        <v>244.78</v>
      </c>
      <c r="U61" s="173" t="s">
        <v>10</v>
      </c>
      <c r="V61" s="173">
        <v>0</v>
      </c>
      <c r="W61" s="173">
        <f>J50</f>
        <v>226.93</v>
      </c>
      <c r="Z61" s="163">
        <v>95</v>
      </c>
      <c r="AA61" s="164">
        <f>H85</f>
        <v>634.65895741120585</v>
      </c>
      <c r="AB61" s="176"/>
      <c r="AD61" s="174" t="s">
        <v>32</v>
      </c>
      <c r="AE61" s="23">
        <f>AE48*SIN(RADIANS(AE49))</f>
        <v>0.95798784374570456</v>
      </c>
      <c r="AG61" s="168">
        <f>AR83*(AG47-AQ84)*(AG47-AQ85)*(AG47-AQ86)*(AG47-AQ87)/((AQ83-AQ84)*(AQ83-AQ85)*(AQ83-AQ86)*(AQ83-AQ87))+AR84*(AG47-AQ83)*(AG47-AQ85)*(AG47-AQ86)*(AG47-AQ87)/((AQ84-AQ83)*(AQ84-AQ85)*(AQ84-AQ86)*(AQ84-AQ87))+AR85*(AG47-AQ84)*(AG47-AQ83)*(AG47-AQ86)*(AG47-AQ87)/((AQ85-AQ84)*(AQ85-AQ83)*(AQ85-AQ86)*(AQ85-AQ87))+AR86*(AG47-AQ84)*(AG47-AQ85)*(AG47-AQ83)*(AG47-AQ87)/((AQ86-AQ84)*(AQ86-AQ85)*(AQ86-AQ83)*(AQ86-AQ87))+AR87*(AG47-AQ84)*(AG47-AQ85)*(AG47-AQ86)*(AG47-AQ83)/((AQ87-AQ84)*(AQ87-AQ85)*(AQ87-AQ86)*(AQ87-AQ86))</f>
        <v>230.29985909250223</v>
      </c>
      <c r="AI61" s="15">
        <v>5</v>
      </c>
      <c r="AJ61" s="7" t="s">
        <v>6</v>
      </c>
      <c r="AK61" s="7" t="s">
        <v>7</v>
      </c>
      <c r="AL61" s="7" t="s">
        <v>8</v>
      </c>
      <c r="AM61" s="7" t="s">
        <v>9</v>
      </c>
      <c r="AN61" s="1"/>
      <c r="AO61" s="174" t="s">
        <v>27</v>
      </c>
      <c r="AP61" s="174">
        <v>0</v>
      </c>
      <c r="AQ61" s="174">
        <f>AJ50</f>
        <v>236.06</v>
      </c>
      <c r="AR61" s="174" t="s">
        <v>27</v>
      </c>
      <c r="AS61" s="174">
        <v>0</v>
      </c>
      <c r="AT61" s="174">
        <f>AK50</f>
        <v>543.33333333333337</v>
      </c>
      <c r="AU61" s="174" t="s">
        <v>27</v>
      </c>
      <c r="AV61" s="174">
        <v>0</v>
      </c>
      <c r="AW61" s="174">
        <f>AL50</f>
        <v>244.78</v>
      </c>
      <c r="AX61" s="174" t="s">
        <v>27</v>
      </c>
      <c r="AY61" s="174">
        <v>0</v>
      </c>
      <c r="AZ61" s="174">
        <f>AM50</f>
        <v>226.93</v>
      </c>
      <c r="BC61" s="163">
        <v>95</v>
      </c>
      <c r="BD61" s="164">
        <f>AK85</f>
        <v>562.51738333134335</v>
      </c>
    </row>
    <row r="62" spans="1:56">
      <c r="A62" s="173" t="s">
        <v>33</v>
      </c>
      <c r="B62" s="23">
        <f>B48*COS(RADIANS(B49))</f>
        <v>-0.28680880606329973</v>
      </c>
      <c r="D62" s="1">
        <f>P83*(D47-N84)*(D47-N85)*(D47-N86)*(D47-N87)/((N83-N84)*(N83-N85)*(N83-N86)*(N83-N87))+P84*(D47-N83)*(D47-N85)*(D47-N86)*(D47-N87)/((N84-N83)*(N84-N85)*(N84-N86)*(N84-N87))+P85*(D47-N84)*(D47-N83)*(D47-N86)*(D47-N87)/((N85-N84)*(N85-N83)*(N85-N86)*(N85-N87))+P86*(D47-N84)*(D47-N85)*(D47-N83)*(D47-N87)/((N86-N84)*(N86-N85)*(N86-N83)*(N86-N87))+P87*(D47-N84)*(D47-N85)*(D47-N86)*(D47-N83)/((N87-N84)*(N87-N85)*(N87-N86)*(N87-N86))</f>
        <v>230.96550542338309</v>
      </c>
      <c r="E62" s="185">
        <v>255.56</v>
      </c>
      <c r="F62" s="173">
        <v>100</v>
      </c>
      <c r="G62" s="180">
        <v>255.51</v>
      </c>
      <c r="H62" s="173">
        <v>-331.66666666666669</v>
      </c>
      <c r="I62" s="173">
        <v>266.57</v>
      </c>
      <c r="J62" s="180">
        <f>$K$61+K62</f>
        <v>244.01000000000002</v>
      </c>
      <c r="K62" s="180">
        <v>243.71</v>
      </c>
      <c r="L62" s="173" t="s">
        <v>10</v>
      </c>
      <c r="M62" s="173">
        <v>-2.5</v>
      </c>
      <c r="N62" s="173">
        <f>G57</f>
        <v>238.14</v>
      </c>
      <c r="O62" s="173" t="s">
        <v>10</v>
      </c>
      <c r="P62" s="173">
        <v>-2.5</v>
      </c>
      <c r="Q62" s="173">
        <f>H57</f>
        <v>470</v>
      </c>
      <c r="R62" s="173" t="s">
        <v>10</v>
      </c>
      <c r="S62" s="173">
        <v>-2.5</v>
      </c>
      <c r="T62" s="173">
        <f>I57</f>
        <v>247.1</v>
      </c>
      <c r="U62" s="173" t="s">
        <v>10</v>
      </c>
      <c r="V62" s="173">
        <v>-2.5</v>
      </c>
      <c r="W62" s="173">
        <f>J57</f>
        <v>228.65</v>
      </c>
      <c r="Z62" s="163">
        <v>92.5</v>
      </c>
      <c r="AA62" s="164">
        <f>H86</f>
        <v>796.35750859959353</v>
      </c>
      <c r="AB62" s="176"/>
      <c r="AD62" s="174" t="s">
        <v>33</v>
      </c>
      <c r="AE62" s="23">
        <f>AE48*COS(RADIANS(AE49))</f>
        <v>-0.28680880606329973</v>
      </c>
      <c r="AG62" s="1">
        <f>AS83*(AG47-AQ84)*(AG47-AQ85)*(AG47-AQ86)*(AG47-AQ87)/((AQ83-AQ84)*(AQ83-AQ85)*(AQ83-AQ86)*(AQ83-AQ87))+AS84*(AG47-AQ83)*(AG47-AQ85)*(AG47-AQ86)*(AG47-AQ87)/((AQ84-AQ83)*(AQ84-AQ85)*(AQ84-AQ86)*(AQ84-AQ87))+AS85*(AG47-AQ84)*(AG47-AQ83)*(AG47-AQ86)*(AG47-AQ87)/((AQ85-AQ84)*(AQ85-AQ83)*(AQ85-AQ86)*(AQ85-AQ87))+AS86*(AG47-AQ84)*(AG47-AQ85)*(AG47-AQ83)*(AG47-AQ87)/((AQ86-AQ84)*(AQ86-AQ85)*(AQ86-AQ83)*(AQ86-AQ87))+AS87*(AG47-AQ84)*(AG47-AQ85)*(AG47-AQ86)*(AG47-AQ83)/((AQ87-AQ84)*(AQ87-AQ85)*(AQ87-AQ86)*(AQ87-AQ86))</f>
        <v>230.58230890894578</v>
      </c>
      <c r="AI62" s="174">
        <v>100</v>
      </c>
      <c r="AJ62" s="175">
        <v>248.88</v>
      </c>
      <c r="AK62" s="175">
        <v>-5</v>
      </c>
      <c r="AL62" s="175">
        <v>258.83999999999997</v>
      </c>
      <c r="AM62" s="175">
        <v>238.36</v>
      </c>
      <c r="AN62" s="1"/>
      <c r="AO62" s="174" t="s">
        <v>27</v>
      </c>
      <c r="AP62" s="174">
        <v>2.5</v>
      </c>
      <c r="AQ62" s="174">
        <f>AJ57</f>
        <v>233.88</v>
      </c>
      <c r="AR62" s="174" t="s">
        <v>27</v>
      </c>
      <c r="AS62" s="174">
        <v>2.5</v>
      </c>
      <c r="AT62" s="174">
        <f>AK57</f>
        <v>620</v>
      </c>
      <c r="AU62" s="174" t="s">
        <v>27</v>
      </c>
      <c r="AV62" s="174">
        <v>2.5</v>
      </c>
      <c r="AW62" s="174">
        <f>AL57</f>
        <v>242.3</v>
      </c>
      <c r="AX62" s="174" t="s">
        <v>27</v>
      </c>
      <c r="AY62" s="174">
        <v>2.5</v>
      </c>
      <c r="AZ62" s="174">
        <f>AM57</f>
        <v>225.07</v>
      </c>
      <c r="BC62" s="163">
        <v>92.5</v>
      </c>
      <c r="BD62" s="164">
        <f>AK86</f>
        <v>846.72215619766394</v>
      </c>
    </row>
    <row r="63" spans="1:56">
      <c r="E63" s="185">
        <v>247.87</v>
      </c>
      <c r="F63" s="173">
        <v>97.5</v>
      </c>
      <c r="G63" s="180">
        <v>247.83</v>
      </c>
      <c r="H63" s="173">
        <v>61.666666666666671</v>
      </c>
      <c r="I63" s="173">
        <v>257.93</v>
      </c>
      <c r="J63" s="193">
        <f t="shared" ref="J63:J66" si="15">$K$61+K63</f>
        <v>237.39000000000001</v>
      </c>
      <c r="K63" s="180">
        <v>237.09</v>
      </c>
      <c r="L63" s="173" t="s">
        <v>10</v>
      </c>
      <c r="M63" s="173">
        <v>-5</v>
      </c>
      <c r="N63" s="173">
        <f>G64</f>
        <v>240.04</v>
      </c>
      <c r="O63" s="173" t="s">
        <v>10</v>
      </c>
      <c r="P63" s="173">
        <v>-5</v>
      </c>
      <c r="Q63" s="173">
        <f>H64</f>
        <v>400</v>
      </c>
      <c r="R63" s="173" t="s">
        <v>10</v>
      </c>
      <c r="S63" s="173">
        <v>-5</v>
      </c>
      <c r="T63" s="173">
        <f>I64</f>
        <v>249.29</v>
      </c>
      <c r="U63" s="173" t="s">
        <v>10</v>
      </c>
      <c r="V63" s="173">
        <v>-5</v>
      </c>
      <c r="W63" s="173">
        <f>J64</f>
        <v>230.56</v>
      </c>
      <c r="Z63" s="163">
        <v>90</v>
      </c>
      <c r="AA63" s="164">
        <f>H87</f>
        <v>1173.6299356115214</v>
      </c>
      <c r="AB63" s="176"/>
      <c r="AG63" s="1"/>
      <c r="AI63" s="174">
        <v>97.5</v>
      </c>
      <c r="AJ63" s="175">
        <v>240.29</v>
      </c>
      <c r="AK63" s="175">
        <v>375</v>
      </c>
      <c r="AL63" s="175">
        <v>249.27</v>
      </c>
      <c r="AM63" s="175">
        <v>230.85</v>
      </c>
      <c r="AN63" s="13">
        <v>95</v>
      </c>
      <c r="AO63" s="174" t="s">
        <v>27</v>
      </c>
      <c r="AP63" s="174">
        <v>5</v>
      </c>
      <c r="AQ63" s="174">
        <f>AJ64</f>
        <v>231.53</v>
      </c>
      <c r="AR63" s="174" t="s">
        <v>27</v>
      </c>
      <c r="AS63" s="174">
        <v>5</v>
      </c>
      <c r="AT63" s="174">
        <f>AK64</f>
        <v>696.66666666666674</v>
      </c>
      <c r="AU63" s="174" t="s">
        <v>27</v>
      </c>
      <c r="AV63" s="174">
        <v>5</v>
      </c>
      <c r="AW63" s="174">
        <f>AL64</f>
        <v>239.63</v>
      </c>
      <c r="AX63" s="174" t="s">
        <v>27</v>
      </c>
      <c r="AY63" s="174">
        <v>5</v>
      </c>
      <c r="AZ63" s="174">
        <f>AM64</f>
        <v>223.05</v>
      </c>
      <c r="BC63" s="163">
        <v>90</v>
      </c>
      <c r="BD63" s="164">
        <f>AK87</f>
        <v>1080.152011212253</v>
      </c>
    </row>
    <row r="64" spans="1:56">
      <c r="A64" s="173" t="s">
        <v>31</v>
      </c>
      <c r="B64" s="173" t="s">
        <v>35</v>
      </c>
      <c r="E64" s="185">
        <v>240.08</v>
      </c>
      <c r="F64" s="173">
        <v>95</v>
      </c>
      <c r="G64" s="180">
        <v>240.04</v>
      </c>
      <c r="H64" s="173">
        <v>400</v>
      </c>
      <c r="I64" s="173">
        <v>249.29</v>
      </c>
      <c r="J64" s="193">
        <f t="shared" si="15"/>
        <v>230.56</v>
      </c>
      <c r="K64" s="180">
        <v>230.26</v>
      </c>
      <c r="L64" s="173" t="s">
        <v>10</v>
      </c>
      <c r="M64" s="173">
        <v>-7.5</v>
      </c>
      <c r="N64" s="173">
        <f>G71</f>
        <v>241.83</v>
      </c>
      <c r="O64" s="173" t="s">
        <v>10</v>
      </c>
      <c r="P64" s="173">
        <v>-7.5</v>
      </c>
      <c r="Q64" s="173">
        <f>H71</f>
        <v>328.33333333333337</v>
      </c>
      <c r="R64" s="173" t="s">
        <v>10</v>
      </c>
      <c r="S64" s="173">
        <v>-7.5</v>
      </c>
      <c r="T64" s="173">
        <f>I71</f>
        <v>251.35</v>
      </c>
      <c r="U64" s="173" t="s">
        <v>10</v>
      </c>
      <c r="V64" s="173">
        <v>-7.5</v>
      </c>
      <c r="W64" s="173">
        <f>J71</f>
        <v>232.06</v>
      </c>
      <c r="Y64" s="163" t="s">
        <v>194</v>
      </c>
      <c r="Z64" s="164">
        <f>A75</f>
        <v>99.623762498937467</v>
      </c>
      <c r="AA64" s="164">
        <f>AA59*(Z64-Z60)*(Z64-Z61)*(Z64-Z62)*(Z64-Z63)/((Z59-Z60)*(Z59-Z61)*(Z59-Z62)*(Z59-Z63))+AA60*(Z64-Z59)*(Z64-Z61)*(Z64-Z62)*(Z64-Z63)/((Z60-Z59)*(Z60-Z61)*(Z60-Z62)*(Z60-Z63))+AA61*(Z64-Z59)*(Z64-Z60)*(Z64-Z62)*(Z64-Z63)/((Z61-Z59)*(Z61-Z60)*(Z61-Z62)*(Z61-Z63))+AA62*(Z64-Z59)*(Z64-Z60)*(Z64-Z61)*(Z64-Z63)/((Z62-Z59)*(Z62-Z60)*(Z62-Z61)*(Z62-Z63))+AA63*(Z64-Z59)*(Z64-Z60)*(Z64-Z61)*(Z64-Z62)/((Z63-Z59)*(Z63-Z60)*(Z63-Z61)*(Z63-Z62))</f>
        <v>-221.48502739004806</v>
      </c>
      <c r="AB64" s="176"/>
      <c r="AD64" s="174" t="s">
        <v>31</v>
      </c>
      <c r="AE64" s="174" t="s">
        <v>35</v>
      </c>
      <c r="AG64" s="1"/>
      <c r="AI64" s="174">
        <v>95</v>
      </c>
      <c r="AJ64" s="175">
        <v>231.53</v>
      </c>
      <c r="AK64" s="175">
        <v>696.66666666666674</v>
      </c>
      <c r="AL64" s="175">
        <v>239.63</v>
      </c>
      <c r="AM64" s="175">
        <v>223.05</v>
      </c>
      <c r="AN64" s="1"/>
      <c r="AO64" s="174" t="s">
        <v>27</v>
      </c>
      <c r="AP64" s="174">
        <v>7.5</v>
      </c>
      <c r="AQ64" s="174">
        <f>AJ71</f>
        <v>228.98</v>
      </c>
      <c r="AR64" s="174" t="s">
        <v>27</v>
      </c>
      <c r="AS64" s="174">
        <v>7.5</v>
      </c>
      <c r="AT64" s="174">
        <f>AK71</f>
        <v>778.33333333333337</v>
      </c>
      <c r="AU64" s="174" t="s">
        <v>27</v>
      </c>
      <c r="AV64" s="174">
        <v>7.5</v>
      </c>
      <c r="AW64" s="174">
        <f>AL71</f>
        <v>236.75</v>
      </c>
      <c r="AX64" s="174" t="s">
        <v>27</v>
      </c>
      <c r="AY64" s="174">
        <v>7.5</v>
      </c>
      <c r="AZ64" s="174">
        <f>AM71</f>
        <v>220.85</v>
      </c>
      <c r="BB64" s="163" t="s">
        <v>194</v>
      </c>
      <c r="BC64" s="164">
        <f>AD75</f>
        <v>99.645619023957522</v>
      </c>
      <c r="BD64" s="164">
        <f>BD59*(BC64-BC60)*(BC64-BC61)*(BC64-BC62)*(BC64-BC63)/((BC59-BC60)*(BC59-BC61)*(BC59-BC62)*(BC59-BC63))+BD60*(BC64-BC59)*(BC64-BC61)*(BC64-BC62)*(BC64-BC63)/((BC60-BC59)*(BC60-BC61)*(BC60-BC62)*(BC60-BC63))+BD61*(BC64-BC59)*(BC64-BC60)*(BC64-BC62)*(BC64-BC63)/((BC61-BC59)*(BC61-BC60)*(BC61-BC62)*(BC61-BC63))+BD62*(BC64-BC59)*(BC64-BC60)*(BC64-BC61)*(BC64-BC63)/((BC62-BC59)*(BC62-BC60)*(BC62-BC61)*(BC62-BC63))+BD63*(BC64-BC59)*(BC64-BC60)*(BC64-BC61)*(BC64-BC62)/((BC63-BC59)*(BC63-BC60)*(BC63-BC61)*(BC63-BC62))</f>
        <v>-115.07298120368411</v>
      </c>
    </row>
    <row r="65" spans="1:52">
      <c r="A65" s="22" t="e">
        <f>(#REF!*(D47-#REF!)*(D47-#REF!)/((#REF!-#REF!)*(#REF!-#REF!))+#REF!*(D47-#REF!)*(D47-#REF!)/((#REF!-#REF!)*(#REF!-#REF!))+#REF!*(D47-#REF!)*(D47-#REF!)/((#REF!-#REF!)*(#REF!-#REF!)))</f>
        <v>#REF!</v>
      </c>
      <c r="B65" s="23" t="e">
        <f>(B61*A65+(A66*B59))/(D47*(44/17.5))</f>
        <v>#REF!</v>
      </c>
      <c r="D65"/>
      <c r="E65" s="185">
        <v>232.25</v>
      </c>
      <c r="F65" s="173">
        <v>92.5</v>
      </c>
      <c r="G65" s="180">
        <v>232.22</v>
      </c>
      <c r="H65" s="173">
        <v>686.66666666666674</v>
      </c>
      <c r="I65" s="173">
        <v>240.69</v>
      </c>
      <c r="J65" s="193">
        <f t="shared" si="15"/>
        <v>223.58</v>
      </c>
      <c r="K65" s="180">
        <v>223.28</v>
      </c>
      <c r="L65" s="173" t="s">
        <v>10</v>
      </c>
      <c r="M65" s="173">
        <v>-10</v>
      </c>
      <c r="N65" s="173">
        <f>G78</f>
        <v>243.52</v>
      </c>
      <c r="O65" s="173" t="s">
        <v>10</v>
      </c>
      <c r="P65" s="173">
        <v>-10</v>
      </c>
      <c r="Q65" s="173">
        <f>H78</f>
        <v>260</v>
      </c>
      <c r="R65" s="173" t="s">
        <v>10</v>
      </c>
      <c r="S65" s="173">
        <v>-10</v>
      </c>
      <c r="T65" s="173">
        <f>I78</f>
        <v>253.3</v>
      </c>
      <c r="U65" s="173" t="s">
        <v>10</v>
      </c>
      <c r="V65" s="173">
        <v>-10</v>
      </c>
      <c r="W65" s="173">
        <f>J78</f>
        <v>233.47</v>
      </c>
      <c r="AB65" s="176"/>
      <c r="AD65" s="22" t="e">
        <f>(#REF!*(AG47-#REF!)*(AG47-#REF!)/((#REF!-#REF!)*(#REF!-#REF!))+#REF!*(AG47-#REF!)*(AG47-#REF!)/((#REF!-#REF!)*(#REF!-#REF!))+#REF!*(AG47-#REF!)*(AG47-#REF!)/((#REF!-#REF!)*(#REF!-#REF!)))</f>
        <v>#REF!</v>
      </c>
      <c r="AE65" s="23" t="e">
        <f>(AE61*AD65+(AD66*AE59))/(AG47*(44/17.5))</f>
        <v>#REF!</v>
      </c>
      <c r="AI65" s="174">
        <v>92.5</v>
      </c>
      <c r="AJ65" s="175">
        <v>222.67</v>
      </c>
      <c r="AK65" s="175">
        <v>966.66666666666674</v>
      </c>
      <c r="AL65" s="175">
        <v>229.97</v>
      </c>
      <c r="AM65" s="175">
        <v>215.05</v>
      </c>
      <c r="AN65" s="1"/>
      <c r="AO65" s="174" t="s">
        <v>27</v>
      </c>
      <c r="AP65" s="174">
        <v>10</v>
      </c>
      <c r="AQ65" s="174">
        <f>AJ78</f>
        <v>226.19</v>
      </c>
      <c r="AR65" s="174" t="s">
        <v>27</v>
      </c>
      <c r="AS65" s="174">
        <v>10</v>
      </c>
      <c r="AT65" s="174">
        <f>AK78</f>
        <v>860</v>
      </c>
      <c r="AU65" s="174" t="s">
        <v>27</v>
      </c>
      <c r="AV65" s="174">
        <v>10</v>
      </c>
      <c r="AW65" s="174">
        <f>AL78</f>
        <v>233.6</v>
      </c>
      <c r="AX65" s="174" t="s">
        <v>27</v>
      </c>
      <c r="AY65" s="174">
        <v>10</v>
      </c>
      <c r="AZ65" s="174">
        <f>AM78</f>
        <v>218.43</v>
      </c>
    </row>
    <row r="66" spans="1:52">
      <c r="A66" s="22" t="e">
        <f>A65*1</f>
        <v>#REF!</v>
      </c>
      <c r="D66"/>
      <c r="E66" s="185">
        <v>224.44</v>
      </c>
      <c r="F66" s="173">
        <v>90</v>
      </c>
      <c r="G66" s="180">
        <v>224.41</v>
      </c>
      <c r="H66" s="173">
        <v>930</v>
      </c>
      <c r="I66" s="173">
        <v>232.19</v>
      </c>
      <c r="J66" s="193">
        <f t="shared" si="15"/>
        <v>216.53</v>
      </c>
      <c r="K66" s="180">
        <v>216.23</v>
      </c>
      <c r="L66" s="173" t="s">
        <v>11</v>
      </c>
      <c r="M66" s="9">
        <f>$B$2</f>
        <v>6.0220000000000002</v>
      </c>
      <c r="N66" s="178">
        <f>N61*(M66-M63)*(M66-M65)*(M66-M62)*(M66-M64)/((M61-M63)*(M61-M65)*(M61-M62)*(M61-M64))+N63*(M66-M61)*(M66-M65)*(M66-M62)*(M66-M64)/((M63-M61)*(M63-M65)*(M63-M62)*(M63-M64))+N65*(M66-M61)*(M66-M63)*(M66-M62)*(M66-M64)/((M65-M61)*(M65-M63)*(M65-M62)*(M65-M64))+N62*(M66-M63)*(M66-M65)*(M66-M61)*(M66-M64)/((M62-M63)*(M62-M65)*(M62-M61)*(M62-M64))+N64*(M66-M63)*(M66-M65)*(M66-M61)*(M66-M62)/((M64-M63)*(M64-M65)*(M64-M61)*(M64-M62))</f>
        <v>230.48415740407836</v>
      </c>
      <c r="O66" s="173" t="s">
        <v>11</v>
      </c>
      <c r="P66" s="9">
        <f>$B$2</f>
        <v>6.0220000000000002</v>
      </c>
      <c r="Q66" s="178">
        <f>Q61*(P66-P63)*(P66-P65)*(P66-P62)*(P66-P64)/((P61-P63)*(P61-P65)*(P61-P62)*(P61-P64))+Q63*(P66-P61)*(P66-P65)*(P66-P62)*(P66-P64)/((P63-P61)*(P63-P65)*(P63-P62)*(P63-P64))+Q65*(P66-P61)*(P66-P63)*(P66-P62)*(P66-P64)/((P65-P61)*(P65-P63)*(P65-P62)*(P65-P64))+Q62*(P66-P63)*(P66-P65)*(P66-P61)*(P66-P64)/((P62-P63)*(P62-P65)*(P62-P61)*(P62-P64))+Q64*(P66-P63)*(P66-P65)*(P66-P61)*(P66-P62)/((P64-P63)*(P64-P65)*(P64-P61)*(P64-P62))</f>
        <v>845.41688829595842</v>
      </c>
      <c r="R66" s="173" t="s">
        <v>11</v>
      </c>
      <c r="S66" s="9">
        <f>$B$2</f>
        <v>6.0220000000000002</v>
      </c>
      <c r="T66" s="178">
        <f>T61*(S66-S63)*(S66-S65)*(S66-S62)*(S66-S64)/((S61-S63)*(S61-S65)*(S61-S62)*(S61-S64))+T63*(S66-S61)*(S66-S65)*(S66-S62)*(S66-S64)/((S63-S61)*(S63-S65)*(S63-S62)*(S63-S64))+T65*(S66-S61)*(S66-S63)*(S66-S62)*(S66-S64)/((S65-S61)*(S65-S63)*(S65-S62)*(S65-S64))+T62*(S66-S63)*(S66-S65)*(S66-S61)*(S66-S64)/((S62-S63)*(S62-S65)*(S62-S61)*(S62-S64))+T64*(S66-S63)*(S66-S65)*(S66-S61)*(S66-S62)/((S64-S63)*(S64-S65)*(S64-S61)*(S64-S62))</f>
        <v>238.8210321272436</v>
      </c>
      <c r="U66" s="173" t="s">
        <v>11</v>
      </c>
      <c r="V66" s="9">
        <f>$B$2</f>
        <v>6.0220000000000002</v>
      </c>
      <c r="W66" s="178">
        <f>W61*(V66-V63)*(V66-V65)*(V66-V62)*(V66-V64)/((V61-V63)*(V61-V65)*(V61-V62)*(V61-V64))+W63*(V66-V61)*(V66-V65)*(V66-V62)*(V66-V64)/((V63-V61)*(V63-V65)*(V63-V62)*(V63-V64))+W65*(V66-V61)*(V66-V63)*(V66-V62)*(V66-V64)/((V65-V61)*(V65-V63)*(V65-V62)*(V65-V64))+W62*(V66-V63)*(V66-V65)*(V66-V61)*(V66-V64)/((V62-V63)*(V62-V65)*(V62-V61)*(V62-V64))+W64*(V66-V63)*(V66-V65)*(V66-V61)*(V66-V62)/((V64-V63)*(V64-V65)*(V64-V61)*(V64-V62))</f>
        <v>234.69289261251288</v>
      </c>
      <c r="AB66" s="176"/>
      <c r="AD66" s="22" t="e">
        <f>AD65*1</f>
        <v>#REF!</v>
      </c>
      <c r="AI66" s="174">
        <v>90</v>
      </c>
      <c r="AJ66" s="175">
        <v>213.76</v>
      </c>
      <c r="AK66" s="175">
        <v>1186.6666666666667</v>
      </c>
      <c r="AL66" s="175">
        <v>220.34</v>
      </c>
      <c r="AM66" s="175">
        <v>206.92</v>
      </c>
      <c r="AN66" s="1"/>
      <c r="AO66" s="174" t="s">
        <v>28</v>
      </c>
      <c r="AP66" s="9">
        <f>$B$2</f>
        <v>6.0220000000000002</v>
      </c>
      <c r="AQ66" s="178">
        <f>AQ61*(AP66-AP63)*(AP66-AP65)*(AP66-AP62)*(AP66-AP64)/((AP61-AP63)*(AP61-AP65)*(AP61-AP62)*(AP61-AP64))+AQ63*(AP66-AP61)*(AP66-AP65)*(AP66-AP62)*(AP66-AP64)/((AP63-AP61)*(AP63-AP65)*(AP63-AP62)*(AP63-AP64))+AQ65*(AP66-AP61)*(AP66-AP63)*(AP66-AP62)*(AP66-AP64)/((AP65-AP61)*(AP65-AP63)*(AP65-AP62)*(AP65-AP64))+AQ62*(AP66-AP63)*(AP66-AP65)*(AP66-AP61)*(AP66-AP64)/((AP62-AP63)*(AP62-AP65)*(AP62-AP61)*(AP62-AP64))+AQ64*(AP66-AP63)*(AP66-AP65)*(AP66-AP61)*(AP66-AP62)/((AP64-AP63)*(AP64-AP65)*(AP64-AP61)*(AP64-AP62))</f>
        <v>230.5137723987786</v>
      </c>
      <c r="AR66" s="174" t="s">
        <v>28</v>
      </c>
      <c r="AS66" s="9">
        <f>$B$2</f>
        <v>6.0220000000000002</v>
      </c>
      <c r="AT66" s="178">
        <f>AT61*(AS66-AS63)*(AS66-AS65)*(AS66-AS62)*(AS66-AS64)/((AS61-AS63)*(AS61-AS65)*(AS61-AS62)*(AS61-AS64))+AT63*(AS66-AS61)*(AS66-AS65)*(AS66-AS62)*(AS66-AS64)/((AS63-AS61)*(AS63-AS65)*(AS63-AS62)*(AS63-AS64))+AT65*(AS66-AS61)*(AS66-AS63)*(AS66-AS62)*(AS66-AS64)/((AS65-AS61)*(AS65-AS63)*(AS65-AS62)*(AS65-AS64))+AT62*(AS66-AS63)*(AS66-AS65)*(AS66-AS61)*(AS66-AS64)/((AS62-AS63)*(AS62-AS65)*(AS62-AS61)*(AS62-AS64))+AT64*(AS66-AS63)*(AS66-AS65)*(AS66-AS61)*(AS66-AS62)/((AS64-AS63)*(AS64-AS65)*(AS64-AS61)*(AS64-AS62))</f>
        <v>729.50578910052013</v>
      </c>
      <c r="AU66" s="174" t="s">
        <v>28</v>
      </c>
      <c r="AV66" s="9">
        <f>$B$2</f>
        <v>6.0220000000000002</v>
      </c>
      <c r="AW66" s="178">
        <f>AW61*(AV66-AV63)*(AV66-AV65)*(AV66-AV62)*(AV66-AV64)/((AV61-AV63)*(AV61-AV65)*(AV61-AV62)*(AV61-AV64))+AW63*(AV66-AV61)*(AV66-AV65)*(AV66-AV62)*(AV66-AV64)/((AV63-AV61)*(AV63-AV65)*(AV63-AV62)*(AV63-AV64))+AW65*(AV66-AV61)*(AV66-AV63)*(AV66-AV62)*(AV66-AV64)/((AV65-AV61)*(AV65-AV63)*(AV65-AV62)*(AV65-AV64))+AW62*(AV66-AV63)*(AV66-AV65)*(AV66-AV61)*(AV66-AV64)/((AV62-AV63)*(AV62-AV65)*(AV62-AV61)*(AV62-AV64))+AW64*(AV66-AV63)*(AV66-AV65)*(AV66-AV61)*(AV66-AV62)/((AV64-AV63)*(AV64-AV65)*(AV64-AV61)*(AV64-AV62))</f>
        <v>238.48053453340555</v>
      </c>
      <c r="AX66" s="174" t="s">
        <v>28</v>
      </c>
      <c r="AY66" s="9">
        <f>$B$2</f>
        <v>6.0220000000000002</v>
      </c>
      <c r="AZ66" s="178">
        <f>AZ61*(AY66-AY63)*(AY66-AY65)*(AY66-AY62)*(AY66-AY64)/((AY61-AY63)*(AY61-AY65)*(AY61-AY62)*(AY61-AY64))+AZ63*(AY66-AY61)*(AY66-AY65)*(AY66-AY62)*(AY66-AY64)/((AY63-AY61)*(AY63-AY65)*(AY63-AY62)*(AY63-AY64))+AZ65*(AY66-AY61)*(AY66-AY63)*(AY66-AY62)*(AY66-AY64)/((AY65-AY61)*(AY65-AY63)*(AY65-AY62)*(AY65-AY64))+AZ62*(AY66-AY63)*(AY66-AY65)*(AY66-AY61)*(AY66-AY64)/((AY62-AY63)*(AY62-AY65)*(AY62-AY61)*(AY62-AY64))+AZ64*(AY66-AY63)*(AY66-AY65)*(AY66-AY61)*(AY66-AY62)/((AY64-AY63)*(AY64-AY65)*(AY64-AY61)*(AY64-AY62))</f>
        <v>222.17420983335364</v>
      </c>
    </row>
    <row r="67" spans="1:52">
      <c r="D67"/>
      <c r="K67" s="1"/>
      <c r="N67" s="1" t="s">
        <v>12</v>
      </c>
      <c r="O67" s="1"/>
      <c r="P67" s="1"/>
      <c r="Q67" s="1" t="s">
        <v>13</v>
      </c>
      <c r="R67" s="1"/>
      <c r="S67" s="1"/>
      <c r="T67" s="1" t="s">
        <v>8</v>
      </c>
      <c r="U67" s="1"/>
      <c r="V67" s="1"/>
      <c r="W67" s="1" t="s">
        <v>9</v>
      </c>
      <c r="AB67" s="176"/>
      <c r="AN67" s="1"/>
      <c r="AQ67" s="1" t="s">
        <v>12</v>
      </c>
      <c r="AR67" s="1"/>
      <c r="AS67" s="1"/>
      <c r="AT67" s="1" t="s">
        <v>13</v>
      </c>
      <c r="AU67" s="1"/>
      <c r="AV67" s="1"/>
      <c r="AW67" s="1" t="s">
        <v>8</v>
      </c>
      <c r="AX67" s="1"/>
      <c r="AY67" s="1"/>
      <c r="AZ67" s="1" t="s">
        <v>9</v>
      </c>
    </row>
    <row r="68" spans="1:52">
      <c r="A68" s="173" t="s">
        <v>36</v>
      </c>
      <c r="B68" s="23">
        <f>D58</f>
        <v>0.96159857262413007</v>
      </c>
      <c r="D68"/>
      <c r="E68" t="s">
        <v>216</v>
      </c>
      <c r="F68" s="15">
        <v>-7.5</v>
      </c>
      <c r="G68" s="7" t="s">
        <v>6</v>
      </c>
      <c r="H68" s="7" t="s">
        <v>7</v>
      </c>
      <c r="I68" s="7" t="s">
        <v>8</v>
      </c>
      <c r="J68" s="7" t="s">
        <v>9</v>
      </c>
      <c r="K68" s="181">
        <v>0.3</v>
      </c>
      <c r="L68" s="173" t="s">
        <v>10</v>
      </c>
      <c r="M68" s="173">
        <v>0</v>
      </c>
      <c r="N68" s="173">
        <f>G51</f>
        <v>227.83</v>
      </c>
      <c r="O68" s="173" t="s">
        <v>10</v>
      </c>
      <c r="P68" s="173">
        <v>0</v>
      </c>
      <c r="Q68" s="173">
        <f>H51</f>
        <v>823.33333333333337</v>
      </c>
      <c r="R68" s="173" t="s">
        <v>10</v>
      </c>
      <c r="S68" s="173">
        <v>0</v>
      </c>
      <c r="T68" s="173">
        <f>I51</f>
        <v>235.72</v>
      </c>
      <c r="U68" s="173" t="s">
        <v>10</v>
      </c>
      <c r="V68" s="173">
        <v>0</v>
      </c>
      <c r="W68" s="173">
        <f>J51</f>
        <v>219.5</v>
      </c>
      <c r="AB68" s="176"/>
      <c r="AD68" s="174" t="s">
        <v>36</v>
      </c>
      <c r="AE68" s="23">
        <f>AG58</f>
        <v>0.96025457825825111</v>
      </c>
      <c r="AI68" s="15">
        <v>7.5</v>
      </c>
      <c r="AJ68" s="7" t="s">
        <v>6</v>
      </c>
      <c r="AK68" s="7" t="s">
        <v>7</v>
      </c>
      <c r="AL68" s="7" t="s">
        <v>8</v>
      </c>
      <c r="AM68" s="7" t="s">
        <v>9</v>
      </c>
      <c r="AN68" s="1"/>
      <c r="AO68" s="174" t="s">
        <v>27</v>
      </c>
      <c r="AP68" s="174">
        <v>0</v>
      </c>
      <c r="AQ68" s="174">
        <f>AJ51</f>
        <v>227.78</v>
      </c>
      <c r="AR68" s="174" t="s">
        <v>27</v>
      </c>
      <c r="AS68" s="174">
        <v>0</v>
      </c>
      <c r="AT68" s="174">
        <f>AK51</f>
        <v>823.33333333333337</v>
      </c>
      <c r="AU68" s="174" t="s">
        <v>27</v>
      </c>
      <c r="AV68" s="174">
        <v>0</v>
      </c>
      <c r="AW68" s="174">
        <f>AL51</f>
        <v>235.72</v>
      </c>
      <c r="AX68" s="174" t="s">
        <v>27</v>
      </c>
      <c r="AY68" s="174">
        <v>0</v>
      </c>
      <c r="AZ68" s="174">
        <f>AM51</f>
        <v>219.5</v>
      </c>
    </row>
    <row r="69" spans="1:52">
      <c r="A69" s="173" t="s">
        <v>37</v>
      </c>
      <c r="B69" s="23">
        <f>D59</f>
        <v>-0.2780802206175329</v>
      </c>
      <c r="D69"/>
      <c r="E69" s="185">
        <v>256.98</v>
      </c>
      <c r="F69" s="173">
        <v>100</v>
      </c>
      <c r="G69" s="180">
        <v>256.94</v>
      </c>
      <c r="H69" s="173">
        <v>-408.33333333333337</v>
      </c>
      <c r="I69" s="173">
        <v>268.26</v>
      </c>
      <c r="J69" s="180">
        <f>$K$68+K69</f>
        <v>245.15</v>
      </c>
      <c r="K69" s="180">
        <v>244.85</v>
      </c>
      <c r="L69" s="173" t="s">
        <v>10</v>
      </c>
      <c r="M69" s="173">
        <v>-2.5</v>
      </c>
      <c r="N69" s="173">
        <f>G58</f>
        <v>230.1</v>
      </c>
      <c r="O69" s="173" t="s">
        <v>10</v>
      </c>
      <c r="P69" s="173">
        <v>-2.5</v>
      </c>
      <c r="Q69" s="173">
        <f>H58</f>
        <v>755</v>
      </c>
      <c r="R69" s="173" t="s">
        <v>10</v>
      </c>
      <c r="S69" s="173">
        <v>-2.5</v>
      </c>
      <c r="T69" s="173">
        <f>I58</f>
        <v>238.29</v>
      </c>
      <c r="U69" s="173" t="s">
        <v>10</v>
      </c>
      <c r="V69" s="173">
        <v>-2.5</v>
      </c>
      <c r="W69" s="173">
        <f>J58</f>
        <v>221.46</v>
      </c>
      <c r="AB69" s="176"/>
      <c r="AD69" s="174" t="s">
        <v>37</v>
      </c>
      <c r="AE69" s="23">
        <f>AG59</f>
        <v>-0.28137707097897818</v>
      </c>
      <c r="AI69" s="174">
        <v>100</v>
      </c>
      <c r="AJ69" s="175">
        <v>246.96</v>
      </c>
      <c r="AK69" s="175">
        <v>81.666666666666671</v>
      </c>
      <c r="AL69" s="175">
        <v>256.61</v>
      </c>
      <c r="AM69" s="175">
        <v>236.77</v>
      </c>
      <c r="AO69" s="174" t="s">
        <v>27</v>
      </c>
      <c r="AP69" s="174">
        <v>2.5</v>
      </c>
      <c r="AQ69" s="174">
        <f>AJ58</f>
        <v>225.33</v>
      </c>
      <c r="AR69" s="174" t="s">
        <v>27</v>
      </c>
      <c r="AS69" s="174">
        <v>2.5</v>
      </c>
      <c r="AT69" s="174">
        <f>AK58</f>
        <v>895</v>
      </c>
      <c r="AU69" s="174" t="s">
        <v>27</v>
      </c>
      <c r="AV69" s="174">
        <v>2.5</v>
      </c>
      <c r="AW69" s="174">
        <f>AL58</f>
        <v>232.96</v>
      </c>
      <c r="AX69" s="174" t="s">
        <v>27</v>
      </c>
      <c r="AY69" s="174">
        <v>2.5</v>
      </c>
      <c r="AZ69" s="174">
        <f>AM58</f>
        <v>217.38</v>
      </c>
    </row>
    <row r="70" spans="1:52">
      <c r="D70"/>
      <c r="E70" s="185">
        <v>249.47</v>
      </c>
      <c r="F70" s="173">
        <v>97.5</v>
      </c>
      <c r="G70" s="180">
        <v>249.43</v>
      </c>
      <c r="H70" s="173">
        <v>-13.333333333333334</v>
      </c>
      <c r="I70" s="173">
        <v>259.8</v>
      </c>
      <c r="J70" s="193">
        <f t="shared" ref="J70:J73" si="16">$K$68+K70</f>
        <v>238.71</v>
      </c>
      <c r="K70" s="180">
        <v>238.41</v>
      </c>
      <c r="L70" s="173" t="s">
        <v>10</v>
      </c>
      <c r="M70" s="173">
        <v>-5</v>
      </c>
      <c r="N70" s="173">
        <f>G65</f>
        <v>232.22</v>
      </c>
      <c r="O70" s="173" t="s">
        <v>10</v>
      </c>
      <c r="P70" s="173">
        <v>-5</v>
      </c>
      <c r="Q70" s="173">
        <f>H65</f>
        <v>686.66666666666674</v>
      </c>
      <c r="R70" s="173" t="s">
        <v>10</v>
      </c>
      <c r="S70" s="173">
        <v>-5</v>
      </c>
      <c r="T70" s="173">
        <f>I65</f>
        <v>240.69</v>
      </c>
      <c r="U70" s="173" t="s">
        <v>10</v>
      </c>
      <c r="V70" s="173">
        <v>-5</v>
      </c>
      <c r="W70" s="173">
        <f>J65</f>
        <v>223.58</v>
      </c>
      <c r="AB70" s="176"/>
      <c r="AI70" s="174">
        <v>97.5</v>
      </c>
      <c r="AJ70" s="175">
        <v>238.07</v>
      </c>
      <c r="AK70" s="175">
        <v>458.33333333333337</v>
      </c>
      <c r="AL70" s="175">
        <v>246.73</v>
      </c>
      <c r="AM70" s="175">
        <v>228.97</v>
      </c>
      <c r="AN70">
        <v>92.5</v>
      </c>
      <c r="AO70" s="174" t="s">
        <v>27</v>
      </c>
      <c r="AP70" s="174">
        <v>5</v>
      </c>
      <c r="AQ70" s="174">
        <f>AJ65</f>
        <v>222.67</v>
      </c>
      <c r="AR70" s="174" t="s">
        <v>27</v>
      </c>
      <c r="AS70" s="174">
        <v>5</v>
      </c>
      <c r="AT70" s="174">
        <f>AK65</f>
        <v>966.66666666666674</v>
      </c>
      <c r="AU70" s="174" t="s">
        <v>27</v>
      </c>
      <c r="AV70" s="174">
        <v>5</v>
      </c>
      <c r="AW70" s="174">
        <f>AL65</f>
        <v>229.97</v>
      </c>
      <c r="AX70" s="174" t="s">
        <v>27</v>
      </c>
      <c r="AY70" s="174">
        <v>5</v>
      </c>
      <c r="AZ70" s="174">
        <f>AM65</f>
        <v>215.05</v>
      </c>
    </row>
    <row r="71" spans="1:52">
      <c r="A71" s="240" t="s">
        <v>39</v>
      </c>
      <c r="B71" s="241"/>
      <c r="D71"/>
      <c r="E71" s="185">
        <v>241.87</v>
      </c>
      <c r="F71" s="173">
        <v>95</v>
      </c>
      <c r="G71" s="180">
        <v>241.83</v>
      </c>
      <c r="H71" s="173">
        <v>328.33333333333337</v>
      </c>
      <c r="I71" s="173">
        <v>251.35</v>
      </c>
      <c r="J71" s="193">
        <f t="shared" si="16"/>
        <v>232.06</v>
      </c>
      <c r="K71" s="180">
        <v>231.76</v>
      </c>
      <c r="L71" s="173" t="s">
        <v>10</v>
      </c>
      <c r="M71" s="173">
        <v>-7.5</v>
      </c>
      <c r="N71" s="173">
        <f>G72</f>
        <v>234.2</v>
      </c>
      <c r="O71" s="173" t="s">
        <v>10</v>
      </c>
      <c r="P71" s="173">
        <v>-7.5</v>
      </c>
      <c r="Q71" s="173">
        <f>H72</f>
        <v>621.66666666666674</v>
      </c>
      <c r="R71" s="173" t="s">
        <v>10</v>
      </c>
      <c r="S71" s="173">
        <v>-7.5</v>
      </c>
      <c r="T71" s="173">
        <f>I72</f>
        <v>242.95</v>
      </c>
      <c r="U71" s="173" t="s">
        <v>10</v>
      </c>
      <c r="V71" s="173">
        <v>-7.5</v>
      </c>
      <c r="W71" s="173">
        <f>J72</f>
        <v>225.27</v>
      </c>
      <c r="AB71" s="176"/>
      <c r="AD71" s="240" t="s">
        <v>39</v>
      </c>
      <c r="AE71" s="241"/>
      <c r="AI71" s="174">
        <v>95</v>
      </c>
      <c r="AJ71" s="175">
        <v>228.98</v>
      </c>
      <c r="AK71" s="175">
        <v>778.33333333333337</v>
      </c>
      <c r="AL71" s="175">
        <v>236.75</v>
      </c>
      <c r="AM71" s="175">
        <v>220.85</v>
      </c>
      <c r="AO71" s="174" t="s">
        <v>27</v>
      </c>
      <c r="AP71" s="174">
        <v>7.5</v>
      </c>
      <c r="AQ71" s="174">
        <f>AJ72</f>
        <v>219.75</v>
      </c>
      <c r="AR71" s="174" t="s">
        <v>27</v>
      </c>
      <c r="AS71" s="174">
        <v>7.5</v>
      </c>
      <c r="AT71" s="174">
        <f>AK72</f>
        <v>1040</v>
      </c>
      <c r="AU71" s="174" t="s">
        <v>27</v>
      </c>
      <c r="AV71" s="174">
        <v>7.5</v>
      </c>
      <c r="AW71" s="174">
        <f>AL72</f>
        <v>226.71</v>
      </c>
      <c r="AX71" s="174" t="s">
        <v>27</v>
      </c>
      <c r="AY71" s="174">
        <v>7.5</v>
      </c>
      <c r="AZ71" s="174">
        <f>AM72</f>
        <v>212.49</v>
      </c>
    </row>
    <row r="72" spans="1:52">
      <c r="A72" s="11">
        <f>D61</f>
        <v>230.64150324070823</v>
      </c>
      <c r="B72" s="173">
        <f>D62</f>
        <v>230.96550542338309</v>
      </c>
      <c r="D72"/>
      <c r="E72" s="185">
        <v>234.24</v>
      </c>
      <c r="F72" s="173">
        <v>92.5</v>
      </c>
      <c r="G72" s="180">
        <v>234.2</v>
      </c>
      <c r="H72" s="173">
        <v>621.66666666666674</v>
      </c>
      <c r="I72" s="173">
        <v>242.95</v>
      </c>
      <c r="J72" s="193">
        <f t="shared" si="16"/>
        <v>225.27</v>
      </c>
      <c r="K72" s="180">
        <v>224.97</v>
      </c>
      <c r="L72" s="173" t="s">
        <v>10</v>
      </c>
      <c r="M72" s="173">
        <v>-10</v>
      </c>
      <c r="N72" s="173">
        <f>G79</f>
        <v>236.07</v>
      </c>
      <c r="O72" s="173" t="s">
        <v>10</v>
      </c>
      <c r="P72" s="173">
        <v>-10</v>
      </c>
      <c r="Q72" s="173">
        <f>H79</f>
        <v>555</v>
      </c>
      <c r="R72" s="173" t="s">
        <v>10</v>
      </c>
      <c r="S72" s="173">
        <v>-10</v>
      </c>
      <c r="T72" s="173">
        <f>I79</f>
        <v>245.08</v>
      </c>
      <c r="U72" s="173" t="s">
        <v>10</v>
      </c>
      <c r="V72" s="173">
        <v>-10</v>
      </c>
      <c r="W72" s="173">
        <f>J79</f>
        <v>226.86</v>
      </c>
      <c r="AB72" s="176"/>
      <c r="AD72" s="11">
        <f>AG61</f>
        <v>230.29985909250223</v>
      </c>
      <c r="AE72" s="174">
        <f>AG62</f>
        <v>230.58230890894578</v>
      </c>
      <c r="AI72" s="174">
        <v>92.5</v>
      </c>
      <c r="AJ72" s="175">
        <v>219.75</v>
      </c>
      <c r="AK72" s="175">
        <v>1040</v>
      </c>
      <c r="AL72" s="175">
        <v>226.71</v>
      </c>
      <c r="AM72" s="175">
        <v>212.49</v>
      </c>
      <c r="AO72" s="174" t="s">
        <v>27</v>
      </c>
      <c r="AP72" s="174">
        <v>10</v>
      </c>
      <c r="AQ72" s="174">
        <f>AJ79</f>
        <v>216.52</v>
      </c>
      <c r="AR72" s="174" t="s">
        <v>27</v>
      </c>
      <c r="AS72" s="174">
        <v>10</v>
      </c>
      <c r="AT72" s="174">
        <f>AK79</f>
        <v>1116.6666666666667</v>
      </c>
      <c r="AU72" s="174" t="s">
        <v>27</v>
      </c>
      <c r="AV72" s="174">
        <v>10</v>
      </c>
      <c r="AW72" s="174">
        <f>AL79</f>
        <v>223.1</v>
      </c>
      <c r="AX72" s="174" t="s">
        <v>27</v>
      </c>
      <c r="AY72" s="174">
        <v>10</v>
      </c>
      <c r="AZ72" s="174">
        <f>AM79</f>
        <v>209.64</v>
      </c>
    </row>
    <row r="73" spans="1:52">
      <c r="D73"/>
      <c r="E73" s="185">
        <v>226.62</v>
      </c>
      <c r="F73" s="173">
        <v>90</v>
      </c>
      <c r="G73" s="180">
        <v>226.59</v>
      </c>
      <c r="H73" s="173">
        <v>866.66666666666674</v>
      </c>
      <c r="I73" s="173">
        <v>234.65</v>
      </c>
      <c r="J73" s="193">
        <f t="shared" si="16"/>
        <v>218.42000000000002</v>
      </c>
      <c r="K73" s="180">
        <v>218.12</v>
      </c>
      <c r="L73" s="173" t="s">
        <v>11</v>
      </c>
      <c r="M73" s="9">
        <f>$B$2</f>
        <v>6.0220000000000002</v>
      </c>
      <c r="N73" s="178">
        <f>N68*(M73-M70)*(M73-M72)*(M73-M69)*(M73-M71)/((M68-M70)*(M68-M72)*(M68-M69)*(M68-M71))+N70*(M73-M68)*(M73-M72)*(M73-M69)*(M73-M71)/((M70-M68)*(M70-M72)*(M70-M69)*(M70-M71))+N72*(M73-M68)*(M73-M70)*(M73-M69)*(M73-M71)/((M72-M68)*(M72-M70)*(M72-M69)*(M72-M71))+N69*(M73-M70)*(M73-M72)*(M73-M68)*(M73-M71)/((M69-M70)*(M69-M72)*(M69-M68)*(M69-M71))+N71*(M73-M70)*(M73-M72)*(M73-M68)*(M73-M69)/((M71-M70)*(M71-M72)*(M71-M68)*(M71-M69))</f>
        <v>221.84902566189339</v>
      </c>
      <c r="O73" s="173" t="s">
        <v>11</v>
      </c>
      <c r="P73" s="9">
        <f>$B$2</f>
        <v>6.0220000000000002</v>
      </c>
      <c r="Q73" s="178">
        <f>Q68*(P73-P70)*(P73-P72)*(P73-P69)*(P73-P71)/((P68-P70)*(P68-P72)*(P68-P69)*(P68-P71))+Q70*(P73-P68)*(P73-P72)*(P73-P69)*(P73-P71)/((P70-P68)*(P70-P72)*(P70-P69)*(P70-P71))+Q72*(P73-P68)*(P73-P70)*(P73-P69)*(P73-P71)/((P72-P68)*(P72-P70)*(P72-P69)*(P72-P71))+Q69*(P73-P70)*(P73-P72)*(P73-P68)*(P73-P71)/((P69-P70)*(P69-P72)*(P69-P68)*(P69-P71))+Q71*(P73-P70)*(P73-P72)*(P73-P68)*(P73-P69)/((P71-P70)*(P71-P72)*(P71-P68)*(P71-P69))</f>
        <v>899.83508599912966</v>
      </c>
      <c r="R73" s="173" t="s">
        <v>11</v>
      </c>
      <c r="S73" s="9">
        <f>$B$2</f>
        <v>6.0220000000000002</v>
      </c>
      <c r="T73" s="178">
        <f>T68*(S73-S70)*(S73-S72)*(S73-S69)*(S73-S71)/((S68-S70)*(S68-S72)*(S68-S69)*(S68-S71))+T70*(S73-S68)*(S73-S72)*(S73-S69)*(S73-S71)/((S70-S68)*(S70-S72)*(S70-S69)*(S70-S71))+T72*(S73-S68)*(S73-S70)*(S73-S69)*(S73-S71)/((S72-S68)*(S72-S70)*(S72-S69)*(S72-S71))+T69*(S73-S70)*(S73-S72)*(S73-S68)*(S73-S71)/((S69-S70)*(S69-S72)*(S69-S68)*(S69-S71))+T71*(S73-S70)*(S73-S72)*(S73-S68)*(S73-S69)/((S71-S70)*(S71-S72)*(S71-S68)*(S71-S69))</f>
        <v>228.48726238391282</v>
      </c>
      <c r="U73" s="173" t="s">
        <v>11</v>
      </c>
      <c r="V73" s="9">
        <f>$B$2</f>
        <v>6.0220000000000002</v>
      </c>
      <c r="W73" s="178">
        <f>W68*(V73-V70)*(V73-V72)*(V73-V69)*(V73-V71)/((V68-V70)*(V68-V72)*(V68-V69)*(V68-V71))+W70*(V73-V68)*(V73-V72)*(V73-V69)*(V73-V71)/((V70-V68)*(V70-V72)*(V70-V69)*(V70-V71))+W72*(V73-V68)*(V73-V70)*(V73-V69)*(V73-V71)/((V72-V68)*(V72-V70)*(V72-V69)*(V72-V71))+W69*(V73-V70)*(V73-V72)*(V73-V68)*(V73-V71)/((V69-V70)*(V69-V72)*(V69-V68)*(V69-V71))+W71*(V73-V70)*(V73-V72)*(V73-V68)*(V73-V69)/((V71-V70)*(V71-V72)*(V71-V68)*(V71-V69))</f>
        <v>226.50127855996834</v>
      </c>
      <c r="AB73" s="176"/>
      <c r="AI73" s="174">
        <v>90</v>
      </c>
      <c r="AJ73" s="175">
        <v>210.43</v>
      </c>
      <c r="AK73" s="175">
        <v>1255</v>
      </c>
      <c r="AL73" s="175">
        <v>216.66</v>
      </c>
      <c r="AM73" s="175">
        <v>203.96</v>
      </c>
      <c r="AO73" s="174" t="s">
        <v>28</v>
      </c>
      <c r="AP73" s="9">
        <f>$B$2</f>
        <v>6.0220000000000002</v>
      </c>
      <c r="AQ73" s="178">
        <f>AQ68*(AP73-AP70)*(AP73-AP72)*(AP73-AP69)*(AP73-AP71)/((AP68-AP70)*(AP68-AP72)*(AP68-AP69)*(AP68-AP71))+AQ70*(AP73-AP68)*(AP73-AP72)*(AP73-AP69)*(AP73-AP71)/((AP70-AP68)*(AP70-AP72)*(AP70-AP69)*(AP70-AP71))+AQ72*(AP73-AP68)*(AP73-AP70)*(AP73-AP69)*(AP73-AP71)/((AP72-AP68)*(AP72-AP70)*(AP72-AP69)*(AP72-AP71))+AQ69*(AP73-AP70)*(AP73-AP72)*(AP73-AP68)*(AP73-AP71)/((AP69-AP70)*(AP69-AP72)*(AP69-AP68)*(AP69-AP71))+AQ71*(AP73-AP70)*(AP73-AP72)*(AP73-AP68)*(AP73-AP69)/((AP71-AP70)*(AP71-AP72)*(AP71-AP68)*(AP71-AP69))</f>
        <v>221.51056008605443</v>
      </c>
      <c r="AR73" s="174" t="s">
        <v>28</v>
      </c>
      <c r="AS73" s="9">
        <f>$B$2</f>
        <v>6.0220000000000002</v>
      </c>
      <c r="AT73" s="178">
        <f>AT68*(AS73-AS70)*(AS73-AS72)*(AS73-AS69)*(AS73-AS71)/((AS68-AS70)*(AS68-AS72)*(AS68-AS69)*(AS68-AS71))+AT70*(AS73-AS68)*(AS73-AS72)*(AS73-AS69)*(AS73-AS71)/((AS70-AS68)*(AS70-AS72)*(AS70-AS69)*(AS70-AS71))+AT72*(AS73-AS68)*(AS73-AS70)*(AS73-AS69)*(AS73-AS71)/((AS72-AS68)*(AS72-AS70)*(AS72-AS69)*(AS72-AS71))+AT69*(AS73-AS70)*(AS73-AS72)*(AS73-AS68)*(AS73-AS71)/((AS69-AS70)*(AS69-AS72)*(AS69-AS68)*(AS69-AS71))+AT71*(AS73-AS70)*(AS73-AS72)*(AS73-AS68)*(AS73-AS69)/((AS71-AS70)*(AS71-AS72)*(AS71-AS68)*(AS71-AS69))</f>
        <v>996.3493527581868</v>
      </c>
      <c r="AU73" s="174" t="s">
        <v>28</v>
      </c>
      <c r="AV73" s="9">
        <f>$B$2</f>
        <v>6.0220000000000002</v>
      </c>
      <c r="AW73" s="178">
        <f>AW68*(AV73-AV70)*(AV73-AV72)*(AV73-AV69)*(AV73-AV71)/((AV68-AV70)*(AV68-AV72)*(AV68-AV69)*(AV68-AV71))+AW70*(AV73-AV68)*(AV73-AV72)*(AV73-AV69)*(AV73-AV71)/((AV70-AV68)*(AV70-AV72)*(AV70-AV69)*(AV70-AV71))+AW72*(AV73-AV68)*(AV73-AV70)*(AV73-AV69)*(AV73-AV71)/((AV72-AV68)*(AV72-AV70)*(AV72-AV69)*(AV72-AV71))+AW69*(AV73-AV70)*(AV73-AV72)*(AV73-AV68)*(AV73-AV71)/((AV69-AV70)*(AV69-AV72)*(AV69-AV68)*(AV69-AV71))+AW71*(AV73-AV70)*(AV73-AV72)*(AV73-AV68)*(AV73-AV69)/((AV71-AV70)*(AV71-AV72)*(AV71-AV68)*(AV71-AV69))</f>
        <v>228.67357595150733</v>
      </c>
      <c r="AX73" s="174" t="s">
        <v>28</v>
      </c>
      <c r="AY73" s="9">
        <f>$B$2</f>
        <v>6.0220000000000002</v>
      </c>
      <c r="AZ73" s="178">
        <f>AZ68*(AY73-AY70)*(AY73-AY72)*(AY73-AY69)*(AY73-AY71)/((AY68-AY70)*(AY68-AY72)*(AY68-AY69)*(AY68-AY71))+AZ70*(AY73-AY68)*(AY73-AY72)*(AY73-AY69)*(AY73-AY71)/((AY70-AY68)*(AY70-AY72)*(AY70-AY69)*(AY70-AY71))+AZ72*(AY73-AY68)*(AY73-AY70)*(AY73-AY69)*(AY73-AY71)/((AY72-AY68)*(AY72-AY70)*(AY72-AY69)*(AY72-AY71))+AZ69*(AY73-AY70)*(AY73-AY72)*(AY73-AY68)*(AY73-AY71)/((AY69-AY70)*(AY69-AY72)*(AY69-AY68)*(AY69-AY71))+AZ71*(AY73-AY70)*(AY73-AY72)*(AY73-AY68)*(AY73-AY69)/((AY71-AY70)*(AY71-AY72)*(AY71-AY68)*(AY71-AY69))</f>
        <v>214.03376735900559</v>
      </c>
    </row>
    <row r="74" spans="1:52">
      <c r="A74" s="173" t="s">
        <v>41</v>
      </c>
      <c r="B74" s="173" t="s">
        <v>42</v>
      </c>
      <c r="D74"/>
      <c r="N74" s="1" t="s">
        <v>12</v>
      </c>
      <c r="O74" s="1"/>
      <c r="P74" s="1"/>
      <c r="Q74" s="1" t="s">
        <v>13</v>
      </c>
      <c r="R74" s="1"/>
      <c r="S74" s="1"/>
      <c r="T74" s="1" t="s">
        <v>8</v>
      </c>
      <c r="U74" s="1"/>
      <c r="V74" s="1"/>
      <c r="W74" s="1" t="s">
        <v>9</v>
      </c>
      <c r="AB74" s="176"/>
      <c r="AD74" s="174" t="s">
        <v>41</v>
      </c>
      <c r="AE74" s="174" t="s">
        <v>42</v>
      </c>
      <c r="AQ74" s="1" t="s">
        <v>12</v>
      </c>
      <c r="AR74" s="1"/>
      <c r="AS74" s="1"/>
      <c r="AT74" s="1" t="s">
        <v>13</v>
      </c>
      <c r="AU74" s="1"/>
      <c r="AV74" s="1"/>
      <c r="AW74" s="1" t="s">
        <v>8</v>
      </c>
      <c r="AX74" s="1"/>
      <c r="AY74" s="1"/>
      <c r="AZ74" s="1" t="s">
        <v>9</v>
      </c>
    </row>
    <row r="75" spans="1:52">
      <c r="A75" s="11">
        <f>M83*(D47-K84)*(D47-K85)*(D47-K86)*(D47-K87)/((K83-K84)*(K83-K85)*(K83-K86)*(K83-K87))+M84*(D47-K83)*(D47-K85)*(D47-K86)*(D47-K87)/((K84-K83)*(K84-K85)*(K84-K86)*(K84-K87))+M85*(D47-K83)*(D47-K84)*(D47-K86)*(D47-K87)/((K85-K83)*(K85-K84)*(K85-K86)*(K85-K87))+M86*(D47-K83)*(D47-K84)*(D47-K85)*(D47-K87)/((K86-K83)*(K86-K84)*(K86-K85)*(K86-K87))+M87*(D47-K83)*(D47-K84)*(D47-K85)*(D47-K86)/((K87-K83)*(K87-K84)*(K87-K85)*(K87-K86))</f>
        <v>99.623762498937467</v>
      </c>
      <c r="B75" s="24">
        <f>(AA52*(B68+(B59*A75/100)))+AA64</f>
        <v>-451.34835411818517</v>
      </c>
      <c r="C75">
        <f>B75/45</f>
        <v>-10.029963424848559</v>
      </c>
      <c r="D75"/>
      <c r="F75" s="15">
        <v>-10</v>
      </c>
      <c r="G75" s="7" t="s">
        <v>6</v>
      </c>
      <c r="H75" s="7" t="s">
        <v>7</v>
      </c>
      <c r="I75" s="7" t="s">
        <v>8</v>
      </c>
      <c r="J75" s="7" t="s">
        <v>9</v>
      </c>
      <c r="K75" s="14">
        <v>0.3</v>
      </c>
      <c r="L75" s="173" t="s">
        <v>10</v>
      </c>
      <c r="M75" s="173">
        <v>0</v>
      </c>
      <c r="N75" s="173">
        <f>G52</f>
        <v>219.55</v>
      </c>
      <c r="O75" s="173" t="s">
        <v>10</v>
      </c>
      <c r="P75" s="173">
        <v>0</v>
      </c>
      <c r="Q75" s="173">
        <f>H52</f>
        <v>1055</v>
      </c>
      <c r="R75" s="173" t="s">
        <v>10</v>
      </c>
      <c r="S75" s="173">
        <v>0</v>
      </c>
      <c r="T75" s="173">
        <f>I52</f>
        <v>226.74</v>
      </c>
      <c r="U75" s="173" t="s">
        <v>10</v>
      </c>
      <c r="V75" s="173">
        <v>0</v>
      </c>
      <c r="W75" s="173">
        <f>J52</f>
        <v>211.99</v>
      </c>
      <c r="AB75" s="176"/>
      <c r="AD75" s="11">
        <f>AP83*(AG47-AN84)*(AG47-AN85)*(AG47-AN86)*(AG47-AN87)/((AN83-AN84)*(AN83-AN85)*(AN83-AN86)*(AN83-AN87))+AP84*(AG47-AN83)*(AG47-AN85)*(AG47-AN86)*(AG47-AN87)/((AN84-AN83)*(AN84-AN85)*(AN84-AN86)*(AN84-AN87))+AP85*(AG47-AN83)*(AG47-AN84)*(AG47-AN86)*(AG47-AN87)/((AN85-AN83)*(AN85-AN84)*(AN85-AN86)*(AN85-AN87))+AP86*(AG47-AN83)*(AG47-AN84)*(AG47-AN85)*(AG47-AN87)/((AN86-AN83)*(AN86-AN84)*(AN86-AN85)*(AN86-AN87))+AP87*(AG47-AN83)*(AG47-AN84)*(AG47-AN85)*(AG47-AN86)/((AN87-AN83)*(AN87-AN84)*(AN87-AN85)*(AN87-AN86))</f>
        <v>99.645619023957522</v>
      </c>
      <c r="AE75" s="24">
        <f>((BD52*(AE68+(AE59*AD75/100)))+BD64)*AD79</f>
        <v>-245.47198543619567</v>
      </c>
      <c r="AF75">
        <f>AE75/45</f>
        <v>-5.4549330096932369</v>
      </c>
      <c r="AI75" s="15">
        <v>10</v>
      </c>
      <c r="AJ75" s="7" t="s">
        <v>6</v>
      </c>
      <c r="AK75" s="7" t="s">
        <v>7</v>
      </c>
      <c r="AL75" s="7" t="s">
        <v>8</v>
      </c>
      <c r="AM75" s="7" t="s">
        <v>9</v>
      </c>
      <c r="AO75" s="174" t="s">
        <v>27</v>
      </c>
      <c r="AP75" s="174">
        <v>0</v>
      </c>
      <c r="AQ75" s="174">
        <f>AJ52</f>
        <v>219.51</v>
      </c>
      <c r="AR75" s="174" t="s">
        <v>27</v>
      </c>
      <c r="AS75" s="174">
        <v>0</v>
      </c>
      <c r="AT75" s="174">
        <f>AK52</f>
        <v>1055</v>
      </c>
      <c r="AU75" s="174" t="s">
        <v>27</v>
      </c>
      <c r="AV75" s="174">
        <v>0</v>
      </c>
      <c r="AW75" s="174">
        <f>AL52</f>
        <v>226.74</v>
      </c>
      <c r="AX75" s="174" t="s">
        <v>27</v>
      </c>
      <c r="AY75" s="174">
        <v>0</v>
      </c>
      <c r="AZ75" s="174">
        <f>AM52</f>
        <v>211.99</v>
      </c>
    </row>
    <row r="76" spans="1:52">
      <c r="A76" s="173" t="s">
        <v>44</v>
      </c>
      <c r="B76" s="173" t="s">
        <v>43</v>
      </c>
      <c r="D76"/>
      <c r="F76" s="173">
        <v>100</v>
      </c>
      <c r="G76" s="180">
        <v>258.29000000000002</v>
      </c>
      <c r="H76" s="173">
        <v>-483.33333333333337</v>
      </c>
      <c r="I76" s="173">
        <v>269.87</v>
      </c>
      <c r="J76" s="180">
        <f>$K$75+K76</f>
        <v>246.22</v>
      </c>
      <c r="K76" s="180">
        <v>245.92</v>
      </c>
      <c r="L76" s="173" t="s">
        <v>10</v>
      </c>
      <c r="M76" s="173">
        <v>-2.5</v>
      </c>
      <c r="N76" s="173">
        <f>G59</f>
        <v>222.07</v>
      </c>
      <c r="O76" s="173" t="s">
        <v>10</v>
      </c>
      <c r="P76" s="173">
        <v>-2.5</v>
      </c>
      <c r="Q76" s="173">
        <f>H59</f>
        <v>990</v>
      </c>
      <c r="R76" s="173" t="s">
        <v>10</v>
      </c>
      <c r="S76" s="173">
        <v>-2.5</v>
      </c>
      <c r="T76" s="173">
        <f>I59</f>
        <v>229.56</v>
      </c>
      <c r="U76" s="173" t="s">
        <v>10</v>
      </c>
      <c r="V76" s="173">
        <v>-2.5</v>
      </c>
      <c r="W76" s="173">
        <f>J59</f>
        <v>214.19</v>
      </c>
      <c r="AB76" s="176"/>
      <c r="AD76" s="174" t="s">
        <v>44</v>
      </c>
      <c r="AE76" s="174" t="s">
        <v>43</v>
      </c>
      <c r="AI76" s="174">
        <v>100</v>
      </c>
      <c r="AJ76" s="175">
        <v>244.89</v>
      </c>
      <c r="AK76" s="175">
        <v>173.33333333333334</v>
      </c>
      <c r="AL76" s="175">
        <v>254.22</v>
      </c>
      <c r="AM76" s="175">
        <v>235.06</v>
      </c>
      <c r="AO76" s="174" t="s">
        <v>27</v>
      </c>
      <c r="AP76" s="174">
        <v>2.5</v>
      </c>
      <c r="AQ76" s="174">
        <f>AJ59</f>
        <v>216.77</v>
      </c>
      <c r="AR76" s="174" t="s">
        <v>27</v>
      </c>
      <c r="AS76" s="174">
        <v>2.5</v>
      </c>
      <c r="AT76" s="174">
        <f>AK59</f>
        <v>1120</v>
      </c>
      <c r="AU76" s="174" t="s">
        <v>27</v>
      </c>
      <c r="AV76" s="174">
        <v>2.5</v>
      </c>
      <c r="AW76" s="174">
        <f>AL59</f>
        <v>223.68</v>
      </c>
      <c r="AX76" s="174" t="s">
        <v>27</v>
      </c>
      <c r="AY76" s="174">
        <v>2.5</v>
      </c>
      <c r="AZ76" s="174">
        <f>AM59</f>
        <v>209.57</v>
      </c>
    </row>
    <row r="77" spans="1:52">
      <c r="A77" s="25">
        <f>(360-ROUNDDOWN((1-(A75/100))*360,0))*276/360</f>
        <v>275.23333333333335</v>
      </c>
      <c r="B77" s="11">
        <f>MOD((A75/100)*-360,1)*-((D47-A72)/(D47-B72))+15</f>
        <v>14.638186924512949</v>
      </c>
      <c r="D77"/>
      <c r="F77" s="173">
        <v>97.5</v>
      </c>
      <c r="G77" s="180">
        <v>250.95</v>
      </c>
      <c r="H77" s="173">
        <v>-86.666666666666671</v>
      </c>
      <c r="I77" s="173">
        <v>261.58999999999997</v>
      </c>
      <c r="J77" s="193">
        <f t="shared" ref="J77:J80" si="17">$K$75+K77</f>
        <v>239.95000000000002</v>
      </c>
      <c r="K77" s="180">
        <v>239.65</v>
      </c>
      <c r="L77" s="173" t="s">
        <v>10</v>
      </c>
      <c r="M77" s="173">
        <v>-5</v>
      </c>
      <c r="N77" s="173">
        <f>G66</f>
        <v>224.41</v>
      </c>
      <c r="O77" s="173" t="s">
        <v>10</v>
      </c>
      <c r="P77" s="173">
        <v>-5</v>
      </c>
      <c r="Q77" s="173">
        <f>H66</f>
        <v>930</v>
      </c>
      <c r="R77" s="173" t="s">
        <v>10</v>
      </c>
      <c r="S77" s="173">
        <v>-5</v>
      </c>
      <c r="T77" s="173">
        <f>I66</f>
        <v>232.19</v>
      </c>
      <c r="U77" s="173" t="s">
        <v>10</v>
      </c>
      <c r="V77" s="173">
        <v>-5</v>
      </c>
      <c r="W77" s="173">
        <f>J66</f>
        <v>216.53</v>
      </c>
      <c r="AB77" s="176"/>
      <c r="AD77" s="25">
        <f>(360-ROUNDDOWN((1-(AD75/100))*360,0))*276/360</f>
        <v>275.23333333333335</v>
      </c>
      <c r="AE77" s="11">
        <f>MOD((AD75/100)*-360,1)*-((AG47-AD72)/(AG47-AE72))+15</f>
        <v>14.719357556022945</v>
      </c>
      <c r="AI77" s="174">
        <v>97.5</v>
      </c>
      <c r="AJ77" s="175">
        <v>235.66</v>
      </c>
      <c r="AK77" s="175">
        <v>546.66666666666674</v>
      </c>
      <c r="AL77" s="175">
        <v>243.99</v>
      </c>
      <c r="AM77" s="175">
        <v>226.92</v>
      </c>
      <c r="AN77">
        <v>90</v>
      </c>
      <c r="AO77" s="174" t="s">
        <v>27</v>
      </c>
      <c r="AP77" s="174">
        <v>5</v>
      </c>
      <c r="AQ77" s="174">
        <f>AJ66</f>
        <v>213.76</v>
      </c>
      <c r="AR77" s="174" t="s">
        <v>27</v>
      </c>
      <c r="AS77" s="174">
        <v>5</v>
      </c>
      <c r="AT77" s="174">
        <f>AK66</f>
        <v>1186.6666666666667</v>
      </c>
      <c r="AU77" s="174" t="s">
        <v>27</v>
      </c>
      <c r="AV77" s="174">
        <v>5</v>
      </c>
      <c r="AW77" s="174">
        <f>AL66</f>
        <v>220.34</v>
      </c>
      <c r="AX77" s="174" t="s">
        <v>27</v>
      </c>
      <c r="AY77" s="174">
        <v>5</v>
      </c>
      <c r="AZ77" s="174">
        <f>AM66</f>
        <v>206.92</v>
      </c>
    </row>
    <row r="78" spans="1:52">
      <c r="D78"/>
      <c r="F78" s="173">
        <v>95</v>
      </c>
      <c r="G78" s="180">
        <v>243.52</v>
      </c>
      <c r="H78" s="173">
        <v>260</v>
      </c>
      <c r="I78" s="173">
        <v>253.3</v>
      </c>
      <c r="J78" s="193">
        <f t="shared" si="17"/>
        <v>233.47</v>
      </c>
      <c r="K78" s="180">
        <v>233.17</v>
      </c>
      <c r="L78" s="173" t="s">
        <v>10</v>
      </c>
      <c r="M78" s="173">
        <v>-7.5</v>
      </c>
      <c r="N78" s="173">
        <f>G73</f>
        <v>226.59</v>
      </c>
      <c r="O78" s="173" t="s">
        <v>10</v>
      </c>
      <c r="P78" s="173">
        <v>-7.5</v>
      </c>
      <c r="Q78" s="173">
        <f>H73</f>
        <v>866.66666666666674</v>
      </c>
      <c r="R78" s="173" t="s">
        <v>10</v>
      </c>
      <c r="S78" s="173">
        <v>-7.5</v>
      </c>
      <c r="T78" s="173">
        <f>I73</f>
        <v>234.65</v>
      </c>
      <c r="U78" s="173" t="s">
        <v>10</v>
      </c>
      <c r="V78" s="173">
        <v>-7.5</v>
      </c>
      <c r="W78" s="173">
        <f>J73</f>
        <v>218.42000000000002</v>
      </c>
      <c r="AB78" s="176"/>
      <c r="AI78" s="174">
        <v>95</v>
      </c>
      <c r="AJ78" s="175">
        <v>226.19</v>
      </c>
      <c r="AK78" s="175">
        <v>860</v>
      </c>
      <c r="AL78" s="175">
        <v>233.6</v>
      </c>
      <c r="AM78" s="175">
        <v>218.43</v>
      </c>
      <c r="AO78" s="174" t="s">
        <v>27</v>
      </c>
      <c r="AP78" s="174">
        <v>7.5</v>
      </c>
      <c r="AQ78" s="174">
        <f>AJ73</f>
        <v>210.43</v>
      </c>
      <c r="AR78" s="174" t="s">
        <v>27</v>
      </c>
      <c r="AS78" s="174">
        <v>7.5</v>
      </c>
      <c r="AT78" s="174">
        <f>AK73</f>
        <v>1255</v>
      </c>
      <c r="AU78" s="174" t="s">
        <v>27</v>
      </c>
      <c r="AV78" s="174">
        <v>7.5</v>
      </c>
      <c r="AW78" s="174">
        <f>AL73</f>
        <v>216.66</v>
      </c>
      <c r="AX78" s="174" t="s">
        <v>27</v>
      </c>
      <c r="AY78" s="174">
        <v>7.5</v>
      </c>
      <c r="AZ78" s="174">
        <f>AM73</f>
        <v>203.96</v>
      </c>
    </row>
    <row r="79" spans="1:52">
      <c r="A79">
        <v>-1</v>
      </c>
      <c r="F79" s="173">
        <v>92.5</v>
      </c>
      <c r="G79" s="180">
        <v>236.07</v>
      </c>
      <c r="H79" s="173">
        <v>555</v>
      </c>
      <c r="I79" s="173">
        <v>245.08</v>
      </c>
      <c r="J79" s="193">
        <f t="shared" si="17"/>
        <v>226.86</v>
      </c>
      <c r="K79" s="180">
        <v>226.56</v>
      </c>
      <c r="L79" s="173" t="s">
        <v>10</v>
      </c>
      <c r="M79" s="173">
        <v>-10</v>
      </c>
      <c r="N79" s="173">
        <f>G80</f>
        <v>228.63</v>
      </c>
      <c r="O79" s="173" t="s">
        <v>10</v>
      </c>
      <c r="P79" s="173">
        <v>-10</v>
      </c>
      <c r="Q79" s="173">
        <f>H80</f>
        <v>806.66666666666674</v>
      </c>
      <c r="R79" s="173" t="s">
        <v>10</v>
      </c>
      <c r="S79" s="173">
        <v>-10</v>
      </c>
      <c r="T79" s="173">
        <f>I80</f>
        <v>236.95</v>
      </c>
      <c r="U79" s="173" t="s">
        <v>10</v>
      </c>
      <c r="V79" s="173">
        <v>-10</v>
      </c>
      <c r="W79" s="173">
        <f>J80</f>
        <v>220.18</v>
      </c>
      <c r="AB79" s="176"/>
      <c r="AD79">
        <v>1</v>
      </c>
      <c r="AG79" s="1"/>
      <c r="AI79" s="174">
        <v>92.5</v>
      </c>
      <c r="AJ79" s="175">
        <v>216.52</v>
      </c>
      <c r="AK79" s="175">
        <v>1116.6666666666667</v>
      </c>
      <c r="AL79" s="175">
        <v>223.1</v>
      </c>
      <c r="AM79" s="175">
        <v>209.64</v>
      </c>
      <c r="AO79" s="174" t="s">
        <v>27</v>
      </c>
      <c r="AP79" s="174">
        <v>10</v>
      </c>
      <c r="AQ79" s="174">
        <f>AJ80</f>
        <v>206.7</v>
      </c>
      <c r="AR79" s="174" t="s">
        <v>27</v>
      </c>
      <c r="AS79" s="174">
        <v>10</v>
      </c>
      <c r="AT79" s="174">
        <f>AK80</f>
        <v>1325</v>
      </c>
      <c r="AU79" s="174" t="s">
        <v>27</v>
      </c>
      <c r="AV79" s="174">
        <v>10</v>
      </c>
      <c r="AW79" s="174">
        <f>AL80</f>
        <v>212.53</v>
      </c>
      <c r="AX79" s="174" t="s">
        <v>27</v>
      </c>
      <c r="AY79" s="174">
        <v>10</v>
      </c>
      <c r="AZ79" s="174">
        <f>AM80</f>
        <v>200.62</v>
      </c>
    </row>
    <row r="80" spans="1:52">
      <c r="F80" s="173">
        <v>90</v>
      </c>
      <c r="G80" s="180">
        <v>228.63</v>
      </c>
      <c r="H80" s="173">
        <v>806.66666666666674</v>
      </c>
      <c r="I80" s="173">
        <v>236.95</v>
      </c>
      <c r="J80" s="193">
        <f t="shared" si="17"/>
        <v>220.18</v>
      </c>
      <c r="K80" s="180">
        <v>219.88</v>
      </c>
      <c r="L80" s="173" t="s">
        <v>11</v>
      </c>
      <c r="M80" s="9">
        <f>$B$2</f>
        <v>6.0220000000000002</v>
      </c>
      <c r="N80" s="178">
        <f>N75*(M80-M77)*(M80-M79)*(M80-M76)*(M80-M78)/((M75-M77)*(M75-M79)*(M75-M76)*(M75-M78))+N77*(M80-M75)*(M80-M79)*(M80-M76)*(M80-M78)/((M77-M75)*(M77-M79)*(M77-M76)*(M77-M78))+N79*(M80-M75)*(M80-M77)*(M80-M76)*(M80-M78)/((M79-M75)*(M79-M77)*(M79-M76)*(M79-M78))+N76*(M80-M77)*(M80-M79)*(M80-M75)*(M80-M78)/((M76-M77)*(M76-M79)*(M76-M75)*(M76-M78))+N78*(M80-M77)*(M80-M79)*(M80-M75)*(M80-M76)/((M78-M77)*(M78-M79)*(M78-M75)*(M78-M76))</f>
        <v>212.62015284850713</v>
      </c>
      <c r="O80" s="173" t="s">
        <v>11</v>
      </c>
      <c r="P80" s="9">
        <f>$B$2</f>
        <v>6.0220000000000002</v>
      </c>
      <c r="Q80" s="178">
        <f>Q75*(P80-P77)*(P80-P79)*(P80-P76)*(P80-P78)/((P75-P77)*(P75-P79)*(P75-P76)*(P75-P78))+Q77*(P80-P75)*(P80-P79)*(P80-P76)*(P80-P78)/((P77-P75)*(P77-P79)*(P77-P76)*(P77-P78))+Q79*(P80-P75)*(P80-P77)*(P80-P76)*(P80-P78)/((P79-P75)*(P79-P77)*(P79-P76)*(P79-P78))+Q76*(P80-P77)*(P80-P79)*(P80-P75)*(P80-P78)/((P76-P77)*(P76-P79)*(P76-P75)*(P76-P78))+Q78*(P80-P77)*(P80-P79)*(P80-P75)*(P80-P76)/((P78-P77)*(P78-P79)*(P78-P75)*(P78-P76))</f>
        <v>1404.757273356372</v>
      </c>
      <c r="R80" s="173" t="s">
        <v>11</v>
      </c>
      <c r="S80" s="9">
        <f>$B$2</f>
        <v>6.0220000000000002</v>
      </c>
      <c r="T80" s="178">
        <f>T75*(S80-S77)*(S80-S79)*(S80-S76)*(S80-S78)/((S75-S77)*(S75-S79)*(S75-S76)*(S75-S78))+T77*(S80-S75)*(S80-S79)*(S80-S76)*(S80-S78)/((S77-S75)*(S77-S79)*(S77-S76)*(S77-S78))+T79*(S80-S75)*(S80-S77)*(S80-S76)*(S80-S78)/((S79-S75)*(S79-S77)*(S79-S76)*(S79-S78))+T76*(S80-S77)*(S80-S79)*(S80-S75)*(S80-S78)/((S76-S77)*(S76-S79)*(S76-S75)*(S76-S78))+T78*(S80-S77)*(S80-S79)*(S80-S75)*(S80-S76)/((S78-S77)*(S78-S79)*(S78-S75)*(S78-S76))</f>
        <v>218.96487188088031</v>
      </c>
      <c r="U80" s="173" t="s">
        <v>11</v>
      </c>
      <c r="V80" s="9">
        <f>$B$2</f>
        <v>6.0220000000000002</v>
      </c>
      <c r="W80" s="178">
        <f>W75*(V80-V77)*(V80-V79)*(V80-V76)*(V80-V78)/((V75-V77)*(V75-V79)*(V75-V76)*(V75-V78))+W77*(V80-V75)*(V80-V79)*(V80-V76)*(V80-V78)/((V77-V75)*(V77-V79)*(V77-V76)*(V77-V78))+W79*(V80-V75)*(V80-V77)*(V80-V76)*(V80-V78)/((V79-V75)*(V79-V77)*(V79-V76)*(V79-V78))+W76*(V80-V77)*(V80-V79)*(V80-V75)*(V80-V78)/((V76-V77)*(V76-V79)*(V76-V75)*(V76-V78))+W78*(V80-V77)*(V80-V79)*(V80-V75)*(V80-V76)/((V78-V77)*(V78-V79)*(V78-V75)*(V78-V76))</f>
        <v>218.24947000514658</v>
      </c>
      <c r="AB80" s="176"/>
      <c r="AG80" s="1"/>
      <c r="AI80" s="174">
        <v>90</v>
      </c>
      <c r="AJ80" s="175">
        <v>206.7</v>
      </c>
      <c r="AK80" s="175">
        <v>1325</v>
      </c>
      <c r="AL80" s="175">
        <v>212.53</v>
      </c>
      <c r="AM80" s="175">
        <v>200.62</v>
      </c>
      <c r="AO80" s="174" t="s">
        <v>28</v>
      </c>
      <c r="AP80" s="9">
        <f>$B$2</f>
        <v>6.0220000000000002</v>
      </c>
      <c r="AQ80" s="178">
        <f>AQ75*(AP80-AP77)*(AP80-AP79)*(AP80-AP76)*(AP80-AP78)/((AP75-AP77)*(AP75-AP79)*(AP75-AP76)*(AP75-AP78))+AQ77*(AP80-AP75)*(AP80-AP79)*(AP80-AP76)*(AP80-AP78)/((AP77-AP75)*(AP77-AP79)*(AP77-AP76)*(AP77-AP78))+AQ79*(AP80-AP75)*(AP80-AP77)*(AP80-AP76)*(AP80-AP78)/((AP79-AP75)*(AP79-AP77)*(AP79-AP76)*(AP79-AP78))+AQ76*(AP80-AP77)*(AP80-AP79)*(AP80-AP75)*(AP80-AP78)/((AP76-AP77)*(AP76-AP79)*(AP76-AP75)*(AP76-AP78))+AQ78*(AP80-AP77)*(AP80-AP79)*(AP80-AP75)*(AP80-AP76)/((AP78-AP77)*(AP78-AP79)*(AP78-AP75)*(AP78-AP76))</f>
        <v>212.44122775533228</v>
      </c>
      <c r="AR80" s="174" t="s">
        <v>28</v>
      </c>
      <c r="AS80" s="9">
        <f>$B$2</f>
        <v>6.0220000000000002</v>
      </c>
      <c r="AT80" s="178">
        <f>AT75*(AS80-AS77)*(AS80-AS79)*(AS80-AS76)*(AS80-AS78)/((AS75-AS77)*(AS75-AS79)*(AS75-AS76)*(AS75-AS78))+AT77*(AS80-AS75)*(AS80-AS79)*(AS80-AS76)*(AS80-AS78)/((AS77-AS75)*(AS77-AS79)*(AS77-AS76)*(AS77-AS78))+AT79*(AS80-AS75)*(AS80-AS77)*(AS80-AS76)*(AS80-AS78)/((AS79-AS75)*(AS79-AS77)*(AS79-AS76)*(AS79-AS78))+AT76*(AS80-AS77)*(AS80-AS79)*(AS80-AS75)*(AS80-AS78)/((AS76-AS77)*(AS76-AS79)*(AS76-AS75)*(AS76-AS78))+AT78*(AS80-AS77)*(AS80-AS79)*(AS80-AS75)*(AS80-AS76)/((AS78-AS77)*(AS78-AS79)*(AS78-AS75)*(AS78-AS76))</f>
        <v>1214.3999312000003</v>
      </c>
      <c r="AU80" s="174" t="s">
        <v>28</v>
      </c>
      <c r="AV80" s="9">
        <f>$B$2</f>
        <v>6.0220000000000002</v>
      </c>
      <c r="AW80" s="178">
        <f>AW75*(AV80-AV77)*(AV80-AV79)*(AV80-AV76)*(AV80-AV78)/((AV75-AV77)*(AV75-AV79)*(AV75-AV76)*(AV75-AV78))+AW77*(AV80-AV75)*(AV80-AV79)*(AV80-AV76)*(AV80-AV78)/((AV77-AV75)*(AV77-AV79)*(AV77-AV76)*(AV77-AV78))+AW79*(AV80-AV75)*(AV80-AV77)*(AV80-AV76)*(AV80-AV78)/((AV79-AV75)*(AV79-AV77)*(AV79-AV76)*(AV79-AV78))+AW76*(AV80-AV77)*(AV80-AV79)*(AV80-AV75)*(AV80-AV78)/((AV76-AV77)*(AV76-AV79)*(AV76-AV75)*(AV76-AV78))+AW78*(AV80-AV77)*(AV80-AV79)*(AV80-AV75)*(AV80-AV76)/((AV78-AV77)*(AV78-AV79)*(AV78-AV75)*(AV78-AV76))</f>
        <v>218.8818155132351</v>
      </c>
      <c r="AX80" s="174" t="s">
        <v>28</v>
      </c>
      <c r="AY80" s="9">
        <f>$B$2</f>
        <v>6.0220000000000002</v>
      </c>
      <c r="AZ80" s="178">
        <f>AZ75*(AY80-AY77)*(AY80-AY79)*(AY80-AY76)*(AY80-AY78)/((AY75-AY77)*(AY75-AY79)*(AY75-AY76)*(AY75-AY78))+AZ77*(AY80-AY75)*(AY80-AY79)*(AY80-AY76)*(AY80-AY78)/((AY77-AY75)*(AY77-AY79)*(AY77-AY76)*(AY77-AY78))+AZ79*(AY80-AY75)*(AY80-AY77)*(AY80-AY76)*(AY80-AY78)/((AY79-AY75)*(AY79-AY77)*(AY79-AY76)*(AY79-AY78))+AZ76*(AY80-AY77)*(AY80-AY79)*(AY80-AY75)*(AY80-AY78)/((AY76-AY77)*(AY76-AY79)*(AY76-AY75)*(AY76-AY78))+AZ78*(AY80-AY77)*(AY80-AY79)*(AY80-AY75)*(AY80-AY76)/((AY78-AY77)*(AY78-AY79)*(AY78-AY75)*(AY78-AY76))</f>
        <v>205.7516108311811</v>
      </c>
    </row>
    <row r="81" spans="1:52">
      <c r="A81" s="15" t="s">
        <v>203</v>
      </c>
      <c r="B81" s="7">
        <f>IF(Plan1!$B$2&gt;0,AD75,A75)</f>
        <v>99.645619023957522</v>
      </c>
      <c r="AB81" s="176"/>
      <c r="AG81" s="1"/>
    </row>
    <row r="82" spans="1:52">
      <c r="A82" s="15" t="s">
        <v>204</v>
      </c>
      <c r="B82" s="7">
        <f>IF(Plan1!$B$2&gt;0,AE75,B75)</f>
        <v>-245.47198543619567</v>
      </c>
      <c r="C82" s="194">
        <f>F83-D82</f>
        <v>53.182999808939712</v>
      </c>
      <c r="D82" s="1">
        <f>H96*$A$79</f>
        <v>-93.050120336018153</v>
      </c>
      <c r="E82">
        <f>E38</f>
        <v>232.54695268443629</v>
      </c>
      <c r="F82" s="159" t="s">
        <v>188</v>
      </c>
      <c r="G82" s="159" t="s">
        <v>189</v>
      </c>
      <c r="H82" s="159" t="s">
        <v>137</v>
      </c>
      <c r="I82" s="159" t="s">
        <v>190</v>
      </c>
      <c r="J82" s="159" t="s">
        <v>6</v>
      </c>
      <c r="K82" s="159" t="s">
        <v>197</v>
      </c>
      <c r="O82" s="1" t="s">
        <v>38</v>
      </c>
      <c r="S82" s="14" t="s">
        <v>6</v>
      </c>
      <c r="T82" s="1" t="s">
        <v>14</v>
      </c>
      <c r="U82" s="1" t="s">
        <v>187</v>
      </c>
      <c r="V82" s="14" t="s">
        <v>195</v>
      </c>
      <c r="W82" s="14" t="s">
        <v>196</v>
      </c>
      <c r="AB82" s="176"/>
      <c r="AE82">
        <v>-1</v>
      </c>
      <c r="AF82" s="194">
        <f>AI83-AG82</f>
        <v>205.47579825403332</v>
      </c>
      <c r="AG82" s="1">
        <f>S96*AE82</f>
        <v>-175.58147093333332</v>
      </c>
      <c r="AH82">
        <f>AH38</f>
        <v>205.23630639601987</v>
      </c>
      <c r="AI82" s="159" t="s">
        <v>188</v>
      </c>
      <c r="AJ82" s="159" t="s">
        <v>189</v>
      </c>
      <c r="AK82" s="159" t="s">
        <v>137</v>
      </c>
      <c r="AL82" s="159" t="s">
        <v>190</v>
      </c>
      <c r="AM82" s="159" t="s">
        <v>6</v>
      </c>
      <c r="AN82" s="159" t="s">
        <v>197</v>
      </c>
      <c r="AR82" s="1" t="s">
        <v>38</v>
      </c>
      <c r="AV82" s="14" t="s">
        <v>6</v>
      </c>
      <c r="AW82" s="1" t="s">
        <v>14</v>
      </c>
      <c r="AX82" s="1" t="s">
        <v>187</v>
      </c>
      <c r="AY82" s="14" t="s">
        <v>195</v>
      </c>
      <c r="AZ82" s="14" t="s">
        <v>196</v>
      </c>
    </row>
    <row r="83" spans="1:52">
      <c r="A83" s="15" t="s">
        <v>205</v>
      </c>
      <c r="B83" s="7">
        <f>IF(Plan1!$B$2&gt;0,AD77,A77)</f>
        <v>275.23333333333335</v>
      </c>
      <c r="C83" s="194">
        <f t="shared" ref="C83:C86" si="18">F84-D83</f>
        <v>409.88301745502167</v>
      </c>
      <c r="D83" s="1">
        <f>H103*$A$79</f>
        <v>68.395965472052922</v>
      </c>
      <c r="E83">
        <f t="shared" ref="E83:E86" si="19">E39</f>
        <v>264.50916676218799</v>
      </c>
      <c r="F83" s="11">
        <f>Q52</f>
        <v>-39.867120527078441</v>
      </c>
      <c r="G83" s="11">
        <f>(E82+C82)/2</f>
        <v>142.864976246688</v>
      </c>
      <c r="H83" s="11">
        <f>F83-E82</f>
        <v>-272.41407321151473</v>
      </c>
      <c r="I83" s="11">
        <f>Q7</f>
        <v>504.96102589595102</v>
      </c>
      <c r="J83" s="10">
        <f>$N$52*($B$61--1)/((1--1))+$N$7*($B$61-1)/((-1-1))</f>
        <v>247.84844491987943</v>
      </c>
      <c r="K83" s="10">
        <f>J83*($B$69-9)*($B$69--9)/((0-9)*(0--9))+V83*($B$69-0)*($B$69--9)/((9-0)*(9--9))+W83*($B$69-0)*($B$69-9)/((-9-0)*(-9-9))</f>
        <v>247.72605644452963</v>
      </c>
      <c r="M83" s="173">
        <v>100</v>
      </c>
      <c r="N83" s="173">
        <f>G48</f>
        <v>252.42</v>
      </c>
      <c r="O83" s="11">
        <f>S83*((R83-(100/360))-R84)*((R83-(100/360))-R85)/((R83-R84)*(R83-R85))+S84*((R83-(100/360))-R83)*((R83-(100/360))-R85)/((R84-R83)*(R84-R85))+S85*((R83-(100/360))-R83)*((R83-(100/360))-R84)/((R85-R83)*(R85-R84))</f>
        <v>251.52543209876546</v>
      </c>
      <c r="P83" s="180">
        <v>251.86</v>
      </c>
      <c r="R83" s="173">
        <v>100</v>
      </c>
      <c r="S83" s="173">
        <f>G48</f>
        <v>252.42</v>
      </c>
      <c r="T83" s="11"/>
      <c r="U83" s="180">
        <v>251.86</v>
      </c>
      <c r="V83" s="11">
        <f>T52</f>
        <v>258.12762909562116</v>
      </c>
      <c r="W83" s="11">
        <f>W52</f>
        <v>249.82675194190415</v>
      </c>
      <c r="AB83" s="176"/>
      <c r="AF83" s="194">
        <f t="shared" ref="AF83:AF86" si="20">AI84-AG83</f>
        <v>185.47579825403326</v>
      </c>
      <c r="AG83" s="1">
        <f>S103*AE82</f>
        <v>223.05586240000005</v>
      </c>
      <c r="AH83">
        <f t="shared" ref="AH83:AH86" si="21">AH39</f>
        <v>185.28359561692665</v>
      </c>
      <c r="AI83" s="11">
        <f>AT52*AD79</f>
        <v>29.8943273207</v>
      </c>
      <c r="AJ83" s="11">
        <f>(AH82+AF82)/2</f>
        <v>205.35605232502661</v>
      </c>
      <c r="AK83" s="11">
        <f>AI83-AH82</f>
        <v>-175.34197907531987</v>
      </c>
      <c r="AL83" s="11">
        <f>AT7*AD79</f>
        <v>380.57828547133971</v>
      </c>
      <c r="AM83" s="10">
        <f>$AQ$52*($AE$61--1)/((1--1))+$AQ$7*($AE$61-1)/((-1-1))</f>
        <v>248.10553079694895</v>
      </c>
      <c r="AN83" s="160">
        <f>AM83*($AG$59-9)*($AG$59--9)/((0-9)*(0--9))+AY83*($AG$59-0)*($AG$59--9)/((9-0)*(9--9))+AZ83*($AG$59-0)*($AG$59-9)/((-9-0)*(-9-9))</f>
        <v>247.78915914454299</v>
      </c>
      <c r="AP83" s="174">
        <v>100</v>
      </c>
      <c r="AQ83" s="174">
        <f>AJ48</f>
        <v>252.36</v>
      </c>
      <c r="AR83" s="11">
        <f>AV83*((AU83-(100/360))-AU84)*((AU83-(100/360))-AU85)/((AU83-AU84)*(AU83-AU85))+AV84*((AU83-(100/360))-AU83)*((AU83-(100/360))-AU85)/((AU84-AU83)*(AU84-AU85))+AV85*((AU83-(100/360))-AU83)*((AU83-(100/360))-AU84)/((AU85-AU83)*(AU85-AU84))</f>
        <v>251.46703703703707</v>
      </c>
      <c r="AS83" s="174">
        <v>251.76</v>
      </c>
      <c r="AU83" s="174">
        <v>100</v>
      </c>
      <c r="AV83" s="174">
        <f>AJ48</f>
        <v>252.36</v>
      </c>
      <c r="AW83" s="11"/>
      <c r="AX83" s="174">
        <v>251.76</v>
      </c>
      <c r="AY83" s="11">
        <f>AW52</f>
        <v>257.94533629870273</v>
      </c>
      <c r="AZ83" s="11">
        <f>AZ52</f>
        <v>237.72364227162603</v>
      </c>
    </row>
    <row r="84" spans="1:52">
      <c r="A84" s="15" t="s">
        <v>128</v>
      </c>
      <c r="B84" s="7">
        <f>IF(Plan1!$B$2&gt;0,AE77,B77)</f>
        <v>14.719357556022945</v>
      </c>
      <c r="C84" s="194">
        <f t="shared" si="18"/>
        <v>-522.35518660308026</v>
      </c>
      <c r="D84" s="1">
        <f>H110*$A$79</f>
        <v>1367.7720748990387</v>
      </c>
      <c r="E84">
        <f t="shared" si="19"/>
        <v>210.75793088475257</v>
      </c>
      <c r="F84" s="11">
        <f>Q59</f>
        <v>478.27898292707459</v>
      </c>
      <c r="G84" s="11">
        <f t="shared" ref="G84:G87" si="22">(E83+C83)/2</f>
        <v>337.19609210860483</v>
      </c>
      <c r="H84" s="11">
        <f t="shared" ref="H84:H87" si="23">F84-E83</f>
        <v>213.76981616488661</v>
      </c>
      <c r="I84" s="11">
        <f>Q14</f>
        <v>50.739350597301382</v>
      </c>
      <c r="J84" s="10">
        <f>$N$59*($B$61--1)/((1--1))+$N$14*($B$61-1)/((-1-1))</f>
        <v>239.52391480123794</v>
      </c>
      <c r="K84" s="10">
        <f>J84*($B$69-9)*($B$69--9)/((0-9)*(0--9))+V84*($B$69-0)*($B$69--9)/((9-0)*(9--9))+W84*($B$69-0)*($B$69-9)/((-9-0)*(-9-9))</f>
        <v>239.38234915654712</v>
      </c>
      <c r="M84" s="10">
        <v>97.5</v>
      </c>
      <c r="N84" s="173">
        <f>G49</f>
        <v>244.32</v>
      </c>
      <c r="O84" s="11">
        <f>S86*((R84-(100/360))-R84)*((R84-(100/360))-R85)/((R86-R84)*(R86-R85))+S84*((R84-(100/360))-R86)*((R84-(100/360))-R85)/((R84-R86)*(R84-R85))+S85*((R84-(100/360))-R86)*((R84-(100/360))-R84)/((R85-R86)*(R85-R84))</f>
        <v>243.41123456790129</v>
      </c>
      <c r="P84" s="180">
        <v>243.77</v>
      </c>
      <c r="R84" s="10">
        <v>97.5</v>
      </c>
      <c r="S84" s="173">
        <f>G49</f>
        <v>244.32</v>
      </c>
      <c r="T84" s="11"/>
      <c r="U84" s="180">
        <v>243.77</v>
      </c>
      <c r="V84" s="11">
        <f>T59</f>
        <v>251.69529850883009</v>
      </c>
      <c r="W84" s="11">
        <f>W59</f>
        <v>242.07687209613323</v>
      </c>
      <c r="AB84" s="176"/>
      <c r="AF84" s="194">
        <f t="shared" si="20"/>
        <v>167.06012728411986</v>
      </c>
      <c r="AG84" s="1">
        <f>S110*AE82</f>
        <v>562.44566181640027</v>
      </c>
      <c r="AH84">
        <f t="shared" si="21"/>
        <v>166.98840576917678</v>
      </c>
      <c r="AI84" s="11">
        <f>AT59*AD79</f>
        <v>408.53166065403332</v>
      </c>
      <c r="AJ84" s="11">
        <f t="shared" ref="AJ84:AJ87" si="24">(AH83+AF83)/2</f>
        <v>185.37969693547996</v>
      </c>
      <c r="AK84" s="11">
        <f t="shared" ref="AK84:AK87" si="25">AI84-AH83</f>
        <v>223.24806503710667</v>
      </c>
      <c r="AL84" s="11">
        <f>AT14*AD79</f>
        <v>-37.964469420180045</v>
      </c>
      <c r="AM84" s="10">
        <f>$AQ$59*($AE$61--1)/((1--1))+$AQ$14*($AE$61-1)/((-1-1))</f>
        <v>239.39747226947509</v>
      </c>
      <c r="AN84" s="160">
        <f t="shared" ref="AN84:AN87" si="26">AM84*($AG$59-9)*($AG$59--9)/((0-9)*(0--9))+AY84*($AG$59-0)*($AG$59--9)/((9-0)*(9--9))+AZ84*($AG$59-0)*($AG$59-9)/((-9-0)*(-9-9))</f>
        <v>239.11343448020244</v>
      </c>
      <c r="AP84" s="10">
        <v>97.5</v>
      </c>
      <c r="AQ84" s="174">
        <f>AJ49</f>
        <v>244.27</v>
      </c>
      <c r="AR84" s="11">
        <f>AV86*((AU84-(100/360))-AU84)*((AU84-(100/360))-AU85)/((AU86-AU84)*(AU86-AU85))+AV84*((AU84-(100/360))-AU86)*((AU84-(100/360))-AU85)/((AU84-AU86)*(AU84-AU85))+AV85*((AU84-(100/360))-AU86)*((AU84-(100/360))-AU84)/((AU85-AU86)*(AU85-AU84))</f>
        <v>243.36123456790131</v>
      </c>
      <c r="AS84" s="174">
        <v>243.68</v>
      </c>
      <c r="AU84" s="10">
        <v>97.5</v>
      </c>
      <c r="AV84" s="174">
        <f>AJ49</f>
        <v>244.27</v>
      </c>
      <c r="AW84" s="11"/>
      <c r="AX84" s="174">
        <v>243.68</v>
      </c>
      <c r="AY84" s="11">
        <f>AW59</f>
        <v>248.25750526675137</v>
      </c>
      <c r="AZ84" s="11">
        <f>AZ59</f>
        <v>230.10094287312663</v>
      </c>
    </row>
    <row r="85" spans="1:52">
      <c r="C85" s="194">
        <f t="shared" si="18"/>
        <v>68.670350406275247</v>
      </c>
      <c r="D85" s="1">
        <f>H117*$A$79</f>
        <v>831.16473559285441</v>
      </c>
      <c r="E85">
        <f t="shared" si="19"/>
        <v>103.47757739953613</v>
      </c>
      <c r="F85" s="11">
        <f>Q66</f>
        <v>845.41688829595842</v>
      </c>
      <c r="G85" s="11">
        <f t="shared" si="22"/>
        <v>-155.79862785916384</v>
      </c>
      <c r="H85" s="11">
        <f t="shared" si="23"/>
        <v>634.65895741120585</v>
      </c>
      <c r="I85" s="11">
        <f>Q21</f>
        <v>-423.90102652645328</v>
      </c>
      <c r="J85" s="10">
        <f>$N$66*($B$61--1)/((1--1))+$N$21*($B$61-1)/((-1-1))</f>
        <v>230.48753035656276</v>
      </c>
      <c r="K85" s="10">
        <f t="shared" ref="K85:K87" si="27">J85*($B$69-9)*($B$69--9)/((0-9)*(0--9))+V85*($B$69-0)*($B$69--9)/((9-0)*(9--9))+W85*($B$69-0)*($B$69-9)/((-9-0)*(-9-9))</f>
        <v>230.42974040219173</v>
      </c>
      <c r="M85" s="10">
        <v>95</v>
      </c>
      <c r="N85" s="173">
        <f>G50</f>
        <v>236.11</v>
      </c>
      <c r="O85" s="10">
        <f>S86*((R85-(100/360))-R87)*((R85-(100/360))-R85)/((R86-R87)*(R86-R85))+S87*((R85-(100/360))-R86)*((R85-(100/360))-R85)/((R87-R86)*(R87-R85))+S85*((R85-(100/360))-R86)*((R85-(100/360))-R87)/((R85-R86)*(R85-R87))</f>
        <v>235.19000000000005</v>
      </c>
      <c r="P85" s="180">
        <v>235.57</v>
      </c>
      <c r="R85" s="10">
        <v>95</v>
      </c>
      <c r="S85" s="173">
        <f>G50</f>
        <v>236.11</v>
      </c>
      <c r="T85" s="10"/>
      <c r="U85" s="180">
        <v>235.57</v>
      </c>
      <c r="V85" s="11">
        <f>T66</f>
        <v>238.8210321272436</v>
      </c>
      <c r="W85" s="11">
        <f>W66</f>
        <v>234.69289261251288</v>
      </c>
      <c r="AB85" s="176"/>
      <c r="AF85" s="194">
        <f t="shared" si="20"/>
        <v>150.90398057514676</v>
      </c>
      <c r="AG85" s="1">
        <f>S117*AE82</f>
        <v>845.44537218304004</v>
      </c>
      <c r="AH85">
        <f t="shared" si="21"/>
        <v>149.62719656052286</v>
      </c>
      <c r="AI85" s="11">
        <f>AT66*AD79</f>
        <v>729.50578910052013</v>
      </c>
      <c r="AJ85" s="11">
        <f t="shared" si="24"/>
        <v>167.02426652664832</v>
      </c>
      <c r="AK85" s="11">
        <f t="shared" si="25"/>
        <v>562.51738333134335</v>
      </c>
      <c r="AL85" s="11">
        <f>AT21*AD79</f>
        <v>-395.52897756216657</v>
      </c>
      <c r="AM85" s="10">
        <f>$AQ$66*($AE$61--1)/((1--1))+$AQ$21*($AE$61-1)/((-1-1))</f>
        <v>230.50859957366976</v>
      </c>
      <c r="AN85" s="160">
        <f t="shared" si="26"/>
        <v>230.25352099592001</v>
      </c>
      <c r="AP85" s="10">
        <v>95</v>
      </c>
      <c r="AQ85" s="174">
        <f>AJ50</f>
        <v>236.06</v>
      </c>
      <c r="AR85" s="10">
        <f>AV86*((AU85-(100/360))-AU87)*((AU85-(100/360))-AU85)/((AU86-AU87)*(AU86-AU85))+AV87*((AU85-(100/360))-AU86)*((AU85-(100/360))-AU85)/((AU87-AU86)*(AU87-AU85))+AV85*((AU85-(100/360))-AU86)*((AU85-(100/360))-AU87)/((AU85-AU86)*(AU85-AU87))</f>
        <v>235.13950617283953</v>
      </c>
      <c r="AS85" s="174">
        <v>235.49</v>
      </c>
      <c r="AU85" s="10">
        <v>95</v>
      </c>
      <c r="AV85" s="174">
        <f>AJ50</f>
        <v>236.06</v>
      </c>
      <c r="AW85" s="10"/>
      <c r="AX85" s="10">
        <v>235.49</v>
      </c>
      <c r="AY85" s="11">
        <f>AW66</f>
        <v>238.48053453340555</v>
      </c>
      <c r="AZ85" s="11">
        <f>AZ66</f>
        <v>222.17420983335364</v>
      </c>
    </row>
    <row r="86" spans="1:52">
      <c r="C86" s="194">
        <f t="shared" si="18"/>
        <v>376.78149714653409</v>
      </c>
      <c r="D86" s="1">
        <f>H124*$A$79</f>
        <v>1027.9757762098379</v>
      </c>
      <c r="E86">
        <f t="shared" si="19"/>
        <v>231.12733774485059</v>
      </c>
      <c r="F86" s="11">
        <f>Q73</f>
        <v>899.83508599912966</v>
      </c>
      <c r="G86" s="11">
        <f t="shared" si="22"/>
        <v>86.073963902905689</v>
      </c>
      <c r="H86" s="11">
        <f t="shared" si="23"/>
        <v>796.35750859959353</v>
      </c>
      <c r="I86" s="11">
        <f>Q28</f>
        <v>-692.8799312000574</v>
      </c>
      <c r="J86" s="10">
        <f>$N$73*($B$61--1)/((1--1))+$N$28*($B$61-1)/((-1-1))</f>
        <v>221.82347942705505</v>
      </c>
      <c r="K86" s="10">
        <f t="shared" si="27"/>
        <v>221.79821191710954</v>
      </c>
      <c r="M86" s="10">
        <v>92.5</v>
      </c>
      <c r="N86" s="173">
        <f>G51</f>
        <v>227.83</v>
      </c>
      <c r="O86" s="10">
        <f>S86*((R86-(100/360))-R87)*((R86-(100/360))-R85)/((R86-R87)*(R86-R85))+S87*((R86-(100/360))-R86)*((R86-(100/360))-R85)/((R87-R86)*(R87-R85))+S85*((R86-(100/360))-R86)*((R86-(100/360))-R87)/((R85-R86)*(R85-R87))</f>
        <v>226.91000000000003</v>
      </c>
      <c r="P86" s="180">
        <v>227.32</v>
      </c>
      <c r="R86" s="10">
        <v>92.5</v>
      </c>
      <c r="S86" s="173">
        <f>G51</f>
        <v>227.83</v>
      </c>
      <c r="T86" s="10"/>
      <c r="U86" s="180">
        <v>227.32</v>
      </c>
      <c r="V86" s="11">
        <f>T73</f>
        <v>228.48726238391282</v>
      </c>
      <c r="W86" s="11">
        <f>W73</f>
        <v>226.50127855996834</v>
      </c>
      <c r="AB86" s="176"/>
      <c r="AF86" s="194">
        <f t="shared" si="20"/>
        <v>134.57383847566689</v>
      </c>
      <c r="AG86" s="1">
        <f>S124*AE82</f>
        <v>1079.8260927243334</v>
      </c>
      <c r="AH86">
        <f t="shared" si="21"/>
        <v>134.2479199877472</v>
      </c>
      <c r="AI86" s="11">
        <f>AT73*AD79</f>
        <v>996.3493527581868</v>
      </c>
      <c r="AJ86" s="11">
        <f t="shared" si="24"/>
        <v>150.26558856783481</v>
      </c>
      <c r="AK86" s="11">
        <f t="shared" si="25"/>
        <v>846.72215619766394</v>
      </c>
      <c r="AL86" s="11">
        <f>AT28*AD79</f>
        <v>-697.09495963714107</v>
      </c>
      <c r="AM86" s="10">
        <f>$AQ$73*($AE$61--1)/((1--1))+$AQ$28*($AE$61-1)/((-1-1))</f>
        <v>221.50606703608193</v>
      </c>
      <c r="AN86" s="160">
        <f t="shared" si="26"/>
        <v>221.2770677189886</v>
      </c>
      <c r="AP86" s="10">
        <v>92.5</v>
      </c>
      <c r="AQ86" s="174">
        <f>AJ51</f>
        <v>227.78</v>
      </c>
      <c r="AR86" s="10">
        <f>AV86*((AU86-(100/360))-AU87)*((AU86-(100/360))-AU85)/((AU86-AU87)*(AU86-AU85))+AV87*((AU86-(100/360))-AU86)*((AU86-(100/360))-AU85)/((AU87-AU86)*(AU87-AU85))+AV85*((AU86-(100/360))-AU86)*((AU86-(100/360))-AU87)/((AU85-AU86)*(AU85-AU87))</f>
        <v>226.86061728395063</v>
      </c>
      <c r="AS86" s="174">
        <v>227.24</v>
      </c>
      <c r="AU86" s="10">
        <v>92.5</v>
      </c>
      <c r="AV86" s="174">
        <f>AJ51</f>
        <v>227.78</v>
      </c>
      <c r="AW86" s="10"/>
      <c r="AX86" s="10">
        <v>227.24</v>
      </c>
      <c r="AY86" s="11">
        <f>AW73</f>
        <v>228.67357595150733</v>
      </c>
      <c r="AZ86" s="11">
        <f>AZ73</f>
        <v>214.03376735900559</v>
      </c>
    </row>
    <row r="87" spans="1:52">
      <c r="F87" s="11">
        <f>Q80</f>
        <v>1404.757273356372</v>
      </c>
      <c r="G87" s="11">
        <f t="shared" si="22"/>
        <v>303.95441744569234</v>
      </c>
      <c r="H87" s="11">
        <f t="shared" si="23"/>
        <v>1173.6299356115214</v>
      </c>
      <c r="I87" s="11">
        <f>Q35</f>
        <v>-942.50259786667084</v>
      </c>
      <c r="J87" s="10">
        <f>$N$80*($B$61--1)/((1--1))+$N$35*($B$61-1)/((-1-1))</f>
        <v>212.61796135538535</v>
      </c>
      <c r="K87" s="10">
        <f t="shared" si="27"/>
        <v>212.61262692631814</v>
      </c>
      <c r="M87" s="10">
        <v>90</v>
      </c>
      <c r="N87" s="173">
        <f>G52</f>
        <v>219.55</v>
      </c>
      <c r="O87" s="10">
        <f>S86*((R87-(100/360))-R87)*((R87-(100/360))-R85)/((R86-R87)*(R86-R85))+S87*((R87-(100/360))-R86)*((R87-(100/360))-R85)/((R87-R86)*(R87-R85))+S85*((R87-(100/360))-R86)*((R87-(100/360))-R87)/((R85-R86)*(R85-R87))</f>
        <v>218.63000000000002</v>
      </c>
      <c r="P87" s="180">
        <v>219.06</v>
      </c>
      <c r="R87" s="10">
        <v>90</v>
      </c>
      <c r="S87" s="173">
        <f>G52</f>
        <v>219.55</v>
      </c>
      <c r="T87" s="10"/>
      <c r="U87" s="180">
        <v>219.06</v>
      </c>
      <c r="V87" s="11">
        <f>T80</f>
        <v>218.96487188088031</v>
      </c>
      <c r="W87" s="11">
        <f>W80</f>
        <v>218.24947000514658</v>
      </c>
      <c r="AB87" s="176"/>
      <c r="AG87" s="1"/>
      <c r="AI87" s="11">
        <f>AT80*AD79</f>
        <v>1214.3999312000003</v>
      </c>
      <c r="AJ87" s="11">
        <f t="shared" si="24"/>
        <v>134.41087923170704</v>
      </c>
      <c r="AK87" s="11">
        <f t="shared" si="25"/>
        <v>1080.152011212253</v>
      </c>
      <c r="AL87" s="11">
        <f>AT35*AD79</f>
        <v>-945.90409122450592</v>
      </c>
      <c r="AM87" s="10">
        <f>$AQ$80*($AE$61--1)/((1--1))+$AQ$35*($AE$61-1)/((-1-1))</f>
        <v>212.43735490464996</v>
      </c>
      <c r="AN87" s="160">
        <f t="shared" si="26"/>
        <v>212.23198484315361</v>
      </c>
      <c r="AP87" s="10">
        <v>90</v>
      </c>
      <c r="AQ87" s="174">
        <f>AJ52</f>
        <v>219.51</v>
      </c>
      <c r="AR87" s="10">
        <f>AV86*((AU87-(100/360))-AU87)*((AU87-(100/360))-AU85)/((AU86-AU87)*(AU86-AU85))+AV87*((AU87-(100/360))-AU86)*((AU87-(100/360))-AU85)/((AU87-AU86)*(AU87-AU85))+AV85*((AU87-(100/360))-AU86)*((AU87-(100/360))-AU87)/((AU85-AU86)*(AU85-AU87))</f>
        <v>218.59172839506178</v>
      </c>
      <c r="AS87" s="174">
        <v>218.99</v>
      </c>
      <c r="AU87" s="10">
        <v>90</v>
      </c>
      <c r="AV87" s="174">
        <f>AJ52</f>
        <v>219.51</v>
      </c>
      <c r="AW87" s="10"/>
      <c r="AX87" s="10">
        <v>218.99</v>
      </c>
      <c r="AY87" s="11">
        <f>AW80</f>
        <v>218.8818155132351</v>
      </c>
      <c r="AZ87" s="11">
        <f>AZ80</f>
        <v>205.7516108311811</v>
      </c>
    </row>
    <row r="89" spans="1:52">
      <c r="B89" s="271" t="s">
        <v>206</v>
      </c>
      <c r="C89" s="271"/>
      <c r="D89" s="271"/>
      <c r="M89" s="271" t="s">
        <v>206</v>
      </c>
      <c r="N89" s="271"/>
      <c r="O89" s="271"/>
    </row>
    <row r="90" spans="1:52">
      <c r="B90" s="182" t="s">
        <v>208</v>
      </c>
      <c r="C90" s="269" t="s">
        <v>7</v>
      </c>
      <c r="D90" s="270"/>
      <c r="F90" s="1">
        <v>100</v>
      </c>
      <c r="G90" s="1"/>
      <c r="H90" s="1" t="s">
        <v>13</v>
      </c>
      <c r="M90" s="182" t="s">
        <v>208</v>
      </c>
      <c r="N90" s="271" t="s">
        <v>7</v>
      </c>
      <c r="O90" s="271"/>
      <c r="Q90" s="1">
        <v>100</v>
      </c>
      <c r="R90" s="1"/>
      <c r="S90" s="1" t="s">
        <v>13</v>
      </c>
    </row>
    <row r="91" spans="1:52">
      <c r="B91" s="163">
        <v>100</v>
      </c>
      <c r="C91" s="272">
        <v>390</v>
      </c>
      <c r="D91" s="272"/>
      <c r="F91" s="179" t="s">
        <v>10</v>
      </c>
      <c r="G91" s="179">
        <v>0</v>
      </c>
      <c r="H91" s="179">
        <f>C91</f>
        <v>390</v>
      </c>
      <c r="J91">
        <v>513</v>
      </c>
      <c r="K91" s="273">
        <f>(630-J91)*4/1.2</f>
        <v>390</v>
      </c>
      <c r="L91" s="274"/>
      <c r="M91" s="163">
        <v>100</v>
      </c>
      <c r="N91" s="272">
        <v>390</v>
      </c>
      <c r="O91" s="272"/>
      <c r="Q91" s="179" t="s">
        <v>27</v>
      </c>
      <c r="R91" s="179">
        <v>0</v>
      </c>
      <c r="S91" s="179">
        <f>N91</f>
        <v>390</v>
      </c>
      <c r="U91">
        <v>513</v>
      </c>
      <c r="V91" s="273">
        <f>(630-U91)*4/1.2</f>
        <v>390</v>
      </c>
      <c r="W91" s="274"/>
    </row>
    <row r="92" spans="1:52">
      <c r="B92" s="163">
        <v>97.5</v>
      </c>
      <c r="C92" s="272">
        <v>-16.666666666666668</v>
      </c>
      <c r="D92" s="272"/>
      <c r="F92" s="179" t="s">
        <v>10</v>
      </c>
      <c r="G92" s="179">
        <v>-2.5</v>
      </c>
      <c r="H92" s="179">
        <f>C99</f>
        <v>476.66666666666669</v>
      </c>
      <c r="J92">
        <v>635</v>
      </c>
      <c r="K92" s="273">
        <f t="shared" ref="K92:K95" si="28">(630-J92)*4/1.2</f>
        <v>-16.666666666666668</v>
      </c>
      <c r="L92" s="274"/>
      <c r="M92" s="163">
        <v>97.5</v>
      </c>
      <c r="N92" s="272">
        <v>-16.666666666666668</v>
      </c>
      <c r="O92" s="272"/>
      <c r="Q92" s="179" t="s">
        <v>27</v>
      </c>
      <c r="R92" s="179">
        <v>2.5</v>
      </c>
      <c r="S92" s="179">
        <f>N99</f>
        <v>303.33333333333337</v>
      </c>
      <c r="U92">
        <v>635</v>
      </c>
      <c r="V92" s="273">
        <f t="shared" ref="V92:V95" si="29">(630-U92)*4/1.2</f>
        <v>-16.666666666666668</v>
      </c>
      <c r="W92" s="274"/>
    </row>
    <row r="93" spans="1:52">
      <c r="B93" s="163">
        <v>95</v>
      </c>
      <c r="C93" s="272">
        <v>-396.66666666666669</v>
      </c>
      <c r="D93" s="272"/>
      <c r="F93" s="179" t="s">
        <v>10</v>
      </c>
      <c r="G93" s="179">
        <v>-5</v>
      </c>
      <c r="H93" s="179">
        <f>C107</f>
        <v>560</v>
      </c>
      <c r="J93">
        <v>749</v>
      </c>
      <c r="K93" s="273">
        <f t="shared" si="28"/>
        <v>-396.66666666666669</v>
      </c>
      <c r="L93" s="274"/>
      <c r="M93" s="163">
        <v>95</v>
      </c>
      <c r="N93" s="272">
        <v>-396.66666666666669</v>
      </c>
      <c r="O93" s="272"/>
      <c r="Q93" s="179" t="s">
        <v>27</v>
      </c>
      <c r="R93" s="179">
        <v>5</v>
      </c>
      <c r="S93" s="179">
        <f>N107</f>
        <v>213.33333333333334</v>
      </c>
      <c r="U93">
        <v>749</v>
      </c>
      <c r="V93" s="273">
        <f t="shared" si="29"/>
        <v>-396.66666666666669</v>
      </c>
      <c r="W93" s="274"/>
    </row>
    <row r="94" spans="1:52">
      <c r="B94" s="183">
        <v>92.5</v>
      </c>
      <c r="C94" s="272">
        <v>-660</v>
      </c>
      <c r="D94" s="272"/>
      <c r="F94" s="179" t="s">
        <v>10</v>
      </c>
      <c r="G94" s="179">
        <v>-7.5</v>
      </c>
      <c r="H94" s="179">
        <f>C115</f>
        <v>643.33333333333337</v>
      </c>
      <c r="J94">
        <v>828</v>
      </c>
      <c r="K94" s="273">
        <f t="shared" si="28"/>
        <v>-660</v>
      </c>
      <c r="L94" s="274"/>
      <c r="M94" s="183">
        <v>92.5</v>
      </c>
      <c r="N94" s="272">
        <v>-660</v>
      </c>
      <c r="O94" s="272"/>
      <c r="Q94" s="179" t="s">
        <v>27</v>
      </c>
      <c r="R94" s="179">
        <v>7.5</v>
      </c>
      <c r="S94" s="179">
        <f>N115</f>
        <v>120</v>
      </c>
      <c r="U94">
        <v>828</v>
      </c>
      <c r="V94" s="273">
        <f t="shared" si="29"/>
        <v>-660</v>
      </c>
      <c r="W94" s="274"/>
    </row>
    <row r="95" spans="1:52">
      <c r="B95" s="183">
        <v>90</v>
      </c>
      <c r="C95" s="272">
        <v>-906.66666666666674</v>
      </c>
      <c r="D95" s="272"/>
      <c r="F95" s="179" t="s">
        <v>10</v>
      </c>
      <c r="G95" s="179">
        <v>-10</v>
      </c>
      <c r="H95" s="179">
        <f>C123</f>
        <v>723.33333333333337</v>
      </c>
      <c r="J95">
        <v>902</v>
      </c>
      <c r="K95" s="273">
        <f t="shared" si="28"/>
        <v>-906.66666666666674</v>
      </c>
      <c r="L95" s="274"/>
      <c r="M95" s="183">
        <v>90</v>
      </c>
      <c r="N95" s="272">
        <v>-906.66666666666674</v>
      </c>
      <c r="O95" s="272"/>
      <c r="Q95" s="179" t="s">
        <v>27</v>
      </c>
      <c r="R95" s="179">
        <v>10</v>
      </c>
      <c r="S95" s="179">
        <f>N123</f>
        <v>23.333333333333336</v>
      </c>
      <c r="U95">
        <v>902</v>
      </c>
      <c r="V95" s="273">
        <f t="shared" si="29"/>
        <v>-906.66666666666674</v>
      </c>
      <c r="W95" s="274"/>
    </row>
    <row r="96" spans="1:52">
      <c r="F96" s="179" t="s">
        <v>10</v>
      </c>
      <c r="G96" s="9">
        <f>$B$2</f>
        <v>6.0220000000000002</v>
      </c>
      <c r="H96" s="179">
        <f>H91*(G96-G93)*(G96-G95)*(G96-G92)*(G96-G94)/((G91-G93)*(G91-G95)*(G91-G92)*(G91-G94))+H93*(G96-G91)*(G96-G95)*(G96-G92)*(G96-G94)/((G93-G91)*(G93-G95)*(G93-G92)*(G93-G94))+H95*(G96-G91)*(G96-G93)*(G96-G92)*(G96-G94)/((G95-G91)*(G95-G93)*(G95-G92)*(G95-G94))+H92*(G96-G93)*(G96-G95)*(G96-G91)*(G96-G94)/((G92-G93)*(G92-G95)*(G92-G91)*(G92-G94))+H94*(G96-G93)*(G96-G95)*(G96-G91)*(G96-G92)/((G94-G93)*(G94-G95)*(G94-G91)*(G94-G92))</f>
        <v>93.050120336018153</v>
      </c>
      <c r="K96" s="1"/>
      <c r="L96" s="184"/>
      <c r="O96" s="1"/>
      <c r="Q96" s="179" t="s">
        <v>28</v>
      </c>
      <c r="R96" s="9">
        <f>$B$2</f>
        <v>6.0220000000000002</v>
      </c>
      <c r="S96" s="179">
        <f>S91*(R96-R93)*(R96-R95)*(R96-R92)*(R96-R94)/((R91-R93)*(R91-R95)*(R91-R92)*(R91-R94))+S93*(R96-R91)*(R96-R95)*(R96-R92)*(R96-R94)/((R93-R91)*(R93-R95)*(R93-R92)*(R93-R94))+S95*(R96-R91)*(R96-R93)*(R96-R92)*(R96-R94)/((R95-R91)*(R95-R93)*(R95-R92)*(R95-R94))+S92*(R96-R93)*(R96-R95)*(R96-R91)*(R96-R94)/((R92-R93)*(R92-R95)*(R92-R91)*(R92-R94))+S94*(R96-R93)*(R96-R95)*(R96-R91)*(R96-R92)/((R94-R93)*(R94-R95)*(R94-R91)*(R94-R92))</f>
        <v>175.58147093333332</v>
      </c>
    </row>
    <row r="97" spans="2:23">
      <c r="B97" s="271" t="s">
        <v>206</v>
      </c>
      <c r="C97" s="271"/>
      <c r="D97" s="271"/>
      <c r="F97" s="1">
        <v>97.5</v>
      </c>
      <c r="G97" s="1"/>
      <c r="H97" s="1" t="s">
        <v>13</v>
      </c>
      <c r="K97" s="1"/>
      <c r="L97" s="184"/>
      <c r="M97" s="271" t="s">
        <v>206</v>
      </c>
      <c r="N97" s="271"/>
      <c r="O97" s="271"/>
      <c r="Q97" s="1">
        <v>97.5</v>
      </c>
      <c r="R97" s="1"/>
      <c r="S97" s="1" t="s">
        <v>13</v>
      </c>
    </row>
    <row r="98" spans="2:23">
      <c r="B98" s="182" t="s">
        <v>207</v>
      </c>
      <c r="C98" s="271" t="s">
        <v>7</v>
      </c>
      <c r="D98" s="271"/>
      <c r="F98" s="179" t="s">
        <v>10</v>
      </c>
      <c r="G98" s="179">
        <v>0</v>
      </c>
      <c r="H98" s="179">
        <f>C92</f>
        <v>-16.666666666666668</v>
      </c>
      <c r="J98">
        <v>487</v>
      </c>
      <c r="K98" s="273">
        <f>(630-J98)*4/1.2</f>
        <v>476.66666666666669</v>
      </c>
      <c r="L98" s="274"/>
      <c r="M98" s="182" t="s">
        <v>212</v>
      </c>
      <c r="N98" s="271" t="s">
        <v>7</v>
      </c>
      <c r="O98" s="271"/>
      <c r="Q98" s="179" t="s">
        <v>27</v>
      </c>
      <c r="R98" s="179">
        <v>0</v>
      </c>
      <c r="S98" s="179">
        <f>N92</f>
        <v>-16.666666666666668</v>
      </c>
      <c r="U98">
        <v>539</v>
      </c>
      <c r="V98" s="273">
        <f>(630-U98)*4/1.2</f>
        <v>303.33333333333337</v>
      </c>
      <c r="W98" s="274"/>
    </row>
    <row r="99" spans="2:23">
      <c r="B99" s="163">
        <v>100</v>
      </c>
      <c r="C99" s="272">
        <v>476.66666666666669</v>
      </c>
      <c r="D99" s="272"/>
      <c r="F99" s="179" t="s">
        <v>10</v>
      </c>
      <c r="G99" s="179">
        <v>-2.5</v>
      </c>
      <c r="H99" s="179">
        <f>C100</f>
        <v>66.666666666666671</v>
      </c>
      <c r="J99">
        <v>610</v>
      </c>
      <c r="K99" s="273">
        <f t="shared" ref="K99:K102" si="30">(630-J99)*4/1.2</f>
        <v>66.666666666666671</v>
      </c>
      <c r="L99" s="274"/>
      <c r="M99" s="163">
        <v>100</v>
      </c>
      <c r="N99" s="272">
        <v>303.33333333333337</v>
      </c>
      <c r="O99" s="272"/>
      <c r="Q99" s="179" t="s">
        <v>27</v>
      </c>
      <c r="R99" s="179">
        <v>2.5</v>
      </c>
      <c r="S99" s="179">
        <f>N100</f>
        <v>-100</v>
      </c>
      <c r="U99">
        <v>660</v>
      </c>
      <c r="V99" s="273">
        <f t="shared" ref="V99:V102" si="31">(630-U99)*4/1.2</f>
        <v>-100</v>
      </c>
      <c r="W99" s="274"/>
    </row>
    <row r="100" spans="2:23">
      <c r="B100" s="163">
        <v>97.5</v>
      </c>
      <c r="C100" s="272">
        <v>66.666666666666671</v>
      </c>
      <c r="D100" s="272"/>
      <c r="F100" s="179" t="s">
        <v>10</v>
      </c>
      <c r="G100" s="179">
        <v>-5</v>
      </c>
      <c r="H100" s="179">
        <f>C108</f>
        <v>150</v>
      </c>
      <c r="J100">
        <v>715</v>
      </c>
      <c r="K100" s="273">
        <f t="shared" si="30"/>
        <v>-283.33333333333337</v>
      </c>
      <c r="L100" s="274"/>
      <c r="M100" s="163">
        <v>97.5</v>
      </c>
      <c r="N100" s="272">
        <v>-100</v>
      </c>
      <c r="O100" s="272"/>
      <c r="Q100" s="179" t="s">
        <v>27</v>
      </c>
      <c r="R100" s="179">
        <v>5</v>
      </c>
      <c r="S100" s="179">
        <f>N108</f>
        <v>-186.66666666666669</v>
      </c>
      <c r="U100">
        <v>763</v>
      </c>
      <c r="V100" s="273">
        <f t="shared" si="31"/>
        <v>-443.33333333333337</v>
      </c>
      <c r="W100" s="274"/>
    </row>
    <row r="101" spans="2:23">
      <c r="B101" s="163">
        <v>95</v>
      </c>
      <c r="C101" s="272">
        <v>-283.33333333333337</v>
      </c>
      <c r="D101" s="272"/>
      <c r="F101" s="179" t="s">
        <v>10</v>
      </c>
      <c r="G101" s="179">
        <v>-7.5</v>
      </c>
      <c r="H101" s="179">
        <f>C116</f>
        <v>226.66666666666669</v>
      </c>
      <c r="J101">
        <v>805</v>
      </c>
      <c r="K101" s="273">
        <f t="shared" si="30"/>
        <v>-583.33333333333337</v>
      </c>
      <c r="L101" s="274"/>
      <c r="M101" s="163">
        <v>95</v>
      </c>
      <c r="N101" s="272">
        <v>-443.33333333333337</v>
      </c>
      <c r="O101" s="272"/>
      <c r="Q101" s="179" t="s">
        <v>27</v>
      </c>
      <c r="R101" s="179">
        <v>7.5</v>
      </c>
      <c r="S101" s="179">
        <f>N116</f>
        <v>-276.66666666666669</v>
      </c>
      <c r="U101">
        <v>851</v>
      </c>
      <c r="V101" s="273">
        <f t="shared" si="31"/>
        <v>-736.66666666666674</v>
      </c>
      <c r="W101" s="274"/>
    </row>
    <row r="102" spans="2:23">
      <c r="B102" s="183">
        <v>92.5</v>
      </c>
      <c r="C102" s="272">
        <v>-583.33333333333337</v>
      </c>
      <c r="D102" s="272"/>
      <c r="F102" s="179" t="s">
        <v>10</v>
      </c>
      <c r="G102" s="179">
        <v>-10</v>
      </c>
      <c r="H102" s="179">
        <f>C124</f>
        <v>303.33333333333337</v>
      </c>
      <c r="J102">
        <v>881</v>
      </c>
      <c r="K102" s="273">
        <f t="shared" si="30"/>
        <v>-836.66666666666674</v>
      </c>
      <c r="L102" s="274"/>
      <c r="M102" s="183">
        <v>92.5</v>
      </c>
      <c r="N102" s="272">
        <v>-736.66666666666674</v>
      </c>
      <c r="O102" s="272"/>
      <c r="Q102" s="179" t="s">
        <v>27</v>
      </c>
      <c r="R102" s="179">
        <v>10</v>
      </c>
      <c r="S102" s="179">
        <f>N124</f>
        <v>-370</v>
      </c>
      <c r="U102">
        <v>923</v>
      </c>
      <c r="V102" s="273">
        <f t="shared" si="31"/>
        <v>-976.66666666666674</v>
      </c>
      <c r="W102" s="274"/>
    </row>
    <row r="103" spans="2:23">
      <c r="B103" s="183">
        <v>90</v>
      </c>
      <c r="C103" s="272">
        <v>-836.66666666666674</v>
      </c>
      <c r="D103" s="272"/>
      <c r="F103" s="179" t="s">
        <v>11</v>
      </c>
      <c r="G103" s="9">
        <f>$B$2</f>
        <v>6.0220000000000002</v>
      </c>
      <c r="H103" s="179">
        <f>H98*(G103-G100)*(G103-G102)*(G103-G99)*(G103-G101)/((G98-G100)*(G98-G102)*(G98-G99)*(G98-G101))+H100*(G103-G98)*(G103-G102)*(G103-G99)*(G103-G101)/((G100-G98)*(G100-G102)*(G100-G99)*(G100-G101))+H102*(G103-G98)*(G103-G100)*(G103-G99)*(G103-G101)/((G102-G98)*(G102-G100)*(G102-G99)*(G102-G101))+H99*(G103-G100)*(G103-G102)*(G103-G98)*(G103-G101)/((G99-G100)*(G99-G102)*(G99-G98)*(G99-G101))+H101*(G103-G100)*(G103-G102)*(G103-G98)*(G103-G99)/((G101-G100)*(G101-G102)*(G101-G98)*(G101-G99))</f>
        <v>-68.395965472052922</v>
      </c>
      <c r="K103" s="1"/>
      <c r="L103" s="184"/>
      <c r="M103" s="183">
        <v>90</v>
      </c>
      <c r="N103" s="272">
        <v>-976.66666666666674</v>
      </c>
      <c r="O103" s="272"/>
      <c r="Q103" s="179" t="s">
        <v>28</v>
      </c>
      <c r="R103" s="9">
        <f>$B$2</f>
        <v>6.0220000000000002</v>
      </c>
      <c r="S103" s="179">
        <f>S98*(R103-R100)*(R103-R102)*(R103-R99)*(R103-R101)/((R98-R100)*(R98-R102)*(R98-R99)*(R98-R101))+S100*(R103-R98)*(R103-R102)*(R103-R99)*(R103-R101)/((R100-R98)*(R100-R102)*(R100-R99)*(R100-R101))+S102*(R103-R98)*(R103-R100)*(R103-R99)*(R103-R101)/((R102-R98)*(R102-R100)*(R102-R99)*(R102-R101))+S99*(R103-R100)*(R103-R102)*(R103-R98)*(R103-R101)/((R99-R100)*(R99-R102)*(R99-R98)*(R99-R101))+S101*(R103-R100)*(R103-R102)*(R103-R98)*(R103-R99)/((R101-R100)*(R101-R102)*(R101-R98)*(R101-R99))</f>
        <v>-223.05586240000005</v>
      </c>
    </row>
    <row r="104" spans="2:23">
      <c r="F104" s="1">
        <v>95</v>
      </c>
      <c r="G104" s="1"/>
      <c r="H104" s="1" t="s">
        <v>13</v>
      </c>
      <c r="K104" s="1"/>
      <c r="L104" s="184"/>
      <c r="O104" s="1"/>
      <c r="Q104" s="1">
        <v>95</v>
      </c>
      <c r="R104" s="1"/>
      <c r="S104" s="1" t="s">
        <v>13</v>
      </c>
    </row>
    <row r="105" spans="2:23">
      <c r="B105" s="271" t="s">
        <v>206</v>
      </c>
      <c r="C105" s="271"/>
      <c r="D105" s="271"/>
      <c r="F105" s="179" t="s">
        <v>10</v>
      </c>
      <c r="G105" s="179">
        <v>0</v>
      </c>
      <c r="H105" s="179">
        <f>C93</f>
        <v>-396.66666666666669</v>
      </c>
      <c r="J105">
        <v>462</v>
      </c>
      <c r="K105" s="273">
        <f>(630-J105)*4/1.2</f>
        <v>560</v>
      </c>
      <c r="L105" s="274"/>
      <c r="M105" s="271" t="s">
        <v>206</v>
      </c>
      <c r="N105" s="271"/>
      <c r="O105" s="271"/>
      <c r="Q105" s="179" t="s">
        <v>27</v>
      </c>
      <c r="R105" s="179">
        <v>0</v>
      </c>
      <c r="S105" s="179">
        <f>N93</f>
        <v>-396.66666666666669</v>
      </c>
      <c r="U105">
        <v>566</v>
      </c>
      <c r="V105" s="273">
        <f>(630-U105)*4/1.2</f>
        <v>213.33333333333334</v>
      </c>
      <c r="W105" s="274"/>
    </row>
    <row r="106" spans="2:23">
      <c r="B106" s="182" t="s">
        <v>209</v>
      </c>
      <c r="C106" s="271" t="s">
        <v>7</v>
      </c>
      <c r="D106" s="271"/>
      <c r="F106" s="179" t="s">
        <v>10</v>
      </c>
      <c r="G106" s="179">
        <v>-2.5</v>
      </c>
      <c r="H106" s="179">
        <f>C101</f>
        <v>-283.33333333333337</v>
      </c>
      <c r="J106">
        <v>585</v>
      </c>
      <c r="K106" s="273">
        <f t="shared" ref="K106:K109" si="32">(630-J106)*4/1.2</f>
        <v>150</v>
      </c>
      <c r="L106" s="274"/>
      <c r="M106" s="182" t="s">
        <v>213</v>
      </c>
      <c r="N106" s="271" t="s">
        <v>7</v>
      </c>
      <c r="O106" s="271"/>
      <c r="Q106" s="179" t="s">
        <v>27</v>
      </c>
      <c r="R106" s="179">
        <v>2.5</v>
      </c>
      <c r="S106" s="179">
        <f>N101</f>
        <v>-443.33333333333337</v>
      </c>
      <c r="U106">
        <v>686</v>
      </c>
      <c r="V106" s="273">
        <f t="shared" ref="V106:V109" si="33">(630-U106)*4/1.2</f>
        <v>-186.66666666666669</v>
      </c>
      <c r="W106" s="274"/>
    </row>
    <row r="107" spans="2:23">
      <c r="B107" s="163">
        <v>100</v>
      </c>
      <c r="C107" s="272">
        <v>560</v>
      </c>
      <c r="D107" s="272"/>
      <c r="F107" s="179" t="s">
        <v>10</v>
      </c>
      <c r="G107" s="179">
        <v>-5</v>
      </c>
      <c r="H107" s="179">
        <f>C109</f>
        <v>-206.66666666666669</v>
      </c>
      <c r="J107">
        <v>692</v>
      </c>
      <c r="K107" s="273">
        <f t="shared" si="32"/>
        <v>-206.66666666666669</v>
      </c>
      <c r="L107" s="274"/>
      <c r="M107" s="163">
        <v>100</v>
      </c>
      <c r="N107" s="272">
        <v>213.33333333333334</v>
      </c>
      <c r="O107" s="272"/>
      <c r="Q107" s="179" t="s">
        <v>27</v>
      </c>
      <c r="R107" s="179">
        <v>5</v>
      </c>
      <c r="S107" s="179">
        <f>N109</f>
        <v>-526.66666666666674</v>
      </c>
      <c r="U107">
        <v>788</v>
      </c>
      <c r="V107" s="273">
        <f t="shared" si="33"/>
        <v>-526.66666666666674</v>
      </c>
      <c r="W107" s="274"/>
    </row>
    <row r="108" spans="2:23">
      <c r="B108" s="163">
        <v>97.5</v>
      </c>
      <c r="C108" s="272">
        <v>150</v>
      </c>
      <c r="D108" s="272"/>
      <c r="F108" s="179" t="s">
        <v>10</v>
      </c>
      <c r="G108" s="179">
        <v>-7.5</v>
      </c>
      <c r="H108" s="179">
        <f>C117</f>
        <v>-130</v>
      </c>
      <c r="J108">
        <v>783</v>
      </c>
      <c r="K108" s="273">
        <f t="shared" si="32"/>
        <v>-510</v>
      </c>
      <c r="L108" s="274"/>
      <c r="M108" s="163">
        <v>97.5</v>
      </c>
      <c r="N108" s="272">
        <v>-186.66666666666669</v>
      </c>
      <c r="O108" s="272"/>
      <c r="Q108" s="179" t="s">
        <v>27</v>
      </c>
      <c r="R108" s="179">
        <v>7.5</v>
      </c>
      <c r="S108" s="179">
        <f>N117</f>
        <v>-613.33333333333337</v>
      </c>
      <c r="U108">
        <v>874</v>
      </c>
      <c r="V108" s="273">
        <f t="shared" si="33"/>
        <v>-813.33333333333337</v>
      </c>
      <c r="W108" s="274"/>
    </row>
    <row r="109" spans="2:23">
      <c r="B109" s="163">
        <v>95</v>
      </c>
      <c r="C109" s="272">
        <v>-206.66666666666669</v>
      </c>
      <c r="D109" s="272"/>
      <c r="F109" s="179" t="s">
        <v>10</v>
      </c>
      <c r="G109" s="179">
        <v>-10</v>
      </c>
      <c r="H109" s="179">
        <f>C125</f>
        <v>-56.666666666666671</v>
      </c>
      <c r="J109">
        <v>860</v>
      </c>
      <c r="K109" s="273">
        <f t="shared" si="32"/>
        <v>-766.66666666666674</v>
      </c>
      <c r="L109" s="274"/>
      <c r="M109" s="163">
        <v>95</v>
      </c>
      <c r="N109" s="272">
        <v>-526.66666666666674</v>
      </c>
      <c r="O109" s="272"/>
      <c r="Q109" s="179" t="s">
        <v>27</v>
      </c>
      <c r="R109" s="179">
        <v>10</v>
      </c>
      <c r="S109" s="179">
        <f>N125</f>
        <v>-703.33333333333337</v>
      </c>
      <c r="U109">
        <v>945</v>
      </c>
      <c r="V109" s="273">
        <f t="shared" si="33"/>
        <v>-1050</v>
      </c>
      <c r="W109" s="274"/>
    </row>
    <row r="110" spans="2:23">
      <c r="B110" s="183">
        <v>92.5</v>
      </c>
      <c r="C110" s="272">
        <v>-510</v>
      </c>
      <c r="D110" s="272"/>
      <c r="F110" s="179" t="s">
        <v>11</v>
      </c>
      <c r="G110" s="9">
        <f>$B$2</f>
        <v>6.0220000000000002</v>
      </c>
      <c r="H110" s="179">
        <f>H105*(G110-G107)*(G110-G109)*(G110-G106)*(G110-G108)/((G105-G107)*(G105-G109)*(G105-G106)*(G105-G108))+H107*(G110-G105)*(G110-G109)*(G110-G106)*(G110-G108)/((G107-G105)*(G107-G109)*(G107-G106)*(G107-G108))+H109*(G110-G105)*(G110-G107)*(G110-G106)*(G110-G108)/((G109-G105)*(G109-G107)*(G109-G106)*(G109-G108))+H106*(G110-G107)*(G110-G109)*(G110-G105)*(G110-G108)/((G106-G107)*(G106-G109)*(G106-G105)*(G106-G108))+H108*(G110-G107)*(G110-G109)*(G110-G105)*(G110-G106)/((G108-G107)*(G108-G109)*(G108-G105)*(G108-G106))</f>
        <v>-1367.7720748990387</v>
      </c>
      <c r="K110" s="1"/>
      <c r="L110" s="184"/>
      <c r="M110" s="183">
        <v>92.5</v>
      </c>
      <c r="N110" s="272">
        <v>-813.33333333333337</v>
      </c>
      <c r="O110" s="272"/>
      <c r="Q110" s="179" t="s">
        <v>28</v>
      </c>
      <c r="R110" s="9">
        <f>$B$2</f>
        <v>6.0220000000000002</v>
      </c>
      <c r="S110" s="179">
        <f>S105*(R110-R107)*(R110-R109)*(R110-R106)*(R110-R108)/((R105-R107)*(R105-R109)*(R105-R106)*(R105-R108))+S107*(R110-R105)*(R110-R109)*(R110-R106)*(R110-R108)/((R107-R105)*(R107-R109)*(R107-R106)*(R107-R108))+S109*(R110-R105)*(R110-R107)*(R110-R106)*(R110-R108)/((R109-R105)*(R109-R107)*(R109-R106)*(R109-R108))+S106*(R110-R107)*(R110-R109)*(R110-R105)*(R110-R108)/((R106-R107)*(R106-R109)*(R106-R105)*(R106-R108))+S108*(R110-R107)*(R110-R109)*(R110-R105)*(R110-R106)/((R108-R107)*(R108-R109)*(R108-R105)*(R108-R106))</f>
        <v>-562.44566181640027</v>
      </c>
    </row>
    <row r="111" spans="2:23">
      <c r="B111" s="183">
        <v>90</v>
      </c>
      <c r="C111" s="272">
        <v>-766.66666666666674</v>
      </c>
      <c r="D111" s="272"/>
      <c r="F111" s="1">
        <v>92.5</v>
      </c>
      <c r="G111" s="1"/>
      <c r="H111" s="1" t="s">
        <v>13</v>
      </c>
      <c r="K111" s="1"/>
      <c r="L111" s="184"/>
      <c r="M111" s="183">
        <v>90</v>
      </c>
      <c r="N111" s="272">
        <v>-1050</v>
      </c>
      <c r="O111" s="272"/>
      <c r="Q111" s="1">
        <v>92.5</v>
      </c>
      <c r="R111" s="1"/>
      <c r="S111" s="1" t="s">
        <v>13</v>
      </c>
    </row>
    <row r="112" spans="2:23">
      <c r="F112" s="179" t="s">
        <v>10</v>
      </c>
      <c r="G112" s="179">
        <v>0</v>
      </c>
      <c r="H112" s="179">
        <f>C94</f>
        <v>-660</v>
      </c>
      <c r="J112">
        <v>437</v>
      </c>
      <c r="K112" s="273">
        <f>(630-J112)*4/1.2</f>
        <v>643.33333333333337</v>
      </c>
      <c r="L112" s="274"/>
      <c r="O112" s="1"/>
      <c r="Q112" s="179" t="s">
        <v>27</v>
      </c>
      <c r="R112" s="179">
        <v>0</v>
      </c>
      <c r="S112" s="179">
        <f>N94</f>
        <v>-660</v>
      </c>
      <c r="U112">
        <v>594</v>
      </c>
      <c r="V112" s="273">
        <f>(630-U112)*4/1.2</f>
        <v>120</v>
      </c>
      <c r="W112" s="274"/>
    </row>
    <row r="113" spans="2:23">
      <c r="B113" s="271" t="s">
        <v>206</v>
      </c>
      <c r="C113" s="271"/>
      <c r="D113" s="271"/>
      <c r="F113" s="179" t="s">
        <v>10</v>
      </c>
      <c r="G113" s="179">
        <v>-2.5</v>
      </c>
      <c r="H113" s="179">
        <f>C102</f>
        <v>-583.33333333333337</v>
      </c>
      <c r="J113">
        <v>562</v>
      </c>
      <c r="K113" s="273">
        <f t="shared" ref="K113:K116" si="34">(630-J113)*4/1.2</f>
        <v>226.66666666666669</v>
      </c>
      <c r="L113" s="274"/>
      <c r="M113" s="271" t="s">
        <v>206</v>
      </c>
      <c r="N113" s="271"/>
      <c r="O113" s="271"/>
      <c r="Q113" s="179" t="s">
        <v>27</v>
      </c>
      <c r="R113" s="179">
        <v>2.5</v>
      </c>
      <c r="S113" s="179">
        <f>N102</f>
        <v>-736.66666666666674</v>
      </c>
      <c r="U113">
        <v>713</v>
      </c>
      <c r="V113" s="273">
        <f t="shared" ref="V113:V116" si="35">(630-U113)*4/1.2</f>
        <v>-276.66666666666669</v>
      </c>
      <c r="W113" s="274"/>
    </row>
    <row r="114" spans="2:23">
      <c r="B114" s="182" t="s">
        <v>210</v>
      </c>
      <c r="C114" s="271" t="s">
        <v>7</v>
      </c>
      <c r="D114" s="271"/>
      <c r="F114" s="179" t="s">
        <v>10</v>
      </c>
      <c r="G114" s="179">
        <v>-5</v>
      </c>
      <c r="H114" s="179">
        <f>C110</f>
        <v>-510</v>
      </c>
      <c r="J114">
        <v>669</v>
      </c>
      <c r="K114" s="273">
        <f t="shared" si="34"/>
        <v>-130</v>
      </c>
      <c r="L114" s="274"/>
      <c r="M114" s="182" t="s">
        <v>214</v>
      </c>
      <c r="N114" s="271" t="s">
        <v>7</v>
      </c>
      <c r="O114" s="271"/>
      <c r="Q114" s="179" t="s">
        <v>27</v>
      </c>
      <c r="R114" s="179">
        <v>5</v>
      </c>
      <c r="S114" s="179">
        <f>N110</f>
        <v>-813.33333333333337</v>
      </c>
      <c r="U114">
        <v>814</v>
      </c>
      <c r="V114" s="273">
        <f t="shared" si="35"/>
        <v>-613.33333333333337</v>
      </c>
      <c r="W114" s="274"/>
    </row>
    <row r="115" spans="2:23">
      <c r="B115" s="163">
        <v>100</v>
      </c>
      <c r="C115" s="272">
        <v>643.33333333333337</v>
      </c>
      <c r="D115" s="272"/>
      <c r="F115" s="179" t="s">
        <v>10</v>
      </c>
      <c r="G115" s="179">
        <v>-7.5</v>
      </c>
      <c r="H115" s="179">
        <f>C118</f>
        <v>-440</v>
      </c>
      <c r="J115">
        <v>762</v>
      </c>
      <c r="K115" s="273">
        <f t="shared" si="34"/>
        <v>-440</v>
      </c>
      <c r="L115" s="274"/>
      <c r="M115" s="163">
        <v>100</v>
      </c>
      <c r="N115" s="272">
        <v>120</v>
      </c>
      <c r="O115" s="272"/>
      <c r="Q115" s="179" t="s">
        <v>27</v>
      </c>
      <c r="R115" s="179">
        <v>7.5</v>
      </c>
      <c r="S115" s="179">
        <f>N118</f>
        <v>-893.33333333333337</v>
      </c>
      <c r="U115">
        <v>898</v>
      </c>
      <c r="V115" s="273">
        <f t="shared" si="35"/>
        <v>-893.33333333333337</v>
      </c>
      <c r="W115" s="274"/>
    </row>
    <row r="116" spans="2:23">
      <c r="B116" s="163">
        <v>97.5</v>
      </c>
      <c r="C116" s="272">
        <v>226.66666666666669</v>
      </c>
      <c r="D116" s="272"/>
      <c r="F116" s="179" t="s">
        <v>10</v>
      </c>
      <c r="G116" s="179">
        <v>-10</v>
      </c>
      <c r="H116" s="179">
        <f>C126</f>
        <v>-370</v>
      </c>
      <c r="J116">
        <v>840</v>
      </c>
      <c r="K116" s="273">
        <f t="shared" si="34"/>
        <v>-700</v>
      </c>
      <c r="L116" s="274"/>
      <c r="M116" s="163">
        <v>97.5</v>
      </c>
      <c r="N116" s="272">
        <v>-276.66666666666669</v>
      </c>
      <c r="O116" s="272"/>
      <c r="Q116" s="179" t="s">
        <v>27</v>
      </c>
      <c r="R116" s="179">
        <v>10</v>
      </c>
      <c r="S116" s="179">
        <f>N126</f>
        <v>-980</v>
      </c>
      <c r="U116">
        <v>967</v>
      </c>
      <c r="V116" s="273">
        <f t="shared" si="35"/>
        <v>-1123.3333333333335</v>
      </c>
      <c r="W116" s="274"/>
    </row>
    <row r="117" spans="2:23">
      <c r="B117" s="163">
        <v>95</v>
      </c>
      <c r="C117" s="272">
        <v>-130</v>
      </c>
      <c r="D117" s="272"/>
      <c r="F117" s="179" t="s">
        <v>11</v>
      </c>
      <c r="G117" s="9">
        <f>$B$2</f>
        <v>6.0220000000000002</v>
      </c>
      <c r="H117" s="179">
        <f>H112*(G117-G114)*(G117-G116)*(G117-G113)*(G117-G115)/((G112-G114)*(G112-G116)*(G112-G113)*(G112-G115))+H114*(G117-G112)*(G117-G116)*(G117-G113)*(G117-G115)/((G114-G112)*(G114-G116)*(G114-G113)*(G114-G115))+H116*(G117-G112)*(G117-G114)*(G117-G113)*(G117-G115)/((G116-G112)*(G116-G114)*(G116-G113)*(G116-G115))+H113*(G117-G114)*(G117-G116)*(G117-G112)*(G117-G115)/((G113-G114)*(G113-G116)*(G113-G112)*(G113-G115))+H115*(G117-G114)*(G117-G116)*(G117-G112)*(G117-G113)/((G115-G114)*(G115-G116)*(G115-G112)*(G115-G113))</f>
        <v>-831.16473559285441</v>
      </c>
      <c r="K117" s="1"/>
      <c r="L117" s="184"/>
      <c r="M117" s="163">
        <v>95</v>
      </c>
      <c r="N117" s="272">
        <v>-613.33333333333337</v>
      </c>
      <c r="O117" s="272"/>
      <c r="Q117" s="179" t="s">
        <v>28</v>
      </c>
      <c r="R117" s="9">
        <f>$B$2</f>
        <v>6.0220000000000002</v>
      </c>
      <c r="S117" s="179">
        <f>S112*(R117-R114)*(R117-R116)*(R117-R113)*(R117-R115)/((R112-R114)*(R112-R116)*(R112-R113)*(R112-R115))+S114*(R117-R112)*(R117-R116)*(R117-R113)*(R117-R115)/((R114-R112)*(R114-R116)*(R114-R113)*(R114-R115))+S116*(R117-R112)*(R117-R114)*(R117-R113)*(R117-R115)/((R116-R112)*(R116-R114)*(R116-R113)*(R116-R115))+S113*(R117-R114)*(R117-R116)*(R117-R112)*(R117-R115)/((R113-R114)*(R113-R116)*(R113-R112)*(R113-R115))+S115*(R117-R114)*(R117-R116)*(R117-R112)*(R117-R113)/((R115-R114)*(R115-R116)*(R115-R112)*(R115-R113))</f>
        <v>-845.44537218304004</v>
      </c>
    </row>
    <row r="118" spans="2:23">
      <c r="B118" s="183">
        <v>92.5</v>
      </c>
      <c r="C118" s="272">
        <v>-440</v>
      </c>
      <c r="D118" s="272"/>
      <c r="F118" s="1">
        <v>90</v>
      </c>
      <c r="G118" s="1"/>
      <c r="H118" s="1" t="s">
        <v>13</v>
      </c>
      <c r="K118" s="1"/>
      <c r="L118" s="184"/>
      <c r="M118" s="183">
        <v>92.5</v>
      </c>
      <c r="N118" s="272">
        <v>-893.33333333333337</v>
      </c>
      <c r="O118" s="272"/>
      <c r="Q118" s="1">
        <v>90</v>
      </c>
      <c r="R118" s="1"/>
      <c r="S118" s="1" t="s">
        <v>13</v>
      </c>
    </row>
    <row r="119" spans="2:23">
      <c r="B119" s="183">
        <v>90</v>
      </c>
      <c r="C119" s="272">
        <v>-700</v>
      </c>
      <c r="D119" s="272"/>
      <c r="F119" s="179" t="s">
        <v>10</v>
      </c>
      <c r="G119" s="179">
        <v>0</v>
      </c>
      <c r="H119" s="179">
        <f>C95</f>
        <v>-906.66666666666674</v>
      </c>
      <c r="J119">
        <v>413</v>
      </c>
      <c r="K119" s="273">
        <f>(630-J119)*4/1.2</f>
        <v>723.33333333333337</v>
      </c>
      <c r="L119" s="274"/>
      <c r="M119" s="183">
        <v>90</v>
      </c>
      <c r="N119" s="272">
        <v>-1123.3333333333335</v>
      </c>
      <c r="O119" s="272"/>
      <c r="Q119" s="179" t="s">
        <v>27</v>
      </c>
      <c r="R119" s="179">
        <v>0</v>
      </c>
      <c r="S119" s="179">
        <f>N95</f>
        <v>-906.66666666666674</v>
      </c>
      <c r="U119">
        <v>623</v>
      </c>
      <c r="V119" s="273">
        <f>(630-U119)*4/1.2</f>
        <v>23.333333333333336</v>
      </c>
      <c r="W119" s="274"/>
    </row>
    <row r="120" spans="2:23">
      <c r="F120" s="179" t="s">
        <v>10</v>
      </c>
      <c r="G120" s="179">
        <v>-2.5</v>
      </c>
      <c r="H120" s="179">
        <f>C103</f>
        <v>-836.66666666666674</v>
      </c>
      <c r="J120">
        <v>539</v>
      </c>
      <c r="K120" s="273">
        <f t="shared" ref="K120:K123" si="36">(630-J120)*4/1.2</f>
        <v>303.33333333333337</v>
      </c>
      <c r="L120" s="274"/>
      <c r="O120" s="1"/>
      <c r="Q120" s="179" t="s">
        <v>27</v>
      </c>
      <c r="R120" s="179">
        <v>2.5</v>
      </c>
      <c r="S120" s="179">
        <f>N103</f>
        <v>-976.66666666666674</v>
      </c>
      <c r="U120">
        <v>741</v>
      </c>
      <c r="V120" s="273">
        <f t="shared" ref="V120:V123" si="37">(630-U120)*4/1.2</f>
        <v>-370</v>
      </c>
      <c r="W120" s="274"/>
    </row>
    <row r="121" spans="2:23">
      <c r="B121" s="271" t="s">
        <v>206</v>
      </c>
      <c r="C121" s="271"/>
      <c r="D121" s="271"/>
      <c r="F121" s="179" t="s">
        <v>10</v>
      </c>
      <c r="G121" s="179">
        <v>-5</v>
      </c>
      <c r="H121" s="179">
        <f>C111</f>
        <v>-766.66666666666674</v>
      </c>
      <c r="J121">
        <v>647</v>
      </c>
      <c r="K121" s="273">
        <f t="shared" si="36"/>
        <v>-56.666666666666671</v>
      </c>
      <c r="L121" s="274"/>
      <c r="M121" s="271" t="s">
        <v>206</v>
      </c>
      <c r="N121" s="271"/>
      <c r="O121" s="271"/>
      <c r="Q121" s="179" t="s">
        <v>27</v>
      </c>
      <c r="R121" s="179">
        <v>5</v>
      </c>
      <c r="S121" s="179">
        <f>N111</f>
        <v>-1050</v>
      </c>
      <c r="U121">
        <v>841</v>
      </c>
      <c r="V121" s="273">
        <f t="shared" si="37"/>
        <v>-703.33333333333337</v>
      </c>
      <c r="W121" s="274"/>
    </row>
    <row r="122" spans="2:23">
      <c r="B122" s="182" t="s">
        <v>211</v>
      </c>
      <c r="C122" s="271" t="s">
        <v>7</v>
      </c>
      <c r="D122" s="271"/>
      <c r="F122" s="179" t="s">
        <v>10</v>
      </c>
      <c r="G122" s="179">
        <v>-7.5</v>
      </c>
      <c r="H122" s="179">
        <f>C119</f>
        <v>-700</v>
      </c>
      <c r="J122">
        <v>741</v>
      </c>
      <c r="K122" s="273">
        <f t="shared" si="36"/>
        <v>-370</v>
      </c>
      <c r="L122" s="274"/>
      <c r="M122" s="182" t="s">
        <v>215</v>
      </c>
      <c r="N122" s="271" t="s">
        <v>7</v>
      </c>
      <c r="O122" s="271"/>
      <c r="Q122" s="179" t="s">
        <v>27</v>
      </c>
      <c r="R122" s="179">
        <v>7.5</v>
      </c>
      <c r="S122" s="179">
        <f>N119</f>
        <v>-1123.3333333333335</v>
      </c>
      <c r="U122">
        <v>924</v>
      </c>
      <c r="V122" s="273">
        <f t="shared" si="37"/>
        <v>-980</v>
      </c>
      <c r="W122" s="274"/>
    </row>
    <row r="123" spans="2:23">
      <c r="B123" s="163">
        <v>100</v>
      </c>
      <c r="C123" s="272">
        <v>723.33333333333337</v>
      </c>
      <c r="D123" s="272"/>
      <c r="F123" s="179" t="s">
        <v>10</v>
      </c>
      <c r="G123" s="179">
        <v>-10</v>
      </c>
      <c r="H123" s="179">
        <f>C127</f>
        <v>-636.66666666666674</v>
      </c>
      <c r="J123">
        <v>821</v>
      </c>
      <c r="K123" s="273">
        <f t="shared" si="36"/>
        <v>-636.66666666666674</v>
      </c>
      <c r="L123" s="274"/>
      <c r="M123" s="163">
        <v>100</v>
      </c>
      <c r="N123" s="272">
        <v>23.333333333333336</v>
      </c>
      <c r="O123" s="272"/>
      <c r="Q123" s="179" t="s">
        <v>27</v>
      </c>
      <c r="R123" s="179">
        <v>10</v>
      </c>
      <c r="S123" s="179">
        <f>N127</f>
        <v>-1203.3333333333335</v>
      </c>
      <c r="U123">
        <v>991</v>
      </c>
      <c r="V123" s="273">
        <f t="shared" si="37"/>
        <v>-1203.3333333333335</v>
      </c>
      <c r="W123" s="274"/>
    </row>
    <row r="124" spans="2:23">
      <c r="B124" s="163">
        <v>97.5</v>
      </c>
      <c r="C124" s="272">
        <v>303.33333333333337</v>
      </c>
      <c r="D124" s="272"/>
      <c r="F124" s="179" t="s">
        <v>11</v>
      </c>
      <c r="G124" s="9">
        <f>$B$2</f>
        <v>6.0220000000000002</v>
      </c>
      <c r="H124" s="179">
        <f>H119*(G124-G121)*(G124-G123)*(G124-G120)*(G124-G122)/((G119-G121)*(G119-G123)*(G119-G120)*(G119-G122))+H121*(G124-G119)*(G124-G123)*(G124-G120)*(G124-G122)/((G121-G119)*(G121-G123)*(G121-G120)*(G121-G122))+H123*(G124-G119)*(G124-G121)*(G124-G120)*(G124-G122)/((G123-G119)*(G123-G121)*(G123-G120)*(G123-G122))+H120*(G124-G121)*(G124-G123)*(G124-G119)*(G124-G122)/((G120-G121)*(G120-G123)*(G120-G119)*(G120-G122))+H122*(G124-G121)*(G124-G123)*(G124-G119)*(G124-G120)/((G122-G121)*(G122-G123)*(G122-G119)*(G122-G120))</f>
        <v>-1027.9757762098379</v>
      </c>
      <c r="M124" s="163">
        <v>97.5</v>
      </c>
      <c r="N124" s="272">
        <v>-370</v>
      </c>
      <c r="O124" s="272"/>
      <c r="Q124" s="179" t="s">
        <v>28</v>
      </c>
      <c r="R124" s="9">
        <f>$B$2</f>
        <v>6.0220000000000002</v>
      </c>
      <c r="S124" s="179">
        <f>S119*(R124-R121)*(R124-R123)*(R124-R120)*(R124-R122)/((R119-R121)*(R119-R123)*(R119-R120)*(R119-R122))+S121*(R124-R119)*(R124-R123)*(R124-R120)*(R124-R122)/((R121-R119)*(R121-R123)*(R121-R120)*(R121-R122))+S123*(R124-R119)*(R124-R121)*(R124-R120)*(R124-R122)/((R123-R119)*(R123-R121)*(R123-R120)*(R123-R122))+S120*(R124-R121)*(R124-R123)*(R124-R119)*(R124-R122)/((R120-R121)*(R120-R123)*(R120-R119)*(R120-R122))+S122*(R124-R121)*(R124-R123)*(R124-R119)*(R124-R120)/((R122-R121)*(R122-R123)*(R122-R119)*(R122-R120))</f>
        <v>-1079.8260927243334</v>
      </c>
    </row>
    <row r="125" spans="2:23">
      <c r="B125" s="163">
        <v>95</v>
      </c>
      <c r="C125" s="272">
        <v>-56.666666666666671</v>
      </c>
      <c r="D125" s="272"/>
      <c r="M125" s="163">
        <v>95</v>
      </c>
      <c r="N125" s="272">
        <v>-703.33333333333337</v>
      </c>
      <c r="O125" s="272"/>
    </row>
    <row r="126" spans="2:23">
      <c r="B126" s="183">
        <v>92.5</v>
      </c>
      <c r="C126" s="272">
        <v>-370</v>
      </c>
      <c r="D126" s="272"/>
      <c r="M126" s="183">
        <v>92.5</v>
      </c>
      <c r="N126" s="272">
        <v>-980</v>
      </c>
      <c r="O126" s="272"/>
    </row>
    <row r="127" spans="2:23">
      <c r="B127" s="183">
        <v>90</v>
      </c>
      <c r="C127" s="272">
        <v>-636.66666666666674</v>
      </c>
      <c r="D127" s="272"/>
      <c r="M127" s="183">
        <v>90</v>
      </c>
      <c r="N127" s="272">
        <v>-1203.3333333333335</v>
      </c>
      <c r="O127" s="272"/>
    </row>
  </sheetData>
  <mergeCells count="132">
    <mergeCell ref="N118:O118"/>
    <mergeCell ref="N119:O119"/>
    <mergeCell ref="N109:O109"/>
    <mergeCell ref="N110:O110"/>
    <mergeCell ref="N111:O111"/>
    <mergeCell ref="M113:O113"/>
    <mergeCell ref="N114:O114"/>
    <mergeCell ref="V123:W123"/>
    <mergeCell ref="V116:W116"/>
    <mergeCell ref="V119:W119"/>
    <mergeCell ref="V120:W120"/>
    <mergeCell ref="V121:W121"/>
    <mergeCell ref="V122:W122"/>
    <mergeCell ref="V109:W109"/>
    <mergeCell ref="V112:W112"/>
    <mergeCell ref="V113:W113"/>
    <mergeCell ref="V114:W114"/>
    <mergeCell ref="V115:W115"/>
    <mergeCell ref="N116:O116"/>
    <mergeCell ref="K122:L122"/>
    <mergeCell ref="K123:L123"/>
    <mergeCell ref="V92:W92"/>
    <mergeCell ref="V93:W93"/>
    <mergeCell ref="V94:W94"/>
    <mergeCell ref="V95:W95"/>
    <mergeCell ref="V98:W98"/>
    <mergeCell ref="V99:W99"/>
    <mergeCell ref="V100:W100"/>
    <mergeCell ref="V101:W101"/>
    <mergeCell ref="V102:W102"/>
    <mergeCell ref="V105:W105"/>
    <mergeCell ref="V106:W106"/>
    <mergeCell ref="V107:W107"/>
    <mergeCell ref="V108:W108"/>
    <mergeCell ref="K115:L115"/>
    <mergeCell ref="K116:L116"/>
    <mergeCell ref="K119:L119"/>
    <mergeCell ref="K120:L120"/>
    <mergeCell ref="K121:L121"/>
    <mergeCell ref="K108:L108"/>
    <mergeCell ref="K109:L109"/>
    <mergeCell ref="K112:L112"/>
    <mergeCell ref="N117:O117"/>
    <mergeCell ref="C110:D110"/>
    <mergeCell ref="C111:D111"/>
    <mergeCell ref="B113:D113"/>
    <mergeCell ref="N126:O126"/>
    <mergeCell ref="N127:O127"/>
    <mergeCell ref="K91:L91"/>
    <mergeCell ref="K92:L92"/>
    <mergeCell ref="K93:L93"/>
    <mergeCell ref="K94:L94"/>
    <mergeCell ref="K95:L95"/>
    <mergeCell ref="K98:L98"/>
    <mergeCell ref="K99:L99"/>
    <mergeCell ref="K100:L100"/>
    <mergeCell ref="K101:L101"/>
    <mergeCell ref="K102:L102"/>
    <mergeCell ref="K105:L105"/>
    <mergeCell ref="K106:L106"/>
    <mergeCell ref="K107:L107"/>
    <mergeCell ref="M121:O121"/>
    <mergeCell ref="N122:O122"/>
    <mergeCell ref="N123:O123"/>
    <mergeCell ref="N124:O124"/>
    <mergeCell ref="N125:O125"/>
    <mergeCell ref="N115:O115"/>
    <mergeCell ref="C114:D114"/>
    <mergeCell ref="C115:D115"/>
    <mergeCell ref="B105:D105"/>
    <mergeCell ref="C106:D106"/>
    <mergeCell ref="C107:D107"/>
    <mergeCell ref="C108:D108"/>
    <mergeCell ref="K113:L113"/>
    <mergeCell ref="K114:L114"/>
    <mergeCell ref="N92:O92"/>
    <mergeCell ref="N93:O93"/>
    <mergeCell ref="N94:O94"/>
    <mergeCell ref="N95:O95"/>
    <mergeCell ref="M97:O97"/>
    <mergeCell ref="N98:O98"/>
    <mergeCell ref="N99:O99"/>
    <mergeCell ref="N100:O100"/>
    <mergeCell ref="N101:O101"/>
    <mergeCell ref="C92:D92"/>
    <mergeCell ref="N103:O103"/>
    <mergeCell ref="M105:O105"/>
    <mergeCell ref="N106:O106"/>
    <mergeCell ref="N107:O107"/>
    <mergeCell ref="N108:O108"/>
    <mergeCell ref="N102:O102"/>
    <mergeCell ref="C123:D123"/>
    <mergeCell ref="C124:D124"/>
    <mergeCell ref="C125:D125"/>
    <mergeCell ref="C126:D126"/>
    <mergeCell ref="C127:D127"/>
    <mergeCell ref="C116:D116"/>
    <mergeCell ref="C117:D117"/>
    <mergeCell ref="C118:D118"/>
    <mergeCell ref="C119:D119"/>
    <mergeCell ref="B121:D121"/>
    <mergeCell ref="C122:D122"/>
    <mergeCell ref="C109:D109"/>
    <mergeCell ref="C99:D99"/>
    <mergeCell ref="C100:D100"/>
    <mergeCell ref="C101:D101"/>
    <mergeCell ref="C102:D102"/>
    <mergeCell ref="C103:D103"/>
    <mergeCell ref="C93:D93"/>
    <mergeCell ref="C94:D94"/>
    <mergeCell ref="C95:D95"/>
    <mergeCell ref="B97:D97"/>
    <mergeCell ref="C98:D98"/>
    <mergeCell ref="AD71:AE71"/>
    <mergeCell ref="AF1:AH1"/>
    <mergeCell ref="AI1:AM1"/>
    <mergeCell ref="AD26:AE26"/>
    <mergeCell ref="AF46:AH46"/>
    <mergeCell ref="AI46:AM46"/>
    <mergeCell ref="C90:D90"/>
    <mergeCell ref="B89:D89"/>
    <mergeCell ref="C91:D91"/>
    <mergeCell ref="M89:O89"/>
    <mergeCell ref="N90:O90"/>
    <mergeCell ref="N91:O91"/>
    <mergeCell ref="V91:W91"/>
    <mergeCell ref="A71:B71"/>
    <mergeCell ref="C1:E1"/>
    <mergeCell ref="F1:J1"/>
    <mergeCell ref="A26:B26"/>
    <mergeCell ref="C46:E46"/>
    <mergeCell ref="F46:J46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AT223"/>
  <sheetViews>
    <sheetView topLeftCell="Q1" zoomScale="80" zoomScaleNormal="80" workbookViewId="0">
      <selection activeCell="H16" sqref="H16"/>
    </sheetView>
  </sheetViews>
  <sheetFormatPr defaultRowHeight="15" customHeight="1"/>
  <cols>
    <col min="1" max="2" width="9.85546875" customWidth="1"/>
    <col min="4" max="4" width="10" style="202" customWidth="1"/>
  </cols>
  <sheetData>
    <row r="1" spans="1:46">
      <c r="A1" s="7" t="s">
        <v>0</v>
      </c>
      <c r="B1" s="26">
        <f>Plan1!B1</f>
        <v>246.59</v>
      </c>
      <c r="C1" s="238" t="s">
        <v>46</v>
      </c>
      <c r="D1" s="238"/>
      <c r="E1" s="238"/>
      <c r="F1" s="200"/>
      <c r="G1" s="200"/>
      <c r="H1" s="200"/>
      <c r="I1" s="200"/>
      <c r="R1" s="202" t="s">
        <v>12</v>
      </c>
      <c r="S1" s="202"/>
      <c r="T1" s="202"/>
      <c r="U1" s="202" t="s">
        <v>13</v>
      </c>
      <c r="V1" s="202"/>
      <c r="W1" s="202"/>
      <c r="X1" s="202" t="s">
        <v>8</v>
      </c>
      <c r="Y1" s="202"/>
      <c r="Z1" s="202"/>
      <c r="AA1" s="202" t="s">
        <v>9</v>
      </c>
      <c r="AK1" s="202" t="s">
        <v>12</v>
      </c>
      <c r="AL1" s="202"/>
      <c r="AM1" s="202"/>
      <c r="AN1" s="202" t="s">
        <v>13</v>
      </c>
      <c r="AO1" s="202"/>
      <c r="AP1" s="202"/>
      <c r="AQ1" s="202" t="s">
        <v>8</v>
      </c>
      <c r="AR1" s="202"/>
      <c r="AS1" s="202"/>
      <c r="AT1" s="202" t="s">
        <v>9</v>
      </c>
    </row>
    <row r="2" spans="1:46">
      <c r="A2" s="7" t="s">
        <v>1</v>
      </c>
      <c r="B2" s="27">
        <f>Plan1!B2</f>
        <v>6.0220000000000002</v>
      </c>
      <c r="C2" s="5"/>
      <c r="D2" s="26">
        <f>B1</f>
        <v>246.59</v>
      </c>
      <c r="F2" s="237" t="s">
        <v>139</v>
      </c>
      <c r="G2" s="237"/>
      <c r="J2" s="15">
        <v>0</v>
      </c>
      <c r="K2" s="7" t="s">
        <v>6</v>
      </c>
      <c r="L2" s="7" t="s">
        <v>7</v>
      </c>
      <c r="M2" s="7" t="s">
        <v>8</v>
      </c>
      <c r="N2" s="7" t="s">
        <v>9</v>
      </c>
      <c r="P2" s="199" t="s">
        <v>10</v>
      </c>
      <c r="Q2" s="199">
        <v>0</v>
      </c>
      <c r="R2" s="199">
        <f>K3</f>
        <v>297.98</v>
      </c>
      <c r="S2" s="199" t="s">
        <v>10</v>
      </c>
      <c r="T2" s="199">
        <v>0</v>
      </c>
      <c r="U2" s="199">
        <f>L3</f>
        <v>292.421875</v>
      </c>
      <c r="V2" s="199" t="s">
        <v>10</v>
      </c>
      <c r="W2" s="199">
        <v>0</v>
      </c>
      <c r="X2" s="199">
        <f>M3</f>
        <v>309.81</v>
      </c>
      <c r="Y2" s="199" t="s">
        <v>10</v>
      </c>
      <c r="Z2" s="199">
        <v>0</v>
      </c>
      <c r="AA2" s="199">
        <f>N3</f>
        <v>285.45999999999998</v>
      </c>
      <c r="AC2" s="15">
        <v>0</v>
      </c>
      <c r="AD2" s="7" t="s">
        <v>6</v>
      </c>
      <c r="AE2" s="7" t="s">
        <v>7</v>
      </c>
      <c r="AF2" s="7" t="s">
        <v>8</v>
      </c>
      <c r="AG2" s="7" t="s">
        <v>9</v>
      </c>
      <c r="AI2" s="199" t="s">
        <v>27</v>
      </c>
      <c r="AJ2" s="199">
        <v>0</v>
      </c>
      <c r="AK2" s="199">
        <f>AD3</f>
        <v>297.98</v>
      </c>
      <c r="AL2" s="199" t="s">
        <v>27</v>
      </c>
      <c r="AM2" s="199">
        <v>0</v>
      </c>
      <c r="AN2" s="199">
        <f>AE3</f>
        <v>292.421875</v>
      </c>
      <c r="AO2" s="199" t="s">
        <v>27</v>
      </c>
      <c r="AP2" s="199">
        <v>0</v>
      </c>
      <c r="AQ2" s="199">
        <f>AF3</f>
        <v>309.81</v>
      </c>
      <c r="AR2" s="199" t="s">
        <v>27</v>
      </c>
      <c r="AS2" s="199">
        <v>0</v>
      </c>
      <c r="AT2" s="199">
        <f>AG3</f>
        <v>285.45999999999998</v>
      </c>
    </row>
    <row r="3" spans="1:46">
      <c r="A3" s="7" t="s">
        <v>2</v>
      </c>
      <c r="B3" s="27">
        <f>Plan1!B3</f>
        <v>1</v>
      </c>
      <c r="C3" s="5"/>
      <c r="D3" s="26">
        <f>A9</f>
        <v>258.43625000000003</v>
      </c>
      <c r="F3" s="199" t="s">
        <v>45</v>
      </c>
      <c r="G3" s="23">
        <f>A30</f>
        <v>87.886826258365218</v>
      </c>
      <c r="J3" s="199">
        <v>100</v>
      </c>
      <c r="K3" s="199">
        <v>297.98</v>
      </c>
      <c r="L3" s="199">
        <f>(630-39)/8*4.75/1.2</f>
        <v>292.421875</v>
      </c>
      <c r="M3" s="199">
        <v>309.81</v>
      </c>
      <c r="N3" s="199">
        <v>285.45999999999998</v>
      </c>
      <c r="P3" s="199" t="s">
        <v>10</v>
      </c>
      <c r="Q3" s="199">
        <v>-5</v>
      </c>
      <c r="R3" s="199">
        <f>K8</f>
        <v>305.29000000000002</v>
      </c>
      <c r="S3" s="199" t="s">
        <v>10</v>
      </c>
      <c r="T3" s="199">
        <v>-5</v>
      </c>
      <c r="U3" s="199">
        <f>L8</f>
        <v>303.80208333333337</v>
      </c>
      <c r="V3" s="199" t="s">
        <v>10</v>
      </c>
      <c r="W3" s="199">
        <v>-5</v>
      </c>
      <c r="X3" s="199">
        <f>M8</f>
        <v>317.41000000000003</v>
      </c>
      <c r="Y3" s="199" t="s">
        <v>10</v>
      </c>
      <c r="Z3" s="199">
        <v>-5</v>
      </c>
      <c r="AA3" s="199">
        <f>N8</f>
        <v>292.45</v>
      </c>
      <c r="AC3" s="199">
        <v>100</v>
      </c>
      <c r="AD3" s="199">
        <f>K3</f>
        <v>297.98</v>
      </c>
      <c r="AE3" s="199">
        <f t="shared" ref="AE3:AG5" si="0">L3</f>
        <v>292.421875</v>
      </c>
      <c r="AF3" s="199">
        <f t="shared" si="0"/>
        <v>309.81</v>
      </c>
      <c r="AG3" s="199">
        <f t="shared" si="0"/>
        <v>285.45999999999998</v>
      </c>
      <c r="AI3" s="199" t="s">
        <v>27</v>
      </c>
      <c r="AJ3" s="199">
        <v>5</v>
      </c>
      <c r="AK3" s="199">
        <f>AD8</f>
        <v>289.72000000000003</v>
      </c>
      <c r="AL3" s="199" t="s">
        <v>27</v>
      </c>
      <c r="AM3" s="199">
        <v>5</v>
      </c>
      <c r="AN3" s="199">
        <f>AE8</f>
        <v>280.546875</v>
      </c>
      <c r="AO3" s="199" t="s">
        <v>27</v>
      </c>
      <c r="AP3" s="199">
        <v>5</v>
      </c>
      <c r="AQ3" s="199">
        <f>AF8</f>
        <v>301.22000000000003</v>
      </c>
      <c r="AR3" s="199" t="s">
        <v>27</v>
      </c>
      <c r="AS3" s="199">
        <v>5</v>
      </c>
      <c r="AT3" s="199">
        <f>AG8</f>
        <v>277.55</v>
      </c>
    </row>
    <row r="4" spans="1:46">
      <c r="A4" s="7" t="s">
        <v>3</v>
      </c>
      <c r="B4" s="28">
        <f>Plan1!B4</f>
        <v>106.667</v>
      </c>
      <c r="C4" s="3"/>
      <c r="D4" s="26">
        <f>D3-ABS((((F9-E9)/(77/(252/8.1))/(D9/100))*(D2-E10)*(D2-E11)/((E9-E10)*(E9-E11))+((F10-E10)/(77/(252/8.1))/(D10/100))*(D2-E9)*(D2-E11)/((E10-E9)*(E10-E11))+((F11-E11)/(77/(252/8.1))/(D11/100))*(D2-E9)*(D2-E10)/((E11-E9)*(E11-E10)))*(B14))</f>
        <v>257.84449608779317</v>
      </c>
      <c r="F4" s="199" t="s">
        <v>140</v>
      </c>
      <c r="G4" s="11">
        <f>B30</f>
        <v>-175.68360712007691</v>
      </c>
      <c r="J4" s="199">
        <v>90</v>
      </c>
      <c r="K4" s="199">
        <v>273.76</v>
      </c>
      <c r="L4" s="199">
        <f>(630-76)/8*4.75/1.2</f>
        <v>274.11458333333337</v>
      </c>
      <c r="M4" s="199">
        <v>285.67</v>
      </c>
      <c r="N4" s="199">
        <v>261.38</v>
      </c>
      <c r="O4" s="16"/>
      <c r="P4" s="199" t="s">
        <v>10</v>
      </c>
      <c r="Q4" s="199">
        <v>-10</v>
      </c>
      <c r="R4" s="199">
        <f>K13</f>
        <v>311.81</v>
      </c>
      <c r="S4" s="199" t="s">
        <v>10</v>
      </c>
      <c r="T4" s="199">
        <v>-10</v>
      </c>
      <c r="U4" s="199">
        <f>L13</f>
        <v>313.83928571428578</v>
      </c>
      <c r="V4" s="199" t="s">
        <v>10</v>
      </c>
      <c r="W4" s="199">
        <v>-10</v>
      </c>
      <c r="X4" s="199">
        <f>M13</f>
        <v>324.18</v>
      </c>
      <c r="Y4" s="199" t="s">
        <v>10</v>
      </c>
      <c r="Z4" s="199">
        <v>-10</v>
      </c>
      <c r="AA4" s="199">
        <f>N13</f>
        <v>298.70999999999998</v>
      </c>
      <c r="AC4" s="199">
        <v>90</v>
      </c>
      <c r="AD4" s="199">
        <f t="shared" ref="AD4:AD5" si="1">K4</f>
        <v>273.76</v>
      </c>
      <c r="AE4" s="199">
        <f t="shared" si="0"/>
        <v>274.11458333333337</v>
      </c>
      <c r="AF4" s="199">
        <f t="shared" si="0"/>
        <v>285.67</v>
      </c>
      <c r="AG4" s="199">
        <f t="shared" si="0"/>
        <v>261.38</v>
      </c>
      <c r="AI4" s="199" t="s">
        <v>27</v>
      </c>
      <c r="AJ4" s="199">
        <v>10</v>
      </c>
      <c r="AK4" s="199">
        <f>AD13</f>
        <v>280.27</v>
      </c>
      <c r="AL4" s="199" t="s">
        <v>27</v>
      </c>
      <c r="AM4" s="199">
        <v>10</v>
      </c>
      <c r="AN4" s="199">
        <f>AE13</f>
        <v>266.69270833333337</v>
      </c>
      <c r="AO4" s="199" t="s">
        <v>27</v>
      </c>
      <c r="AP4" s="199">
        <v>10</v>
      </c>
      <c r="AQ4" s="199">
        <f>AF13</f>
        <v>291.38</v>
      </c>
      <c r="AR4" s="199" t="s">
        <v>27</v>
      </c>
      <c r="AS4" s="199">
        <v>10</v>
      </c>
      <c r="AT4" s="199">
        <f>AG13</f>
        <v>268.52999999999997</v>
      </c>
    </row>
    <row r="5" spans="1:46">
      <c r="A5" s="7" t="s">
        <v>4</v>
      </c>
      <c r="B5" s="7">
        <f>Plan1!B5</f>
        <v>-1.8784359062401523</v>
      </c>
      <c r="C5" s="2"/>
      <c r="F5" s="199" t="s">
        <v>127</v>
      </c>
      <c r="G5" s="25">
        <f>A32</f>
        <v>257.12222222222221</v>
      </c>
      <c r="J5" s="199">
        <v>80</v>
      </c>
      <c r="K5" s="199">
        <v>249.62</v>
      </c>
      <c r="L5" s="199">
        <f>(630-111)/8*4.75/1.2</f>
        <v>256.796875</v>
      </c>
      <c r="M5" s="199">
        <v>261.22000000000003</v>
      </c>
      <c r="N5" s="199">
        <v>237.38</v>
      </c>
      <c r="O5" s="16"/>
      <c r="P5" s="199" t="s">
        <v>10</v>
      </c>
      <c r="Q5" s="199">
        <v>-15</v>
      </c>
      <c r="R5" s="199">
        <f>K18</f>
        <v>317.69</v>
      </c>
      <c r="S5" s="199" t="s">
        <v>10</v>
      </c>
      <c r="T5" s="199">
        <v>-15</v>
      </c>
      <c r="U5" s="199">
        <f>L18</f>
        <v>322.88690476190476</v>
      </c>
      <c r="V5" s="199" t="s">
        <v>10</v>
      </c>
      <c r="W5" s="199">
        <v>-15</v>
      </c>
      <c r="X5" s="199">
        <f>M18</f>
        <v>330.29</v>
      </c>
      <c r="Y5" s="199" t="s">
        <v>10</v>
      </c>
      <c r="Z5" s="199">
        <v>-15</v>
      </c>
      <c r="AA5" s="199">
        <f>N18</f>
        <v>304.35000000000002</v>
      </c>
      <c r="AC5" s="199">
        <v>80</v>
      </c>
      <c r="AD5" s="199">
        <f t="shared" si="1"/>
        <v>249.62</v>
      </c>
      <c r="AE5" s="199">
        <f t="shared" si="0"/>
        <v>256.796875</v>
      </c>
      <c r="AF5" s="199">
        <f t="shared" si="0"/>
        <v>261.22000000000003</v>
      </c>
      <c r="AG5" s="199">
        <f t="shared" si="0"/>
        <v>237.38</v>
      </c>
      <c r="AI5" s="199" t="s">
        <v>27</v>
      </c>
      <c r="AJ5" s="199"/>
      <c r="AK5" s="199">
        <f>AD18</f>
        <v>0</v>
      </c>
      <c r="AL5" s="199" t="s">
        <v>27</v>
      </c>
      <c r="AM5" s="199"/>
      <c r="AN5" s="199">
        <f>AE18</f>
        <v>0</v>
      </c>
      <c r="AO5" s="199" t="s">
        <v>27</v>
      </c>
      <c r="AP5" s="199"/>
      <c r="AQ5" s="199">
        <f>AF18</f>
        <v>0</v>
      </c>
      <c r="AR5" s="199" t="s">
        <v>27</v>
      </c>
      <c r="AS5" s="199"/>
      <c r="AT5" s="199">
        <f>AG18</f>
        <v>0</v>
      </c>
    </row>
    <row r="6" spans="1:46">
      <c r="A6" s="7" t="s">
        <v>5</v>
      </c>
      <c r="B6" s="29">
        <f>Plan1!B6</f>
        <v>0.85</v>
      </c>
      <c r="C6" s="6"/>
      <c r="F6" s="199" t="s">
        <v>128</v>
      </c>
      <c r="G6" s="11">
        <f>B32</f>
        <v>6.3859944024494615</v>
      </c>
      <c r="O6" s="16"/>
      <c r="P6" s="199" t="s">
        <v>10</v>
      </c>
      <c r="Q6" s="199">
        <v>-20</v>
      </c>
      <c r="R6" s="199">
        <f>K23</f>
        <v>323.02999999999997</v>
      </c>
      <c r="S6" s="199" t="s">
        <v>10</v>
      </c>
      <c r="T6" s="199">
        <v>-20</v>
      </c>
      <c r="U6" s="199">
        <f>L23</f>
        <v>331.36904761904759</v>
      </c>
      <c r="V6" s="199" t="s">
        <v>10</v>
      </c>
      <c r="W6" s="199">
        <v>-20</v>
      </c>
      <c r="X6" s="199">
        <f>M23</f>
        <v>335.83</v>
      </c>
      <c r="Y6" s="199" t="s">
        <v>10</v>
      </c>
      <c r="Z6" s="199">
        <v>-20</v>
      </c>
      <c r="AA6" s="199">
        <f>N23</f>
        <v>309.45999999999998</v>
      </c>
      <c r="AI6" s="199" t="s">
        <v>27</v>
      </c>
      <c r="AJ6" s="199"/>
      <c r="AK6" s="199">
        <f>AD23</f>
        <v>0</v>
      </c>
      <c r="AL6" s="199" t="s">
        <v>27</v>
      </c>
      <c r="AM6" s="199"/>
      <c r="AN6" s="199">
        <f>AE23</f>
        <v>0</v>
      </c>
      <c r="AO6" s="199" t="s">
        <v>27</v>
      </c>
      <c r="AP6" s="199"/>
      <c r="AQ6" s="199">
        <f>AF23</f>
        <v>0</v>
      </c>
      <c r="AR6" s="199" t="s">
        <v>27</v>
      </c>
      <c r="AS6" s="199"/>
      <c r="AT6" s="199">
        <f>AG23</f>
        <v>0</v>
      </c>
    </row>
    <row r="7" spans="1:46">
      <c r="J7" s="15">
        <v>-5</v>
      </c>
      <c r="K7" s="7" t="s">
        <v>6</v>
      </c>
      <c r="L7" s="7" t="s">
        <v>7</v>
      </c>
      <c r="M7" s="7" t="s">
        <v>8</v>
      </c>
      <c r="N7" s="7" t="s">
        <v>9</v>
      </c>
      <c r="O7" s="13"/>
      <c r="P7" s="199" t="s">
        <v>10</v>
      </c>
      <c r="Q7" s="199">
        <v>-25</v>
      </c>
      <c r="R7" s="199">
        <f>K28</f>
        <v>327.89</v>
      </c>
      <c r="S7" s="199" t="s">
        <v>10</v>
      </c>
      <c r="T7" s="199">
        <v>-25</v>
      </c>
      <c r="U7" s="199">
        <f>L28</f>
        <v>339.28571428571428</v>
      </c>
      <c r="V7" s="199" t="s">
        <v>10</v>
      </c>
      <c r="W7" s="199">
        <v>-25</v>
      </c>
      <c r="X7" s="199">
        <f>M28</f>
        <v>340.88</v>
      </c>
      <c r="Y7" s="199" t="s">
        <v>10</v>
      </c>
      <c r="Z7" s="199">
        <v>-25</v>
      </c>
      <c r="AA7" s="199">
        <f>N28</f>
        <v>314.12</v>
      </c>
      <c r="AC7" s="15">
        <v>5</v>
      </c>
      <c r="AD7" s="7" t="s">
        <v>6</v>
      </c>
      <c r="AE7" s="7" t="s">
        <v>7</v>
      </c>
      <c r="AF7" s="7" t="s">
        <v>8</v>
      </c>
      <c r="AG7" s="7" t="s">
        <v>9</v>
      </c>
      <c r="AI7" s="199" t="s">
        <v>28</v>
      </c>
      <c r="AJ7" s="9">
        <f>$B$2</f>
        <v>6.0220000000000002</v>
      </c>
      <c r="AK7" s="11">
        <f>AK2*(AJ7-AJ3)*(AJ7-AJ4)/((AJ2-AJ3)*(AJ2-AJ4))+AK3*(AJ7-AJ2)*(AJ7-AJ4)/((AJ3-AJ2)*(AJ3-AJ4))+AK4*(AJ7-AJ2)*(AJ7-AJ3)/((AJ4-AJ2)*(AJ4-AJ3))</f>
        <v>287.8851792808</v>
      </c>
      <c r="AL7" s="199" t="s">
        <v>28</v>
      </c>
      <c r="AM7" s="9">
        <f>$B$2</f>
        <v>6.0220000000000002</v>
      </c>
      <c r="AN7" s="11">
        <f>AN2*(AM7-AM3)*(AM7-AM4)/((AM2-AM3)*(AM2-AM4))+AN3*(AM7-AM2)*(AM7-AM4)/((AM3-AM2)*(AM3-AM4))+AN4*(AM7-AM2)*(AM7-AM3)/((AM4-AM2)*(AM4-AM3))</f>
        <v>277.87601000833337</v>
      </c>
      <c r="AO7" s="199" t="s">
        <v>28</v>
      </c>
      <c r="AP7" s="9">
        <f>$B$2</f>
        <v>6.0220000000000002</v>
      </c>
      <c r="AQ7" s="11">
        <f>AQ2*(AP7-AP3)*(AP7-AP4)/((AP2-AP3)*(AP2-AP4))+AQ3*(AP7-AP2)*(AP7-AP4)/((AP3-AP2)*(AP3-AP4))+AQ4*(AP7-AP2)*(AP7-AP3)/((AP4-AP2)*(AP4-AP3))</f>
        <v>299.31034190000008</v>
      </c>
      <c r="AR7" s="199" t="s">
        <v>28</v>
      </c>
      <c r="AS7" s="9">
        <f>$B$2</f>
        <v>6.0220000000000002</v>
      </c>
      <c r="AT7" s="11">
        <f>AT2*(AS7-AS3)*(AS7-AS4)/((AS2-AS3)*(AS2-AS4))+AT3*(AS7-AS2)*(AS7-AS4)/((AS3-AS2)*(AS3-AS4))+AT4*(AS7-AS2)*(AS7-AS3)/((AS4-AS2)*(AS4-AS3))</f>
        <v>275.79656645519998</v>
      </c>
    </row>
    <row r="8" spans="1:46">
      <c r="A8" s="98" t="s">
        <v>138</v>
      </c>
      <c r="E8" s="202" t="s">
        <v>6</v>
      </c>
      <c r="F8" s="202" t="s">
        <v>14</v>
      </c>
      <c r="G8" s="14" t="s">
        <v>15</v>
      </c>
      <c r="J8" s="199">
        <v>100</v>
      </c>
      <c r="K8" s="199">
        <v>305.29000000000002</v>
      </c>
      <c r="L8" s="199">
        <f>(630-16)/8*4.75/1.2</f>
        <v>303.80208333333337</v>
      </c>
      <c r="M8" s="199">
        <v>317.41000000000003</v>
      </c>
      <c r="N8" s="199">
        <v>292.45</v>
      </c>
      <c r="O8" s="13"/>
      <c r="P8" s="199" t="s">
        <v>11</v>
      </c>
      <c r="Q8" s="9">
        <f>$B$2</f>
        <v>6.0220000000000002</v>
      </c>
      <c r="R8" s="11">
        <f>R2*(Q8-Q3)*(Q8-Q4)*(Q8-Q5)*(Q8-Q6)*(Q8-Q7)/((Q2-Q3)*(Q2-Q4)*(Q2-Q5)*(Q2-Q6)*(Q2-Q7))+R3*(Q8-Q2)*(Q8-Q4)*(Q8-Q5)*(Q8-Q6)*(Q8-Q7)/((Q3-Q2)*(Q3-Q4)*(Q3-Q5)*(Q3-Q6)*(Q3-Q7))+R4*(Q8-Q2)*(Q8-Q3)*(Q8-Q5)*(Q8-Q6)*(Q8-Q7)/((Q4-Q2)*(Q4-Q3)*(Q4-Q5)*(Q4-Q6)*(Q4-Q7))+R5*(Q8-Q2)*(Q8-Q3)*(Q8-Q4)*(Q8-Q6)*(Q8-Q7)/((Q5-Q2)*(Q5-Q3)*(Q5-Q4)*(Q5-Q6)*(Q5-Q7))+R6*(Q8-Q2)*(Q8-Q3)*(Q8-Q4)*(Q8-Q5)*(Q8-Q7)/((Q6-Q2)*(Q6-Q3)*(Q6-Q4)*(Q6-Q5)*(Q6-Q7))+R7*(Q8-Q2)*(Q8-Q3)*(Q8-Q4)*(Q8-Q5)*(Q8-Q6)/((Q7-Q2)*(Q7-Q3)*(Q7-Q4)*(Q7-Q5)*(Q7-Q6))</f>
        <v>287.82439593349767</v>
      </c>
      <c r="S8" s="199" t="s">
        <v>11</v>
      </c>
      <c r="T8" s="9">
        <f>$B$2</f>
        <v>6.0220000000000002</v>
      </c>
      <c r="U8" s="11">
        <f>U2*(T8-T3)*(T8-T4)*(T8-T5)*(T8-T6)*(T8-T7)/((T2-T3)*(T2-T4)*(T2-T5)*(T2-T6)*(T2-T7))+U3*(T8-T2)*(T8-T4)*(T8-T5)*(T8-T6)*(T8-T7)/((T3-T2)*(T3-T4)*(T3-T5)*(T3-T6)*(T3-T7))+U4*(T8-T2)*(T8-T3)*(T8-T5)*(T8-T6)*(T8-T7)/((T4-T2)*(T4-T3)*(T4-T5)*(T4-T6)*(T4-T7))+U5*(T8-T2)*(T8-T3)*(T8-T4)*(T8-T6)*(T8-T7)/((T5-T2)*(T5-T3)*(T5-T4)*(T5-T6)*(T5-T7))+U6*(T8-T2)*(T8-T3)*(T8-T4)*(T8-T5)*(T8-T7)/((T6-T2)*(T6-T3)*(T6-T4)*(T6-T5)*(T6-T7))+U7*(T8-T2)*(T8-T3)*(T8-T4)*(T8-T5)*(T8-T6)/((T7-T2)*(T7-T3)*(T7-T4)*(T7-T5)*(T7-T6))</f>
        <v>277.30452266439067</v>
      </c>
      <c r="V8" s="199" t="s">
        <v>11</v>
      </c>
      <c r="W8" s="9">
        <f>$B$2</f>
        <v>6.0220000000000002</v>
      </c>
      <c r="X8" s="199">
        <f>X2*(W8-W3)*(W8-W4)*(W8-W5)*(W8-W6)*(W8-W7)/((W2-W3)*(W2-W4)*(W2-W5)*(W2-W6)*(W2-W7))+X3*(W8-W2)*(W8-W4)*(W8-W5)*(W8-W6)*(W8-W7)/((W3-W2)*(W3-W4)*(W3-W5)*(W3-W6)*(W3-W7))+X4*(W8-W2)*(W8-W3)*(W8-W5)*(W8-W6)*(W8-W7)/((W4-W2)*(W4-W3)*(W4-W5)*(W4-W6)*(W4-W7))+X5*(W8-W2)*(W8-W3)*(W8-W4)*(W8-W6)*(W8-W7)/((W5-W2)*(W5-W3)*(W5-W4)*(W5-W6)*(W5-W7))+X6*(W8-W2)*(W8-W3)*(W8-W4)*(W8-W5)*(W8-W7)/((W6-W2)*(W6-W3)*(W6-W4)*(W6-W5)*(W6-W7))+X7*(W8-W2)*(W8-W3)*(W8-W4)*(W8-W5)*(W8-W6)/((W7-W2)*(W7-W3)*(W7-W4)*(W7-W5)*(W7-W6))</f>
        <v>299.08587066654752</v>
      </c>
      <c r="Y8" s="199" t="s">
        <v>11</v>
      </c>
      <c r="Z8" s="9">
        <f>$B$2</f>
        <v>6.0220000000000002</v>
      </c>
      <c r="AA8" s="11">
        <f>AA2*(Z8-Z3)*(Z8-Z4)*(Z8-Z5)*(Z8-Z6)*(Z8-Z7)/((Z2-Z3)*(Z2-Z4)*(Z2-Z5)*(Z2-Z6)*(Z2-Z7))+AA3*(Z8-Z2)*(Z8-Z4)*(Z8-Z5)*(Z8-Z6)*(Z8-Z7)/((Z3-Z2)*(Z3-Z4)*(Z3-Z5)*(Z3-Z6)*(Z3-Z7))+AA4*(Z8-Z2)*(Z8-Z3)*(Z8-Z5)*(Z8-Z6)*(Z8-Z7)/((Z4-Z2)*(Z4-Z3)*(Z4-Z5)*(Z4-Z6)*(Z4-Z7))+AA5*(Z8-Z2)*(Z8-Z3)*(Z8-Z4)*(Z8-Z6)*(Z8-Z7)/((Z5-Z2)*(Z5-Z3)*(Z5-Z4)*(Z5-Z6)*(Z5-Z7))+AA6*(Z8-Z2)*(Z8-Z3)*(Z8-Z4)*(Z8-Z5)*(Z8-Z7)/((Z6-Z2)*(Z6-Z3)*(Z6-Z4)*(Z6-Z5)*(Z6-Z7))+AA7*(Z8-Z2)*(Z8-Z3)*(Z8-Z4)*(Z8-Z5)*(Z8-Z6)/((Z7-Z2)*(Z7-Z3)*(Z7-Z4)*(Z7-Z5)*(Z7-Z6))</f>
        <v>275.87088252852823</v>
      </c>
      <c r="AC8" s="199">
        <v>100</v>
      </c>
      <c r="AD8" s="199">
        <v>289.72000000000003</v>
      </c>
      <c r="AE8" s="199">
        <f>(630-63)/8*4.75/1.2</f>
        <v>280.546875</v>
      </c>
      <c r="AF8" s="199">
        <v>301.22000000000003</v>
      </c>
      <c r="AG8" s="199">
        <v>277.55</v>
      </c>
    </row>
    <row r="9" spans="1:46">
      <c r="A9" s="4">
        <f>0*(B6-0.9)*(B6-0.8)/((1-0.9)*(1-0.8))+7.7*(B6-1)*(B6-0.8)/((0.9-1)*(0.9-0.8))+16.19*(B6-1)*(B6-0.9)/((0.8-1)*(0.8-0.9))+B1</f>
        <v>258.43625000000003</v>
      </c>
      <c r="D9" s="199">
        <v>100</v>
      </c>
      <c r="E9" s="199">
        <f>K3</f>
        <v>297.98</v>
      </c>
      <c r="F9" s="199">
        <v>298.83</v>
      </c>
      <c r="G9" s="199">
        <v>297.14</v>
      </c>
      <c r="J9" s="199">
        <v>90</v>
      </c>
      <c r="K9" s="199">
        <v>281.36</v>
      </c>
      <c r="L9" s="199">
        <f>(630-53)/8*4.75/1.2</f>
        <v>285.49479166666669</v>
      </c>
      <c r="M9" s="199">
        <v>293.61</v>
      </c>
      <c r="N9" s="199">
        <v>268.61</v>
      </c>
      <c r="O9" s="13"/>
      <c r="R9" s="202" t="s">
        <v>12</v>
      </c>
      <c r="S9" s="202"/>
      <c r="T9" s="202"/>
      <c r="U9" s="202" t="s">
        <v>13</v>
      </c>
      <c r="V9" s="202"/>
      <c r="W9" s="202"/>
      <c r="X9" s="202" t="s">
        <v>8</v>
      </c>
      <c r="Y9" s="202"/>
      <c r="Z9" s="202"/>
      <c r="AA9" s="202" t="s">
        <v>9</v>
      </c>
      <c r="AC9" s="199">
        <v>90</v>
      </c>
      <c r="AD9" s="199">
        <v>265.22000000000003</v>
      </c>
      <c r="AE9" s="199">
        <f>(630-103)/8*4.75/1.2</f>
        <v>260.75520833333337</v>
      </c>
      <c r="AF9" s="199">
        <v>276.73</v>
      </c>
      <c r="AG9" s="199">
        <v>253.27</v>
      </c>
      <c r="AI9" s="202"/>
      <c r="AJ9" s="202"/>
      <c r="AK9" s="202" t="s">
        <v>12</v>
      </c>
      <c r="AL9" s="202"/>
      <c r="AM9" s="202"/>
      <c r="AN9" s="202" t="s">
        <v>13</v>
      </c>
      <c r="AO9" s="202"/>
      <c r="AP9" s="202"/>
      <c r="AQ9" s="202" t="s">
        <v>8</v>
      </c>
      <c r="AR9" s="202"/>
      <c r="AS9" s="202"/>
      <c r="AT9" s="202" t="s">
        <v>9</v>
      </c>
    </row>
    <row r="10" spans="1:46">
      <c r="D10" s="199">
        <v>90</v>
      </c>
      <c r="E10" s="199">
        <f>K4</f>
        <v>273.76</v>
      </c>
      <c r="F10" s="199">
        <v>274.51</v>
      </c>
      <c r="G10" s="199">
        <v>273.02999999999997</v>
      </c>
      <c r="J10" s="199">
        <v>80</v>
      </c>
      <c r="K10" s="199">
        <v>257.24</v>
      </c>
      <c r="L10" s="199">
        <f>(630-87)/8*4.75/1.2</f>
        <v>268.671875</v>
      </c>
      <c r="M10" s="199">
        <v>269.24</v>
      </c>
      <c r="N10" s="199">
        <v>244.57</v>
      </c>
      <c r="O10" s="13"/>
      <c r="P10" s="199" t="s">
        <v>10</v>
      </c>
      <c r="Q10" s="199">
        <v>0</v>
      </c>
      <c r="R10" s="199">
        <f>K4</f>
        <v>273.76</v>
      </c>
      <c r="S10" s="199" t="s">
        <v>10</v>
      </c>
      <c r="T10" s="199">
        <v>0</v>
      </c>
      <c r="U10" s="199">
        <f>L4</f>
        <v>274.11458333333337</v>
      </c>
      <c r="V10" s="199" t="s">
        <v>10</v>
      </c>
      <c r="W10" s="199">
        <v>0</v>
      </c>
      <c r="X10" s="199">
        <f>M4</f>
        <v>285.67</v>
      </c>
      <c r="Y10" s="199" t="s">
        <v>10</v>
      </c>
      <c r="Z10" s="199">
        <v>0</v>
      </c>
      <c r="AA10" s="199">
        <f>N4</f>
        <v>261.38</v>
      </c>
      <c r="AC10" s="199">
        <v>80</v>
      </c>
      <c r="AD10" s="199">
        <v>241.14</v>
      </c>
      <c r="AE10" s="199">
        <f>(630-138)/8*4.75/1.2</f>
        <v>243.4375</v>
      </c>
      <c r="AF10" s="199">
        <v>252.27</v>
      </c>
      <c r="AG10" s="199">
        <v>229.4</v>
      </c>
      <c r="AI10" s="199" t="s">
        <v>27</v>
      </c>
      <c r="AJ10" s="199">
        <v>0</v>
      </c>
      <c r="AK10" s="199">
        <f>AD4</f>
        <v>273.76</v>
      </c>
      <c r="AL10" s="199" t="s">
        <v>27</v>
      </c>
      <c r="AM10" s="199">
        <v>0</v>
      </c>
      <c r="AN10" s="199">
        <f>AE4</f>
        <v>274.11458333333337</v>
      </c>
      <c r="AO10" s="199" t="s">
        <v>27</v>
      </c>
      <c r="AP10" s="199">
        <v>0</v>
      </c>
      <c r="AQ10" s="199">
        <f>AF4</f>
        <v>285.67</v>
      </c>
      <c r="AR10" s="199" t="s">
        <v>27</v>
      </c>
      <c r="AS10" s="199">
        <v>0</v>
      </c>
      <c r="AT10" s="199">
        <f>AG4</f>
        <v>261.38</v>
      </c>
    </row>
    <row r="11" spans="1:46">
      <c r="A11" s="199" t="s">
        <v>23</v>
      </c>
      <c r="B11" s="199">
        <f>Plan1!$B$17</f>
        <v>86</v>
      </c>
      <c r="D11" s="199">
        <v>80</v>
      </c>
      <c r="E11" s="199">
        <f>K5</f>
        <v>249.62</v>
      </c>
      <c r="F11" s="199">
        <v>250.25</v>
      </c>
      <c r="G11" s="199">
        <v>248.99</v>
      </c>
      <c r="O11" s="13"/>
      <c r="P11" s="199" t="s">
        <v>10</v>
      </c>
      <c r="Q11" s="199">
        <v>-5</v>
      </c>
      <c r="R11" s="199">
        <f>K9</f>
        <v>281.36</v>
      </c>
      <c r="S11" s="199" t="s">
        <v>10</v>
      </c>
      <c r="T11" s="199">
        <v>-5</v>
      </c>
      <c r="U11" s="199">
        <f>L9</f>
        <v>285.49479166666669</v>
      </c>
      <c r="V11" s="199" t="s">
        <v>10</v>
      </c>
      <c r="W11" s="199">
        <v>-5</v>
      </c>
      <c r="X11" s="199">
        <f>M9</f>
        <v>293.61</v>
      </c>
      <c r="Y11" s="199" t="s">
        <v>10</v>
      </c>
      <c r="Z11" s="199">
        <v>-5</v>
      </c>
      <c r="AA11" s="199">
        <f>N9</f>
        <v>268.61</v>
      </c>
      <c r="AI11" s="199" t="s">
        <v>27</v>
      </c>
      <c r="AJ11" s="199">
        <v>5</v>
      </c>
      <c r="AK11" s="199">
        <f>AD9</f>
        <v>265.22000000000003</v>
      </c>
      <c r="AL11" s="199" t="s">
        <v>27</v>
      </c>
      <c r="AM11" s="199">
        <v>5</v>
      </c>
      <c r="AN11" s="199">
        <f>AE9</f>
        <v>260.75520833333337</v>
      </c>
      <c r="AO11" s="199" t="s">
        <v>27</v>
      </c>
      <c r="AP11" s="199">
        <v>5</v>
      </c>
      <c r="AQ11" s="199">
        <f>AF9</f>
        <v>276.73</v>
      </c>
      <c r="AR11" s="199" t="s">
        <v>27</v>
      </c>
      <c r="AS11" s="199">
        <v>5</v>
      </c>
      <c r="AT11" s="199">
        <f>AG9</f>
        <v>253.27</v>
      </c>
    </row>
    <row r="12" spans="1:46">
      <c r="A12" s="199" t="s">
        <v>24</v>
      </c>
      <c r="B12" s="199">
        <f>Plan1!$B$18</f>
        <v>49.06</v>
      </c>
      <c r="D12"/>
      <c r="F12" s="202" t="s">
        <v>38</v>
      </c>
      <c r="J12" s="15">
        <v>-10</v>
      </c>
      <c r="K12" s="7" t="s">
        <v>6</v>
      </c>
      <c r="L12" s="7" t="s">
        <v>7</v>
      </c>
      <c r="M12" s="7" t="s">
        <v>8</v>
      </c>
      <c r="N12" s="7" t="s">
        <v>9</v>
      </c>
      <c r="O12" s="17"/>
      <c r="P12" s="199" t="s">
        <v>10</v>
      </c>
      <c r="Q12" s="199">
        <v>-10</v>
      </c>
      <c r="R12" s="199">
        <f>K14</f>
        <v>288.17</v>
      </c>
      <c r="S12" s="199" t="s">
        <v>10</v>
      </c>
      <c r="T12" s="199">
        <v>-10</v>
      </c>
      <c r="U12" s="199">
        <f>L14</f>
        <v>296.30952380952385</v>
      </c>
      <c r="V12" s="199" t="s">
        <v>10</v>
      </c>
      <c r="W12" s="199">
        <v>-10</v>
      </c>
      <c r="X12" s="199">
        <f>M14</f>
        <v>300.70999999999998</v>
      </c>
      <c r="Y12" s="199" t="s">
        <v>10</v>
      </c>
      <c r="Z12" s="199">
        <v>-10</v>
      </c>
      <c r="AA12" s="199">
        <f>N14</f>
        <v>275.10000000000002</v>
      </c>
      <c r="AC12" s="15">
        <v>10</v>
      </c>
      <c r="AD12" s="7" t="s">
        <v>6</v>
      </c>
      <c r="AE12" s="7" t="s">
        <v>7</v>
      </c>
      <c r="AF12" s="7" t="s">
        <v>8</v>
      </c>
      <c r="AG12" s="7" t="s">
        <v>9</v>
      </c>
      <c r="AI12" s="199" t="s">
        <v>27</v>
      </c>
      <c r="AJ12" s="199">
        <v>10</v>
      </c>
      <c r="AK12" s="199">
        <f>AD14</f>
        <v>255.53</v>
      </c>
      <c r="AL12" s="199" t="s">
        <v>27</v>
      </c>
      <c r="AM12" s="199">
        <v>10</v>
      </c>
      <c r="AN12" s="199">
        <f>AE14</f>
        <v>246.40625</v>
      </c>
      <c r="AO12" s="199" t="s">
        <v>27</v>
      </c>
      <c r="AP12" s="199">
        <v>10</v>
      </c>
      <c r="AQ12" s="199">
        <f>AF14</f>
        <v>266.57</v>
      </c>
      <c r="AR12" s="199" t="s">
        <v>27</v>
      </c>
      <c r="AS12" s="199">
        <v>10</v>
      </c>
      <c r="AT12" s="199">
        <f>AG14</f>
        <v>244.1</v>
      </c>
    </row>
    <row r="13" spans="1:46">
      <c r="A13" s="199" t="s">
        <v>25</v>
      </c>
      <c r="B13" s="199">
        <f>COS(RADIANS(B12))</f>
        <v>0.65526833938609963</v>
      </c>
      <c r="D13" s="199">
        <v>100</v>
      </c>
      <c r="E13" s="199">
        <f>E9</f>
        <v>297.98</v>
      </c>
      <c r="F13" s="11">
        <f>E9*((D9-(100/360))-D10)*((D9-(100/360))-D11)/((D9-D10)*(D9-D11))+E10*((D9-(100/360))-D9)*((D9-(100/360))-D11)/((D10-D9)*(D10-D11))+E11*((D9-(100/360))-D9)*((D9-(100/360))-D10)/((D11-D9)*(D11-D10))</f>
        <v>297.30614197530861</v>
      </c>
      <c r="G13" s="199">
        <v>297.14</v>
      </c>
      <c r="J13" s="199">
        <v>100</v>
      </c>
      <c r="K13" s="199">
        <v>311.81</v>
      </c>
      <c r="L13" s="199">
        <f>(630-75)/7*4.75/1.2</f>
        <v>313.83928571428578</v>
      </c>
      <c r="M13" s="199">
        <v>324.18</v>
      </c>
      <c r="N13" s="199">
        <v>298.70999999999998</v>
      </c>
      <c r="O13" s="17"/>
      <c r="P13" s="199" t="s">
        <v>10</v>
      </c>
      <c r="Q13" s="199">
        <v>-15</v>
      </c>
      <c r="R13" s="199">
        <f>K19</f>
        <v>294.32</v>
      </c>
      <c r="S13" s="199" t="s">
        <v>10</v>
      </c>
      <c r="T13" s="199">
        <v>-15</v>
      </c>
      <c r="U13" s="199">
        <f>L19</f>
        <v>305.92261904761909</v>
      </c>
      <c r="V13" s="199" t="s">
        <v>10</v>
      </c>
      <c r="W13" s="199">
        <v>-15</v>
      </c>
      <c r="X13" s="199">
        <f>M19</f>
        <v>307.12</v>
      </c>
      <c r="Y13" s="199" t="s">
        <v>10</v>
      </c>
      <c r="Z13" s="199">
        <v>-15</v>
      </c>
      <c r="AA13" s="199">
        <f>N19</f>
        <v>280.95999999999998</v>
      </c>
      <c r="AC13" s="199">
        <v>100</v>
      </c>
      <c r="AD13" s="199">
        <v>280.27</v>
      </c>
      <c r="AE13" s="199">
        <f>(630-91)/8*4.75/1.2</f>
        <v>266.69270833333337</v>
      </c>
      <c r="AF13" s="199">
        <v>291.38</v>
      </c>
      <c r="AG13" s="199">
        <v>268.52999999999997</v>
      </c>
      <c r="AI13" s="199" t="s">
        <v>27</v>
      </c>
      <c r="AJ13" s="199"/>
      <c r="AK13" s="199">
        <f>AD19</f>
        <v>0</v>
      </c>
      <c r="AL13" s="199" t="s">
        <v>27</v>
      </c>
      <c r="AM13" s="199"/>
      <c r="AN13" s="199">
        <f>AE19</f>
        <v>0</v>
      </c>
      <c r="AO13" s="199" t="s">
        <v>27</v>
      </c>
      <c r="AP13" s="199"/>
      <c r="AQ13" s="199">
        <f>AF19</f>
        <v>0</v>
      </c>
      <c r="AR13" s="199" t="s">
        <v>27</v>
      </c>
      <c r="AS13" s="199"/>
      <c r="AT13" s="199">
        <f>AG19</f>
        <v>0</v>
      </c>
    </row>
    <row r="14" spans="1:46">
      <c r="A14" s="199" t="s">
        <v>26</v>
      </c>
      <c r="B14" s="199">
        <f>B5</f>
        <v>-1.8784359062401523</v>
      </c>
      <c r="D14" s="199">
        <v>90</v>
      </c>
      <c r="E14" s="199">
        <f>E10</f>
        <v>273.76</v>
      </c>
      <c r="F14" s="11">
        <f>E9*((D10-(100/360))-D10)*((D10-(100/360))-D11)/((D9-D10)*(D9-D11))+E10*((D10-(100/360))-D9)*((D10-(100/360))-D11)/((D10-D9)*(D10-D11))+E11*((D10-(100/360))-D9)*((D10-(100/360))-D10)/((D11-D9)*(D11-D10))</f>
        <v>273.08836419753089</v>
      </c>
      <c r="G14" s="199">
        <v>273.02999999999997</v>
      </c>
      <c r="J14" s="199">
        <v>90</v>
      </c>
      <c r="K14" s="199">
        <v>288.17</v>
      </c>
      <c r="L14" s="199">
        <f>(630-106)/7*4.75/1.2</f>
        <v>296.30952380952385</v>
      </c>
      <c r="M14" s="199">
        <v>300.70999999999998</v>
      </c>
      <c r="N14" s="199">
        <v>275.10000000000002</v>
      </c>
      <c r="O14" s="17"/>
      <c r="P14" s="199" t="s">
        <v>10</v>
      </c>
      <c r="Q14" s="199">
        <v>-20</v>
      </c>
      <c r="R14" s="199">
        <f>K24</f>
        <v>299.89999999999998</v>
      </c>
      <c r="S14" s="199" t="s">
        <v>10</v>
      </c>
      <c r="T14" s="199">
        <v>-20</v>
      </c>
      <c r="U14" s="199">
        <f>L24</f>
        <v>314.97023809523813</v>
      </c>
      <c r="V14" s="199" t="s">
        <v>10</v>
      </c>
      <c r="W14" s="199">
        <v>-20</v>
      </c>
      <c r="X14" s="199">
        <f>M24</f>
        <v>312.94</v>
      </c>
      <c r="Y14" s="199" t="s">
        <v>10</v>
      </c>
      <c r="Z14" s="199">
        <v>-20</v>
      </c>
      <c r="AA14" s="199">
        <f>N24</f>
        <v>286.27999999999997</v>
      </c>
      <c r="AC14" s="199">
        <v>90</v>
      </c>
      <c r="AD14" s="199">
        <v>255.53</v>
      </c>
      <c r="AE14" s="199">
        <f>(630-132)/8*4.75/1.2</f>
        <v>246.40625</v>
      </c>
      <c r="AF14" s="199">
        <v>266.57</v>
      </c>
      <c r="AG14" s="199">
        <v>244.1</v>
      </c>
      <c r="AI14" s="199" t="s">
        <v>27</v>
      </c>
      <c r="AJ14" s="199"/>
      <c r="AK14" s="199">
        <f>AD24</f>
        <v>0</v>
      </c>
      <c r="AL14" s="199" t="s">
        <v>27</v>
      </c>
      <c r="AM14" s="199"/>
      <c r="AN14" s="199">
        <f>AE24</f>
        <v>0</v>
      </c>
      <c r="AO14" s="199" t="s">
        <v>27</v>
      </c>
      <c r="AP14" s="199"/>
      <c r="AQ14" s="199">
        <f>AF24</f>
        <v>0</v>
      </c>
      <c r="AR14" s="199" t="s">
        <v>27</v>
      </c>
      <c r="AS14" s="199"/>
      <c r="AT14" s="199">
        <f>AG24</f>
        <v>0</v>
      </c>
    </row>
    <row r="15" spans="1:46">
      <c r="D15" s="199">
        <v>80</v>
      </c>
      <c r="E15" s="199">
        <f>E11</f>
        <v>249.62</v>
      </c>
      <c r="F15" s="11">
        <f>E9*((D11-(100/360))-D10)*((D11-(100/360))-D11)/((D9-D10)*(D9-D11))+E10*((D11-(100/360))-D9)*((D11-(100/360))-D11)/((D10-D9)*(D10-D11))+E11*((D11-(100/360))-D9)*((D11-(100/360))-D10)/((D11-D9)*(D11-D10))</f>
        <v>248.95058641975311</v>
      </c>
      <c r="G15" s="199">
        <v>248.99</v>
      </c>
      <c r="J15" s="199">
        <v>80</v>
      </c>
      <c r="K15" s="199">
        <v>264.11</v>
      </c>
      <c r="L15" s="199">
        <f>(630-135)/7*4.75/1.2</f>
        <v>279.91071428571428</v>
      </c>
      <c r="M15" s="199">
        <v>276.47000000000003</v>
      </c>
      <c r="N15" s="199">
        <v>251.07</v>
      </c>
      <c r="O15" s="13"/>
      <c r="P15" s="199" t="s">
        <v>10</v>
      </c>
      <c r="Q15" s="199">
        <v>-25</v>
      </c>
      <c r="R15" s="199">
        <f>K29</f>
        <v>305</v>
      </c>
      <c r="S15" s="199" t="s">
        <v>10</v>
      </c>
      <c r="T15" s="199">
        <v>-25</v>
      </c>
      <c r="U15" s="199">
        <f>L29</f>
        <v>323.45238095238096</v>
      </c>
      <c r="V15" s="199" t="s">
        <v>10</v>
      </c>
      <c r="W15" s="199">
        <v>-25</v>
      </c>
      <c r="X15" s="199">
        <f>M29</f>
        <v>318.25</v>
      </c>
      <c r="Y15" s="199" t="s">
        <v>10</v>
      </c>
      <c r="Z15" s="199">
        <v>-25</v>
      </c>
      <c r="AA15" s="199">
        <f>N29</f>
        <v>291.14</v>
      </c>
      <c r="AC15" s="199">
        <v>80</v>
      </c>
      <c r="AD15" s="199">
        <v>231.66</v>
      </c>
      <c r="AE15" s="199">
        <f>(630-168)/8*4.75/1.2</f>
        <v>228.59375</v>
      </c>
      <c r="AF15" s="199">
        <v>242.24</v>
      </c>
      <c r="AG15" s="199">
        <v>220.5</v>
      </c>
      <c r="AI15" s="199" t="s">
        <v>28</v>
      </c>
      <c r="AJ15" s="9">
        <f>$B$2</f>
        <v>6.0220000000000002</v>
      </c>
      <c r="AK15" s="11">
        <f>AK10*(AJ15-AJ11)*(AJ15-AJ12)/((AJ10-AJ11)*(AJ10-AJ12))+AK11*(AJ15-AJ10)*(AJ15-AJ12)/((AJ11-AJ10)*(AJ11-AJ12))+AK12*(AJ15-AJ10)*(AJ15-AJ11)/((AJ12-AJ10)*(AJ12-AJ11))</f>
        <v>263.33287086799999</v>
      </c>
      <c r="AL15" s="199" t="s">
        <v>28</v>
      </c>
      <c r="AM15" s="9">
        <f>$B$2</f>
        <v>6.0220000000000002</v>
      </c>
      <c r="AN15" s="11">
        <f>AN10*(AM15-AM11)*(AM15-AM12)/((AM10-AM11)*(AM10-AM12))+AN11*(AM15-AM10)*(AM15-AM12)/((AM11-AM10)*(AM11-AM12))+AN12*(AM15-AM10)*(AM15-AM11)/((AM12-AM10)*(AM12-AM11))</f>
        <v>257.90274458750002</v>
      </c>
      <c r="AO15" s="199" t="s">
        <v>28</v>
      </c>
      <c r="AP15" s="9">
        <f>$B$2</f>
        <v>6.0220000000000002</v>
      </c>
      <c r="AQ15" s="11">
        <f>AQ10*(AP15-AP11)*(AP15-AP12)/((AP10-AP11)*(AP10-AP12))+AQ11*(AP15-AP10)*(AP15-AP12)/((AP11-AP10)*(AP11-AP12))+AQ12*(AP15-AP10)*(AP15-AP11)/((AP12-AP10)*(AP12-AP11))</f>
        <v>274.75249459040003</v>
      </c>
      <c r="AR15" s="199" t="s">
        <v>28</v>
      </c>
      <c r="AS15" s="9">
        <f>$B$2</f>
        <v>6.0220000000000002</v>
      </c>
      <c r="AT15" s="11">
        <f>AT10*(AS15-AS11)*(AS15-AS12)/((AS10-AS11)*(AS10-AS12))+AT11*(AS15-AS10)*(AS15-AS12)/((AS11-AS10)*(AS11-AS12))+AT12*(AS15-AS10)*(AS15-AS11)/((AS12-AS10)*(AS12-AS11))</f>
        <v>251.4818409392</v>
      </c>
    </row>
    <row r="16" spans="1:46">
      <c r="A16" s="199" t="s">
        <v>32</v>
      </c>
      <c r="B16" s="23">
        <f>$B$3*SIN(RADIANS($B$4))</f>
        <v>0.95798784374570456</v>
      </c>
      <c r="O16" s="13"/>
      <c r="P16" s="199" t="s">
        <v>11</v>
      </c>
      <c r="Q16" s="9">
        <f>$B$2</f>
        <v>6.0220000000000002</v>
      </c>
      <c r="R16" s="11">
        <f>R10*(Q16-Q11)*(Q16-Q12)*(Q16-Q13)*(Q16-Q14)*(Q16-Q15)/((Q10-Q11)*(Q10-Q12)*(Q10-Q13)*(Q10-Q14)*(Q10-Q15))+R11*(Q16-Q10)*(Q16-Q12)*(Q16-Q13)*(Q16-Q14)*(Q16-Q15)/((Q11-Q10)*(Q11-Q12)*(Q11-Q13)*(Q11-Q14)*(Q11-Q15))+R12*(Q16-Q10)*(Q16-Q11)*(Q16-Q13)*(Q16-Q14)*(Q16-Q15)/((Q12-Q10)*(Q12-Q11)*(Q12-Q13)*(Q12-Q14)*(Q12-Q15))+R13*(Q16-Q10)*(Q16-Q11)*(Q16-Q12)*(Q16-Q14)*(Q16-Q15)/((Q13-Q10)*(Q13-Q11)*(Q13-Q12)*(Q13-Q14)*(Q13-Q15))+R14*(Q16-Q10)*(Q16-Q11)*(Q16-Q12)*(Q16-Q13)*(Q16-Q15)/((Q14-Q10)*(Q14-Q11)*(Q14-Q12)*(Q14-Q13)*(Q14-Q15))+R15*(Q16-Q10)*(Q16-Q11)*(Q16-Q12)*(Q16-Q13)*(Q16-Q14)/((Q15-Q10)*(Q15-Q11)*(Q15-Q12)*(Q15-Q13)*(Q15-Q14))</f>
        <v>263.25184298556275</v>
      </c>
      <c r="S16" s="199" t="s">
        <v>11</v>
      </c>
      <c r="T16" s="9">
        <f>$B$2</f>
        <v>6.0220000000000002</v>
      </c>
      <c r="U16" s="25">
        <f>U10*(T16-T11)*(T16-T12)*(T16-T13)*(T16-T14)*(T16-T15)/((T10-T11)*(T10-T12)*(T10-T13)*(T10-T14)*(T10-T15))+U11*(T16-T10)*(T16-T12)*(T16-T13)*(T16-T14)*(T16-T15)/((T11-T10)*(T11-T12)*(T11-T13)*(T11-T14)*(T11-T15))+U12*(T16-T10)*(T16-T11)*(T16-T13)*(T16-T14)*(T16-T15)/((T12-T10)*(T12-T11)*(T12-T13)*(T12-T14)*(T12-T15))+U13*(T16-T10)*(T16-T11)*(T16-T12)*(T16-T14)*(T16-T15)/((T13-T10)*(T13-T11)*(T13-T12)*(T13-T14)*(T13-T15))+U14*(T16-T10)*(T16-T11)*(T16-T12)*(T16-T13)*(T16-T15)/((T14-T10)*(T14-T11)*(T14-T12)*(T14-T13)*(T14-T15))+U15*(T16-T10)*(T16-T11)*(T16-T12)*(T16-T13)*(T16-T14)/((T15-T10)*(T15-T11)*(T15-T12)*(T15-T13)*(T15-T14))</f>
        <v>265.41655613728011</v>
      </c>
      <c r="V16" s="199" t="s">
        <v>11</v>
      </c>
      <c r="W16" s="9">
        <f>$B$2</f>
        <v>6.0220000000000002</v>
      </c>
      <c r="X16" s="199">
        <f>X10*(W16-W11)*(W16-W12)*(W16-W13)*(W16-W14)*(W16-W15)/((W10-W11)*(W10-W12)*(W10-W13)*(W10-W14)*(W10-W15))+X11*(W16-W10)*(W16-W12)*(W16-W13)*(W16-W14)*(W16-W15)/((W11-W10)*(W11-W12)*(W11-W13)*(W11-W14)*(W11-W15))+X12*(W16-W10)*(W16-W11)*(W16-W13)*(W16-W14)*(W16-W15)/((W12-W10)*(W12-W11)*(W12-W13)*(W12-W14)*(W12-W15))+X13*(W16-W10)*(W16-W11)*(W16-W12)*(W16-W14)*(W16-W15)/((W13-W10)*(W13-W11)*(W13-W12)*(W13-W14)*(W13-W15))+X14*(W16-W10)*(W16-W11)*(W16-W12)*(W16-W13)*(W16-W15)/((W14-W10)*(W14-W11)*(W14-W12)*(W14-W13)*(W14-W15))+X15*(W16-W10)*(W16-W11)*(W16-W12)*(W16-W13)*(W16-W14)/((W15-W10)*(W15-W11)*(W15-W12)*(W15-W13)*(W15-W14))</f>
        <v>274.65822305447978</v>
      </c>
      <c r="Y16" s="199" t="s">
        <v>11</v>
      </c>
      <c r="Z16" s="9">
        <f>$B$2</f>
        <v>6.0220000000000002</v>
      </c>
      <c r="AA16" s="11">
        <f>AA10*(Z16-Z11)*(Z16-Z12)*(Z16-Z13)*(Z16-Z14)*(Z16-Z15)/((Z10-Z11)*(Z10-Z12)*(Z10-Z13)*(Z10-Z14)*(Z10-Z15))+AA11*(Z16-Z10)*(Z16-Z12)*(Z16-Z13)*(Z16-Z14)*(Z16-Z15)/((Z11-Z10)*(Z11-Z12)*(Z11-Z13)*(Z11-Z14)*(Z11-Z15))+AA12*(Z16-Z10)*(Z16-Z11)*(Z16-Z13)*(Z16-Z14)*(Z16-Z15)/((Z12-Z10)*(Z12-Z11)*(Z12-Z13)*(Z12-Z14)*(Z12-Z15))+AA13*(Z16-Z10)*(Z16-Z11)*(Z16-Z12)*(Z16-Z14)*(Z16-Z15)/((Z13-Z10)*(Z13-Z11)*(Z13-Z12)*(Z13-Z14)*(Z13-Z15))+AA14*(Z16-Z10)*(Z16-Z11)*(Z16-Z12)*(Z16-Z13)*(Z16-Z15)/((Z14-Z10)*(Z14-Z11)*(Z14-Z12)*(Z14-Z13)*(Z14-Z15))+AA15*(Z16-Z10)*(Z16-Z11)*(Z16-Z12)*(Z16-Z13)*(Z16-Z14)/((Z15-Z10)*(Z15-Z11)*(Z15-Z12)*(Z15-Z13)*(Z15-Z14))</f>
        <v>251.48855163173209</v>
      </c>
    </row>
    <row r="17" spans="1:46">
      <c r="A17" s="199" t="s">
        <v>33</v>
      </c>
      <c r="B17" s="23">
        <f>$B$3*COS(RADIANS($B$4))</f>
        <v>-0.28680880606329973</v>
      </c>
      <c r="E17" s="240" t="s">
        <v>40</v>
      </c>
      <c r="F17" s="241"/>
      <c r="J17" s="15">
        <v>-15</v>
      </c>
      <c r="K17" s="7" t="s">
        <v>6</v>
      </c>
      <c r="L17" s="7" t="s">
        <v>7</v>
      </c>
      <c r="M17" s="7" t="s">
        <v>8</v>
      </c>
      <c r="N17" s="7" t="s">
        <v>9</v>
      </c>
      <c r="O17" s="13"/>
      <c r="R17" s="202" t="s">
        <v>12</v>
      </c>
      <c r="S17" s="202"/>
      <c r="T17" s="202"/>
      <c r="U17" s="202" t="s">
        <v>13</v>
      </c>
      <c r="V17" s="202"/>
      <c r="W17" s="202"/>
      <c r="X17" s="202" t="s">
        <v>8</v>
      </c>
      <c r="Y17" s="202"/>
      <c r="Z17" s="202"/>
      <c r="AA17" s="202" t="s">
        <v>9</v>
      </c>
      <c r="AC17" s="202"/>
      <c r="AD17" s="202"/>
      <c r="AE17" s="202"/>
      <c r="AF17" s="202"/>
      <c r="AG17" s="202"/>
      <c r="AI17" s="202"/>
      <c r="AJ17" s="202"/>
      <c r="AK17" s="202" t="s">
        <v>12</v>
      </c>
      <c r="AL17" s="202"/>
      <c r="AM17" s="202"/>
      <c r="AN17" s="202" t="s">
        <v>13</v>
      </c>
      <c r="AO17" s="202"/>
      <c r="AP17" s="202"/>
      <c r="AQ17" s="202" t="s">
        <v>8</v>
      </c>
      <c r="AR17" s="202"/>
      <c r="AS17" s="202"/>
      <c r="AT17" s="202" t="s">
        <v>9</v>
      </c>
    </row>
    <row r="18" spans="1:46">
      <c r="E18" s="199">
        <v>100</v>
      </c>
      <c r="F18" s="11">
        <f>E23*(B24-9)*(B24--9)/((0-9)*(0--9))+G23*(B24-0)*(B24--9)/((9-0)*(9--9))+H23*(B24-0)*(B24-9)/((-9-0)*(-9-9))</f>
        <v>287.51416862629202</v>
      </c>
      <c r="J18" s="199">
        <v>100</v>
      </c>
      <c r="K18" s="199">
        <v>317.69</v>
      </c>
      <c r="L18" s="199">
        <f>(630-59)/7*4.75/1.2</f>
        <v>322.88690476190476</v>
      </c>
      <c r="M18" s="199">
        <v>330.29</v>
      </c>
      <c r="N18" s="199">
        <v>304.35000000000002</v>
      </c>
      <c r="O18" s="13"/>
      <c r="P18" s="199" t="s">
        <v>10</v>
      </c>
      <c r="Q18" s="199">
        <v>0</v>
      </c>
      <c r="R18" s="199">
        <f>K5</f>
        <v>249.62</v>
      </c>
      <c r="S18" s="199" t="s">
        <v>10</v>
      </c>
      <c r="T18" s="199">
        <v>0</v>
      </c>
      <c r="U18" s="199">
        <f>L5</f>
        <v>256.796875</v>
      </c>
      <c r="V18" s="199" t="s">
        <v>10</v>
      </c>
      <c r="W18" s="199">
        <v>0</v>
      </c>
      <c r="X18" s="199">
        <f>M5</f>
        <v>261.22000000000003</v>
      </c>
      <c r="Y18" s="199" t="s">
        <v>10</v>
      </c>
      <c r="Z18" s="199">
        <v>0</v>
      </c>
      <c r="AA18" s="199">
        <f>N5</f>
        <v>237.38</v>
      </c>
      <c r="AC18" s="202"/>
      <c r="AD18" s="202"/>
      <c r="AE18" s="202"/>
      <c r="AF18" s="202"/>
      <c r="AG18" s="202"/>
      <c r="AI18" s="199" t="s">
        <v>27</v>
      </c>
      <c r="AJ18" s="199">
        <v>0</v>
      </c>
      <c r="AK18" s="199">
        <f>AD5</f>
        <v>249.62</v>
      </c>
      <c r="AL18" s="199" t="s">
        <v>27</v>
      </c>
      <c r="AM18" s="199">
        <v>0</v>
      </c>
      <c r="AN18" s="199">
        <f>AE5</f>
        <v>256.796875</v>
      </c>
      <c r="AO18" s="199" t="s">
        <v>27</v>
      </c>
      <c r="AP18" s="199">
        <v>0</v>
      </c>
      <c r="AQ18" s="199">
        <f>AF5</f>
        <v>261.22000000000003</v>
      </c>
      <c r="AR18" s="199" t="s">
        <v>27</v>
      </c>
      <c r="AS18" s="199">
        <v>0</v>
      </c>
      <c r="AT18" s="199">
        <f>AG5</f>
        <v>237.38</v>
      </c>
    </row>
    <row r="19" spans="1:46">
      <c r="A19" s="199" t="s">
        <v>31</v>
      </c>
      <c r="B19" s="199" t="s">
        <v>35</v>
      </c>
      <c r="E19" s="199">
        <v>90</v>
      </c>
      <c r="F19" s="11">
        <f>E24*(B24-9)*(B24--9)/((0-9)*(0--9))+G24*(B24-0)*(B24--9)/((9-0)*(9--9))+H24*(B24-0)*(B24-9)/((-9-0)*(-9-9))</f>
        <v>262.96580821981303</v>
      </c>
      <c r="J19" s="199">
        <v>90</v>
      </c>
      <c r="K19" s="199">
        <v>294.32</v>
      </c>
      <c r="L19" s="199">
        <f>(630-89)/7*4.75/1.2</f>
        <v>305.92261904761909</v>
      </c>
      <c r="M19" s="199">
        <v>307.12</v>
      </c>
      <c r="N19" s="199">
        <v>280.95999999999998</v>
      </c>
      <c r="O19" s="13"/>
      <c r="P19" s="199" t="s">
        <v>10</v>
      </c>
      <c r="Q19" s="199">
        <v>-5</v>
      </c>
      <c r="R19" s="199">
        <f>K10</f>
        <v>257.24</v>
      </c>
      <c r="S19" s="199" t="s">
        <v>10</v>
      </c>
      <c r="T19" s="199">
        <v>-5</v>
      </c>
      <c r="U19" s="199">
        <f>L10</f>
        <v>268.671875</v>
      </c>
      <c r="V19" s="199" t="s">
        <v>10</v>
      </c>
      <c r="W19" s="199">
        <v>-5</v>
      </c>
      <c r="X19" s="199">
        <f>M10</f>
        <v>269.24</v>
      </c>
      <c r="Y19" s="199" t="s">
        <v>10</v>
      </c>
      <c r="Z19" s="199">
        <v>-5</v>
      </c>
      <c r="AA19" s="199">
        <f>N10</f>
        <v>244.57</v>
      </c>
      <c r="AC19" s="202"/>
      <c r="AD19" s="202"/>
      <c r="AE19" s="202"/>
      <c r="AF19" s="202"/>
      <c r="AG19" s="202"/>
      <c r="AI19" s="199" t="s">
        <v>27</v>
      </c>
      <c r="AJ19" s="199">
        <v>5</v>
      </c>
      <c r="AK19" s="199">
        <f>AD10</f>
        <v>241.14</v>
      </c>
      <c r="AL19" s="199" t="s">
        <v>27</v>
      </c>
      <c r="AM19" s="199">
        <v>5</v>
      </c>
      <c r="AN19" s="199">
        <f>AE10</f>
        <v>243.4375</v>
      </c>
      <c r="AO19" s="199" t="s">
        <v>27</v>
      </c>
      <c r="AP19" s="199">
        <v>5</v>
      </c>
      <c r="AQ19" s="199">
        <f>AF10</f>
        <v>252.27</v>
      </c>
      <c r="AR19" s="199" t="s">
        <v>27</v>
      </c>
      <c r="AS19" s="199">
        <v>5</v>
      </c>
      <c r="AT19" s="199">
        <f>AG10</f>
        <v>229.4</v>
      </c>
    </row>
    <row r="20" spans="1:46">
      <c r="A20" s="22">
        <f>(F23*(D2-E24)*(D2-E25)/((E23-E24)*(E23-E25))+F24*(D2-E23)*(D2-E25)/((E24-E23)*(E24-E25))+F25*(D2-E23)*(D2-E24)/((E25-E23)*(E25-E24)))</f>
        <v>245.5751952181844</v>
      </c>
      <c r="B20" s="23">
        <f>(B16*A20+(A21*B14))/(D2*(44/17.5))</f>
        <v>-0.36458071929456776</v>
      </c>
      <c r="E20" s="199">
        <v>80</v>
      </c>
      <c r="F20" s="11">
        <f>E25*(B24-9)*(B24--9)/((0-9)*(0--9))+G25*(B24-0)*(B24--9)/((9-0)*(9--9))+H25*(B24-0)*(B24-9)/((-9-0)*(-9-9))</f>
        <v>238.92620207142889</v>
      </c>
      <c r="J20" s="199">
        <v>80</v>
      </c>
      <c r="K20" s="199">
        <v>270.35000000000002</v>
      </c>
      <c r="L20" s="199">
        <f>(630-117)/7*4.75/1.2</f>
        <v>290.08928571428578</v>
      </c>
      <c r="M20" s="199">
        <v>283.02</v>
      </c>
      <c r="N20" s="199">
        <v>256.97000000000003</v>
      </c>
      <c r="O20" s="16"/>
      <c r="P20" s="199" t="s">
        <v>10</v>
      </c>
      <c r="Q20" s="199">
        <v>-10</v>
      </c>
      <c r="R20" s="199">
        <f>K15</f>
        <v>264.11</v>
      </c>
      <c r="S20" s="199" t="s">
        <v>10</v>
      </c>
      <c r="T20" s="199">
        <v>-10</v>
      </c>
      <c r="U20" s="199">
        <f>L15</f>
        <v>279.91071428571428</v>
      </c>
      <c r="V20" s="199" t="s">
        <v>10</v>
      </c>
      <c r="W20" s="199">
        <v>-10</v>
      </c>
      <c r="X20" s="199">
        <f>M15</f>
        <v>276.47000000000003</v>
      </c>
      <c r="Y20" s="199" t="s">
        <v>10</v>
      </c>
      <c r="Z20" s="199">
        <v>-10</v>
      </c>
      <c r="AA20" s="199">
        <f>N15</f>
        <v>251.07</v>
      </c>
      <c r="AC20" s="202"/>
      <c r="AD20" s="202"/>
      <c r="AE20" s="202"/>
      <c r="AF20" s="202"/>
      <c r="AG20" s="202"/>
      <c r="AI20" s="199" t="s">
        <v>27</v>
      </c>
      <c r="AJ20" s="199">
        <v>10</v>
      </c>
      <c r="AK20" s="199">
        <f>AD15</f>
        <v>231.66</v>
      </c>
      <c r="AL20" s="199" t="s">
        <v>27</v>
      </c>
      <c r="AM20" s="199">
        <v>10</v>
      </c>
      <c r="AN20" s="199">
        <f>AE15</f>
        <v>228.59375</v>
      </c>
      <c r="AO20" s="199" t="s">
        <v>27</v>
      </c>
      <c r="AP20" s="199">
        <v>10</v>
      </c>
      <c r="AQ20" s="199">
        <f>AF15</f>
        <v>242.24</v>
      </c>
      <c r="AR20" s="199" t="s">
        <v>27</v>
      </c>
      <c r="AS20" s="199">
        <v>10</v>
      </c>
      <c r="AT20" s="199">
        <f>AG15</f>
        <v>220.5</v>
      </c>
    </row>
    <row r="21" spans="1:46">
      <c r="A21" s="22">
        <f>A20*1</f>
        <v>245.5751952181844</v>
      </c>
      <c r="O21" s="16"/>
      <c r="P21" s="199" t="s">
        <v>10</v>
      </c>
      <c r="Q21" s="199">
        <v>-15</v>
      </c>
      <c r="R21" s="199">
        <f>K20</f>
        <v>270.35000000000002</v>
      </c>
      <c r="S21" s="199" t="s">
        <v>10</v>
      </c>
      <c r="T21" s="199">
        <v>-15</v>
      </c>
      <c r="U21" s="199">
        <f>L20</f>
        <v>290.08928571428578</v>
      </c>
      <c r="V21" s="199" t="s">
        <v>10</v>
      </c>
      <c r="W21" s="199">
        <v>-15</v>
      </c>
      <c r="X21" s="199">
        <f>M20</f>
        <v>283.02</v>
      </c>
      <c r="Y21" s="199" t="s">
        <v>10</v>
      </c>
      <c r="Z21" s="199">
        <v>-15</v>
      </c>
      <c r="AA21" s="199">
        <f>N20</f>
        <v>256.97000000000003</v>
      </c>
      <c r="AC21" s="202"/>
      <c r="AD21" s="202"/>
      <c r="AE21" s="202"/>
      <c r="AF21" s="202"/>
      <c r="AG21" s="202"/>
      <c r="AI21" s="199" t="s">
        <v>27</v>
      </c>
      <c r="AJ21" s="199"/>
      <c r="AK21" s="199">
        <f>AD20</f>
        <v>0</v>
      </c>
      <c r="AL21" s="199" t="s">
        <v>27</v>
      </c>
      <c r="AM21" s="199"/>
      <c r="AN21" s="199">
        <f>AE20</f>
        <v>0</v>
      </c>
      <c r="AO21" s="199" t="s">
        <v>27</v>
      </c>
      <c r="AP21" s="199"/>
      <c r="AQ21" s="199">
        <f>AF20</f>
        <v>0</v>
      </c>
      <c r="AR21" s="199" t="s">
        <v>27</v>
      </c>
      <c r="AS21" s="199"/>
      <c r="AT21" s="199">
        <f>AG20</f>
        <v>0</v>
      </c>
    </row>
    <row r="22" spans="1:46">
      <c r="D22" s="144" t="s">
        <v>169</v>
      </c>
      <c r="E22" s="15" t="s">
        <v>6</v>
      </c>
      <c r="F22" s="15" t="s">
        <v>7</v>
      </c>
      <c r="G22" s="15" t="s">
        <v>29</v>
      </c>
      <c r="H22" s="15" t="s">
        <v>30</v>
      </c>
      <c r="J22" s="15">
        <v>-20</v>
      </c>
      <c r="K22" s="7" t="s">
        <v>6</v>
      </c>
      <c r="L22" s="7" t="s">
        <v>7</v>
      </c>
      <c r="M22" s="7" t="s">
        <v>8</v>
      </c>
      <c r="N22" s="7" t="s">
        <v>9</v>
      </c>
      <c r="O22" s="16"/>
      <c r="P22" s="199" t="s">
        <v>10</v>
      </c>
      <c r="Q22" s="199">
        <v>-20</v>
      </c>
      <c r="R22" s="199">
        <f>K25</f>
        <v>276.04000000000002</v>
      </c>
      <c r="S22" s="199" t="s">
        <v>10</v>
      </c>
      <c r="T22" s="199">
        <v>-20</v>
      </c>
      <c r="U22" s="199">
        <f>L25</f>
        <v>299.70238095238096</v>
      </c>
      <c r="V22" s="199" t="s">
        <v>10</v>
      </c>
      <c r="W22" s="199">
        <v>-20</v>
      </c>
      <c r="X22" s="199">
        <f>M25</f>
        <v>288.98</v>
      </c>
      <c r="Y22" s="199" t="s">
        <v>10</v>
      </c>
      <c r="Z22" s="199">
        <v>-20</v>
      </c>
      <c r="AA22" s="199">
        <f>N25</f>
        <v>262.36</v>
      </c>
      <c r="AC22" s="202"/>
      <c r="AD22" s="202"/>
      <c r="AE22" s="202"/>
      <c r="AF22" s="202"/>
      <c r="AG22" s="202"/>
      <c r="AI22" s="199" t="s">
        <v>27</v>
      </c>
      <c r="AJ22" s="199"/>
      <c r="AK22" s="199">
        <f>AD25</f>
        <v>0</v>
      </c>
      <c r="AL22" s="199" t="s">
        <v>27</v>
      </c>
      <c r="AM22" s="199"/>
      <c r="AN22" s="199">
        <f>AE25</f>
        <v>0</v>
      </c>
      <c r="AO22" s="199" t="s">
        <v>27</v>
      </c>
      <c r="AP22" s="199"/>
      <c r="AQ22" s="199">
        <f>AF25</f>
        <v>0</v>
      </c>
      <c r="AR22" s="199" t="s">
        <v>27</v>
      </c>
      <c r="AS22" s="199"/>
      <c r="AT22" s="199">
        <f>AG25</f>
        <v>0</v>
      </c>
    </row>
    <row r="23" spans="1:46">
      <c r="A23" s="199" t="s">
        <v>36</v>
      </c>
      <c r="B23" s="23">
        <f>$B$3*SIN(RADIANS($B$4+B20*0.707))</f>
        <v>0.95926842224632325</v>
      </c>
      <c r="D23" s="142">
        <v>100</v>
      </c>
      <c r="E23" s="142">
        <f>IF($B$2&gt;0,E28,E33)</f>
        <v>287.8851792808</v>
      </c>
      <c r="F23" s="142">
        <f t="shared" ref="F23:H25" si="2">IF($B$2&gt;0,F28,F33)</f>
        <v>277.87601000833337</v>
      </c>
      <c r="G23" s="142">
        <f t="shared" si="2"/>
        <v>299.31034190000008</v>
      </c>
      <c r="H23" s="142">
        <f t="shared" si="2"/>
        <v>275.79656645519998</v>
      </c>
      <c r="J23" s="199">
        <v>100</v>
      </c>
      <c r="K23" s="199">
        <v>323.02999999999997</v>
      </c>
      <c r="L23" s="199">
        <f>(630-44)/7*4.75/1.2</f>
        <v>331.36904761904759</v>
      </c>
      <c r="M23" s="199">
        <v>335.83</v>
      </c>
      <c r="N23" s="199">
        <v>309.45999999999998</v>
      </c>
      <c r="P23" s="199" t="s">
        <v>10</v>
      </c>
      <c r="Q23" s="199">
        <v>-25</v>
      </c>
      <c r="R23" s="199">
        <f>K30</f>
        <v>281.25</v>
      </c>
      <c r="S23" s="199" t="s">
        <v>10</v>
      </c>
      <c r="T23" s="199">
        <v>-25</v>
      </c>
      <c r="U23" s="199">
        <f>L30</f>
        <v>308.75</v>
      </c>
      <c r="V23" s="199" t="s">
        <v>10</v>
      </c>
      <c r="W23" s="199">
        <v>-25</v>
      </c>
      <c r="X23" s="199">
        <f>M30</f>
        <v>294.44</v>
      </c>
      <c r="Y23" s="199" t="s">
        <v>10</v>
      </c>
      <c r="Z23" s="199">
        <v>-25</v>
      </c>
      <c r="AA23" s="199">
        <f>N30</f>
        <v>267.29000000000002</v>
      </c>
      <c r="AC23" s="202"/>
      <c r="AD23" s="202"/>
      <c r="AE23" s="202"/>
      <c r="AF23" s="202"/>
      <c r="AG23" s="202"/>
      <c r="AI23" s="199" t="s">
        <v>28</v>
      </c>
      <c r="AJ23" s="9">
        <f>$B$2</f>
        <v>6.0220000000000002</v>
      </c>
      <c r="AK23" s="11">
        <f>AK18*(AJ23-AJ19)*(AJ23-AJ20)/((AJ18-AJ19)*(AJ18-AJ20))+AK19*(AJ23-AJ18)*(AJ23-AJ20)/((AJ19-AJ18)*(AJ19-AJ20))+AK20*(AJ23-AJ18)*(AJ23-AJ19)/((AJ20-AJ18)*(AJ20-AJ19))</f>
        <v>239.28359831999998</v>
      </c>
      <c r="AL23" s="199" t="s">
        <v>28</v>
      </c>
      <c r="AM23" s="9">
        <f>$B$2</f>
        <v>6.0220000000000002</v>
      </c>
      <c r="AN23" s="11">
        <f>AN18*(AM23-AM19)*(AM23-AM20)/((AM18-AM19)*(AM18-AM20))+AN19*(AM23-AM18)*(AM23-AM20)/((AM19-AM18)*(AM19-AM20))+AN20*(AM23-AM18)*(AM23-AM19)/((AM20-AM18)*(AM20-AM19))</f>
        <v>240.52413250625</v>
      </c>
      <c r="AO23" s="199" t="s">
        <v>28</v>
      </c>
      <c r="AP23" s="9">
        <f>$B$2</f>
        <v>6.0220000000000002</v>
      </c>
      <c r="AQ23" s="11">
        <f>AQ18*(AP23-AP19)*(AP23-AP20)/((AP18-AP19)*(AP18-AP20))+AQ19*(AP23-AP18)*(AP23-AP20)/((AP19-AP18)*(AP19-AP20))+AQ20*(AP23-AP18)*(AP23-AP19)/((AP20-AP18)*(AP20-AP19))</f>
        <v>250.30768314560004</v>
      </c>
      <c r="AR23" s="199" t="s">
        <v>28</v>
      </c>
      <c r="AS23" s="9">
        <f>$B$2</f>
        <v>6.0220000000000002</v>
      </c>
      <c r="AT23" s="11">
        <f>AT18*(AS23-AS19)*(AS23-AS20)/((AS18-AS19)*(AS18-AS20))+AT19*(AS23-AS18)*(AS23-AS20)/((AS19-AS18)*(AS19-AS20))+AT20*(AS23-AS18)*(AS23-AS19)/((AS20-AS18)*(AS20-AS19))</f>
        <v>227.65564549440003</v>
      </c>
    </row>
    <row r="24" spans="1:46">
      <c r="A24" s="199" t="s">
        <v>37</v>
      </c>
      <c r="B24" s="23">
        <f>$B$3*COS(RADIANS($B$4+B20*0.5))</f>
        <v>-0.28375945713253248</v>
      </c>
      <c r="D24" s="142">
        <v>90</v>
      </c>
      <c r="E24" s="142">
        <f>IF($B$2&gt;0,E29,E34)</f>
        <v>263.33287086799999</v>
      </c>
      <c r="F24" s="142">
        <f t="shared" si="2"/>
        <v>257.90274458750002</v>
      </c>
      <c r="G24" s="142">
        <f t="shared" si="2"/>
        <v>274.75249459040003</v>
      </c>
      <c r="H24" s="142">
        <f t="shared" si="2"/>
        <v>251.4818409392</v>
      </c>
      <c r="J24" s="199">
        <v>90</v>
      </c>
      <c r="K24" s="199">
        <v>299.89999999999998</v>
      </c>
      <c r="L24" s="199">
        <f>(630-73)/7*4.75/1.2</f>
        <v>314.97023809523813</v>
      </c>
      <c r="M24" s="199">
        <v>312.94</v>
      </c>
      <c r="N24" s="199">
        <v>286.27999999999997</v>
      </c>
      <c r="P24" s="199" t="s">
        <v>11</v>
      </c>
      <c r="Q24" s="9">
        <f>$B$2</f>
        <v>6.0220000000000002</v>
      </c>
      <c r="R24" s="11">
        <f>R18*(Q24-Q19)*(Q24-Q20)*(Q24-Q21)*(Q24-Q22)*(Q24-Q23)/((Q18-Q19)*(Q18-Q20)*(Q18-Q21)*(Q18-Q22)*(Q18-Q23))+R19*(Q24-Q18)*(Q24-Q20)*(Q24-Q21)*(Q24-Q22)*(Q24-Q23)/((Q19-Q18)*(Q19-Q20)*(Q19-Q21)*(Q19-Q22)*(Q19-Q23))+R20*(Q24-Q18)*(Q24-Q19)*(Q24-Q21)*(Q24-Q22)*(Q24-Q23)/((Q20-Q18)*(Q20-Q19)*(Q20-Q21)*(Q20-Q22)*(Q20-Q23))+R21*(Q24-Q18)*(Q24-Q19)*(Q24-Q20)*(Q24-Q22)*(Q24-Q23)/((Q21-Q18)*(Q21-Q19)*(Q21-Q20)*(Q21-Q22)*(Q21-Q23))+R22*(Q24-Q18)*(Q24-Q19)*(Q24-Q20)*(Q24-Q21)*(Q24-Q23)/((Q22-Q18)*(Q22-Q19)*(Q22-Q20)*(Q22-Q21)*(Q22-Q23))+R23*(Q24-Q18)*(Q24-Q19)*(Q24-Q20)*(Q24-Q21)*(Q24-Q22)/((Q23-Q18)*(Q23-Q19)*(Q23-Q20)*(Q23-Q21)*(Q23-Q22))</f>
        <v>239.17054713003949</v>
      </c>
      <c r="S24" s="199" t="s">
        <v>11</v>
      </c>
      <c r="T24" s="9">
        <f>$B$2</f>
        <v>6.0220000000000002</v>
      </c>
      <c r="U24" s="25">
        <f>U18*(T24-T19)*(T24-T20)*(T24-T21)*(T24-T22)*(T24-T23)/((T18-T19)*(T18-T20)*(T18-T21)*(T18-T22)*(T18-T23))+U19*(T24-T18)*(T24-T20)*(T24-T21)*(T24-T22)*(T24-T23)/((T19-T18)*(T19-T20)*(T19-T21)*(T19-T22)*(T19-T23))+U20*(T24-T18)*(T24-T19)*(T24-T21)*(T24-T22)*(T24-T23)/((T20-T18)*(T20-T19)*(T20-T21)*(T20-T22)*(T20-T23))+U21*(T24-T18)*(T24-T19)*(T24-T20)*(T24-T22)*(T24-T23)/((T21-T18)*(T21-T19)*(T21-T20)*(T21-T22)*(T21-T23))+U22*(T24-T18)*(T24-T19)*(T24-T20)*(T24-T21)*(T24-T23)/((T22-T18)*(T22-T19)*(T22-T20)*(T22-T21)*(T22-T23))+U23*(T24-T18)*(T24-T19)*(T24-T20)*(T24-T21)*(T24-T22)/((T23-T18)*(T23-T19)*(T23-T20)*(T23-T21)*(T23-T22))</f>
        <v>245.81409084906181</v>
      </c>
      <c r="V24" s="199" t="s">
        <v>11</v>
      </c>
      <c r="W24" s="9">
        <f>$B$2</f>
        <v>6.0220000000000002</v>
      </c>
      <c r="X24" s="199">
        <f>X18*(W24-W19)*(W24-W20)*(W24-W21)*(W24-W22)*(W24-W23)/((W18-W19)*(W18-W20)*(W18-W21)*(W18-W22)*(W18-W23))+X19*(W24-W18)*(W24-W20)*(W24-W21)*(W24-W22)*(W24-W23)/((W19-W18)*(W19-W20)*(W19-W21)*(W19-W22)*(W19-W23))+X20*(W24-W18)*(W24-W19)*(W24-W21)*(W24-W22)*(W24-W23)/((W20-W18)*(W20-W19)*(W20-W21)*(W20-W22)*(W20-W23))+X21*(W24-W18)*(W24-W19)*(W24-W20)*(W24-W22)*(W24-W23)/((W21-W18)*(W21-W19)*(W21-W20)*(W21-W22)*(W21-W23))+X22*(W24-W18)*(W24-W19)*(W24-W20)*(W24-W21)*(W24-W23)/((W22-W18)*(W22-W19)*(W22-W20)*(W22-W21)*(W22-W23))+X23*(W24-W18)*(W24-W19)*(W24-W20)*(W24-W21)*(W24-W22)/((W23-W18)*(W23-W19)*(W23-W20)*(W23-W21)*(W23-W22))</f>
        <v>250.29518795022625</v>
      </c>
      <c r="Y24" s="199" t="s">
        <v>11</v>
      </c>
      <c r="Z24" s="9">
        <f>$B$2</f>
        <v>6.0220000000000002</v>
      </c>
      <c r="AA24" s="11">
        <f>AA18*(Z24-Z19)*(Z24-Z20)*(Z24-Z21)*(Z24-Z22)*(Z24-Z23)/((Z18-Z19)*(Z18-Z20)*(Z18-Z21)*(Z18-Z22)*(Z18-Z23))+AA19*(Z24-Z18)*(Z24-Z20)*(Z24-Z21)*(Z24-Z22)*(Z24-Z23)/((Z19-Z18)*(Z19-Z20)*(Z19-Z21)*(Z19-Z22)*(Z19-Z23))+AA20*(Z24-Z18)*(Z24-Z19)*(Z24-Z21)*(Z24-Z22)*(Z24-Z23)/((Z20-Z18)*(Z20-Z19)*(Z20-Z21)*(Z20-Z22)*(Z20-Z23))+AA21*(Z24-Z18)*(Z24-Z19)*(Z24-Z20)*(Z24-Z22)*(Z24-Z23)/((Z21-Z18)*(Z21-Z19)*(Z21-Z20)*(Z21-Z22)*(Z21-Z23))+AA22*(Z24-Z18)*(Z24-Z19)*(Z24-Z20)*(Z24-Z21)*(Z24-Z23)/((Z22-Z18)*(Z22-Z19)*(Z22-Z20)*(Z22-Z21)*(Z22-Z23))+AA23*(Z24-Z18)*(Z24-Z19)*(Z24-Z20)*(Z24-Z21)*(Z24-Z22)/((Z23-Z18)*(Z23-Z19)*(Z23-Z20)*(Z23-Z21)*(Z23-Z22))</f>
        <v>227.73883467291898</v>
      </c>
      <c r="AC24" s="202"/>
      <c r="AD24" s="202"/>
      <c r="AE24" s="202"/>
      <c r="AF24" s="202"/>
      <c r="AG24" s="202"/>
    </row>
    <row r="25" spans="1:46">
      <c r="D25" s="142">
        <v>80</v>
      </c>
      <c r="E25" s="142">
        <f>IF($B$2&gt;0,E30,E35)</f>
        <v>239.28359831999998</v>
      </c>
      <c r="F25" s="142">
        <f t="shared" si="2"/>
        <v>240.52413250625</v>
      </c>
      <c r="G25" s="142">
        <f t="shared" si="2"/>
        <v>250.30768314560004</v>
      </c>
      <c r="H25" s="142">
        <f t="shared" si="2"/>
        <v>227.65564549440003</v>
      </c>
      <c r="J25" s="199">
        <v>80</v>
      </c>
      <c r="K25" s="199">
        <v>276.04000000000002</v>
      </c>
      <c r="L25" s="199">
        <f>(630-100)/7*4.75/1.2</f>
        <v>299.70238095238096</v>
      </c>
      <c r="M25" s="199">
        <v>288.98</v>
      </c>
      <c r="N25" s="199">
        <v>262.36</v>
      </c>
      <c r="AC25" s="202"/>
      <c r="AD25" s="202"/>
      <c r="AE25" s="202"/>
      <c r="AF25" s="202"/>
      <c r="AG25" s="202"/>
    </row>
    <row r="26" spans="1:46">
      <c r="A26" s="240" t="s">
        <v>39</v>
      </c>
      <c r="B26" s="241"/>
      <c r="D26"/>
      <c r="E26" s="12"/>
      <c r="F26" s="12"/>
      <c r="G26" s="12"/>
      <c r="H26" s="12"/>
      <c r="R26" s="202" t="s">
        <v>12</v>
      </c>
      <c r="S26" s="202"/>
      <c r="T26" s="202"/>
      <c r="U26" s="202" t="s">
        <v>13</v>
      </c>
      <c r="V26" s="202"/>
      <c r="W26" s="202"/>
      <c r="X26" s="202" t="s">
        <v>8</v>
      </c>
      <c r="Y26" s="202"/>
      <c r="Z26" s="202"/>
      <c r="AA26" s="202" t="s">
        <v>9</v>
      </c>
      <c r="AC26" s="202"/>
      <c r="AD26" s="202"/>
      <c r="AE26" s="202"/>
      <c r="AF26" s="202"/>
      <c r="AG26" s="202"/>
    </row>
    <row r="27" spans="1:46">
      <c r="A27" s="199">
        <f>F13*(D4-E14)*(D4-E15)/((E13-E14)*(E13-E15))+F14*(D4-E13)*(D4-E15)/((E14-E13)*(E14-E15))+F15*(D4-E13)*(D4-E14)/((E15-E13)*(E15-E14))</f>
        <v>257.17432457359297</v>
      </c>
      <c r="B27" s="199">
        <f>G13*(D4-E14)*(D4-E15)/((E13-E14)*(E13-E15))+G14*(D4-E13)*(D4-E15)/((E14-E13)*(E14-E15))+G15*(D4-E13)*(D4-E14)/((E15-E13)*(E15-E14))</f>
        <v>257.18150661580671</v>
      </c>
      <c r="D27" s="15" t="s">
        <v>27</v>
      </c>
      <c r="E27" s="7" t="s">
        <v>6</v>
      </c>
      <c r="F27" s="7" t="s">
        <v>7</v>
      </c>
      <c r="G27" s="7" t="s">
        <v>29</v>
      </c>
      <c r="H27" s="7" t="s">
        <v>30</v>
      </c>
      <c r="J27" s="15">
        <v>-25</v>
      </c>
      <c r="K27" s="7" t="s">
        <v>6</v>
      </c>
      <c r="L27" s="7" t="s">
        <v>7</v>
      </c>
      <c r="M27" s="7" t="s">
        <v>8</v>
      </c>
      <c r="N27" s="7" t="s">
        <v>9</v>
      </c>
      <c r="P27" s="199" t="s">
        <v>10</v>
      </c>
      <c r="Q27" s="199">
        <v>-25</v>
      </c>
      <c r="R27" s="199">
        <f>K28</f>
        <v>327.89</v>
      </c>
      <c r="S27" s="199" t="s">
        <v>10</v>
      </c>
      <c r="T27" s="199">
        <v>-25</v>
      </c>
      <c r="U27" s="199">
        <f>L28</f>
        <v>339.28571428571428</v>
      </c>
      <c r="V27" s="199" t="s">
        <v>10</v>
      </c>
      <c r="W27" s="199">
        <v>-25</v>
      </c>
      <c r="X27" s="199">
        <f>M28</f>
        <v>340.88</v>
      </c>
      <c r="Y27" s="199" t="s">
        <v>10</v>
      </c>
      <c r="Z27" s="199">
        <v>-25</v>
      </c>
      <c r="AA27" s="199">
        <f>N28</f>
        <v>314.12</v>
      </c>
      <c r="AB27" s="202"/>
      <c r="AC27" s="202"/>
      <c r="AD27" s="202"/>
      <c r="AE27" s="202"/>
      <c r="AF27" s="202"/>
      <c r="AG27" s="202"/>
      <c r="AH27" s="202"/>
    </row>
    <row r="28" spans="1:46">
      <c r="D28" s="199">
        <v>100</v>
      </c>
      <c r="E28" s="11">
        <f>AK7</f>
        <v>287.8851792808</v>
      </c>
      <c r="F28" s="11">
        <f>AN7</f>
        <v>277.87601000833337</v>
      </c>
      <c r="G28" s="11">
        <f>AQ7</f>
        <v>299.31034190000008</v>
      </c>
      <c r="H28" s="145">
        <f>AT7</f>
        <v>275.79656645519998</v>
      </c>
      <c r="J28" s="199">
        <v>100</v>
      </c>
      <c r="K28" s="199">
        <v>327.89</v>
      </c>
      <c r="L28" s="199">
        <f>(630-30)/7*4.75/1.2</f>
        <v>339.28571428571428</v>
      </c>
      <c r="M28" s="199">
        <v>340.88</v>
      </c>
      <c r="N28" s="199">
        <v>314.12</v>
      </c>
      <c r="P28" s="199" t="s">
        <v>10</v>
      </c>
      <c r="Q28" s="199">
        <v>-30</v>
      </c>
      <c r="R28" s="199">
        <f>K33</f>
        <v>332.36</v>
      </c>
      <c r="S28" s="199" t="s">
        <v>10</v>
      </c>
      <c r="T28" s="199">
        <v>-30</v>
      </c>
      <c r="U28" s="199">
        <f>L33</f>
        <v>346.63690476190476</v>
      </c>
      <c r="V28" s="199" t="s">
        <v>10</v>
      </c>
      <c r="W28" s="199">
        <v>-30</v>
      </c>
      <c r="X28" s="199">
        <f>M33</f>
        <v>345.53</v>
      </c>
      <c r="Y28" s="199" t="s">
        <v>10</v>
      </c>
      <c r="Z28" s="199">
        <v>-30</v>
      </c>
      <c r="AA28" s="199">
        <f>N33</f>
        <v>318.41000000000003</v>
      </c>
      <c r="AB28" s="201"/>
      <c r="AC28" s="202"/>
      <c r="AD28" s="202"/>
      <c r="AE28" s="202"/>
      <c r="AF28" s="202"/>
      <c r="AG28" s="202"/>
      <c r="AH28" s="202"/>
    </row>
    <row r="29" spans="1:46">
      <c r="A29" s="199" t="s">
        <v>41</v>
      </c>
      <c r="B29" s="199" t="s">
        <v>42</v>
      </c>
      <c r="D29" s="199">
        <v>90</v>
      </c>
      <c r="E29" s="11">
        <f>AK15</f>
        <v>263.33287086799999</v>
      </c>
      <c r="F29" s="11">
        <f>AN15</f>
        <v>257.90274458750002</v>
      </c>
      <c r="G29" s="11">
        <f>AQ15</f>
        <v>274.75249459040003</v>
      </c>
      <c r="H29" s="145">
        <f>AT15</f>
        <v>251.4818409392</v>
      </c>
      <c r="J29" s="199">
        <v>90</v>
      </c>
      <c r="K29" s="199">
        <v>305</v>
      </c>
      <c r="L29" s="199">
        <f>(630-58)/7*4.75/1.2</f>
        <v>323.45238095238096</v>
      </c>
      <c r="M29" s="199">
        <v>318.25</v>
      </c>
      <c r="N29" s="199">
        <v>291.14</v>
      </c>
      <c r="P29" s="199" t="s">
        <v>10</v>
      </c>
      <c r="Q29" s="199">
        <v>-35</v>
      </c>
      <c r="R29" s="199">
        <f>K38</f>
        <v>336.48</v>
      </c>
      <c r="S29" s="199" t="s">
        <v>10</v>
      </c>
      <c r="T29" s="199">
        <v>-35</v>
      </c>
      <c r="U29" s="199">
        <f>L38</f>
        <v>353.61111111111109</v>
      </c>
      <c r="V29" s="199" t="s">
        <v>10</v>
      </c>
      <c r="W29" s="199">
        <v>-35</v>
      </c>
      <c r="X29" s="199">
        <f>M38</f>
        <v>349.81</v>
      </c>
      <c r="Y29" s="199" t="s">
        <v>10</v>
      </c>
      <c r="Z29" s="199">
        <v>-35</v>
      </c>
      <c r="AA29" s="199">
        <f>N38</f>
        <v>322.35000000000002</v>
      </c>
      <c r="AB29" s="201"/>
      <c r="AC29" s="202"/>
      <c r="AD29" s="202"/>
      <c r="AE29" s="202"/>
      <c r="AF29" s="202"/>
      <c r="AG29" s="202"/>
      <c r="AH29" s="202"/>
    </row>
    <row r="30" spans="1:46">
      <c r="A30" s="11">
        <f>E18*(D4-F19)*(D4-F20)/((F18-F19)*(F18-F20))+E19*(D4-F18)*(D4-F20)/((F19-F18)*(F19-F20))+E20*(D4-F18)*(D4-F19)/((F20-F18)*(F20-F19))</f>
        <v>87.886826258365218</v>
      </c>
      <c r="B30" s="11">
        <f>(F23*(A30-D24)*(A30-D25)/((D23-D24)*(D23-D25))+F24*(A30-D23)*(A30-D25)/((D24-D23)*(D24-D25))+F25*(A30-D23)*(A30-D24)/((D25-D23)*(D25-D24)))*(B23+(B14*(A21/A20))*(A30/100))</f>
        <v>-175.68360712007691</v>
      </c>
      <c r="D30" s="199">
        <v>80</v>
      </c>
      <c r="E30" s="11">
        <f>AK23</f>
        <v>239.28359831999998</v>
      </c>
      <c r="F30" s="11">
        <f>AN23</f>
        <v>240.52413250625</v>
      </c>
      <c r="G30" s="11">
        <f>AQ23</f>
        <v>250.30768314560004</v>
      </c>
      <c r="H30" s="145">
        <f>AT23</f>
        <v>227.65564549440003</v>
      </c>
      <c r="J30" s="199">
        <v>80</v>
      </c>
      <c r="K30" s="199">
        <v>281.25</v>
      </c>
      <c r="L30" s="199">
        <f>(630-84)/7*4.75/1.2</f>
        <v>308.75</v>
      </c>
      <c r="M30" s="199">
        <v>294.44</v>
      </c>
      <c r="N30" s="199">
        <v>267.29000000000002</v>
      </c>
      <c r="P30" s="199" t="s">
        <v>10</v>
      </c>
      <c r="Q30" s="199">
        <v>-40</v>
      </c>
      <c r="R30" s="199">
        <f>K43</f>
        <v>340.3</v>
      </c>
      <c r="S30" s="199" t="s">
        <v>10</v>
      </c>
      <c r="T30" s="199">
        <v>-40</v>
      </c>
      <c r="U30" s="199">
        <f>L43</f>
        <v>360.20833333333337</v>
      </c>
      <c r="V30" s="199" t="s">
        <v>10</v>
      </c>
      <c r="W30" s="199">
        <v>-40</v>
      </c>
      <c r="X30" s="199">
        <f>M43</f>
        <v>353.78</v>
      </c>
      <c r="Y30" s="199" t="s">
        <v>10</v>
      </c>
      <c r="Z30" s="199">
        <v>-40</v>
      </c>
      <c r="AA30" s="199">
        <f>N43</f>
        <v>326</v>
      </c>
      <c r="AB30" s="201"/>
      <c r="AC30" s="202"/>
      <c r="AD30" s="202"/>
      <c r="AE30" s="202"/>
      <c r="AF30" s="202"/>
      <c r="AG30" s="202"/>
      <c r="AH30" s="202"/>
    </row>
    <row r="31" spans="1:46">
      <c r="A31" s="199" t="s">
        <v>44</v>
      </c>
      <c r="B31" s="199" t="s">
        <v>43</v>
      </c>
      <c r="D31"/>
      <c r="E31" s="12"/>
      <c r="F31" s="12"/>
      <c r="G31" s="12"/>
      <c r="H31" s="12"/>
      <c r="P31" s="199" t="s">
        <v>10</v>
      </c>
      <c r="Q31" s="199">
        <v>-45</v>
      </c>
      <c r="R31" s="199">
        <f>K48</f>
        <v>343.84</v>
      </c>
      <c r="S31" s="199" t="s">
        <v>10</v>
      </c>
      <c r="T31" s="199">
        <v>-45</v>
      </c>
      <c r="U31" s="199">
        <f>L48</f>
        <v>366.14583333333337</v>
      </c>
      <c r="V31" s="199" t="s">
        <v>10</v>
      </c>
      <c r="W31" s="199">
        <v>-45</v>
      </c>
      <c r="X31" s="199">
        <f>M48</f>
        <v>357.47</v>
      </c>
      <c r="Y31" s="199" t="s">
        <v>10</v>
      </c>
      <c r="Z31" s="199">
        <v>-45</v>
      </c>
      <c r="AA31" s="199">
        <f>N48</f>
        <v>329.39</v>
      </c>
      <c r="AB31" s="201"/>
      <c r="AC31" s="202"/>
      <c r="AD31" s="202"/>
      <c r="AE31" s="202"/>
      <c r="AF31" s="202"/>
      <c r="AG31" s="202"/>
      <c r="AH31" s="202"/>
    </row>
    <row r="32" spans="1:46">
      <c r="A32" s="25">
        <f>(360-ROUNDDOWN((1-(A30/100))*360,0))*292/360</f>
        <v>257.12222222222221</v>
      </c>
      <c r="B32" s="11">
        <f>MOD((A30/100)*-360,1)*-((D4-A27)/(D4-B27))+7</f>
        <v>6.3859944024494615</v>
      </c>
      <c r="D32" s="15" t="s">
        <v>10</v>
      </c>
      <c r="E32" s="7" t="s">
        <v>6</v>
      </c>
      <c r="F32" s="7" t="s">
        <v>7</v>
      </c>
      <c r="G32" s="7" t="s">
        <v>29</v>
      </c>
      <c r="H32" s="7" t="s">
        <v>30</v>
      </c>
      <c r="J32" s="15">
        <v>-30</v>
      </c>
      <c r="K32" s="7" t="s">
        <v>6</v>
      </c>
      <c r="L32" s="7" t="s">
        <v>7</v>
      </c>
      <c r="M32" s="7" t="s">
        <v>8</v>
      </c>
      <c r="N32" s="7" t="s">
        <v>9</v>
      </c>
      <c r="P32" s="199" t="s">
        <v>10</v>
      </c>
      <c r="Q32" s="199">
        <v>-50</v>
      </c>
      <c r="R32" s="199">
        <f>K53</f>
        <v>347.15</v>
      </c>
      <c r="S32" s="199" t="s">
        <v>10</v>
      </c>
      <c r="T32" s="199">
        <v>-50</v>
      </c>
      <c r="U32" s="199">
        <f>L53</f>
        <v>372.08333333333337</v>
      </c>
      <c r="V32" s="199" t="s">
        <v>10</v>
      </c>
      <c r="W32" s="199">
        <v>-50</v>
      </c>
      <c r="X32" s="199">
        <f>M53</f>
        <v>360.91</v>
      </c>
      <c r="Y32" s="199" t="s">
        <v>10</v>
      </c>
      <c r="Z32" s="199">
        <v>-50</v>
      </c>
      <c r="AA32" s="199">
        <f>N53</f>
        <v>332.55</v>
      </c>
      <c r="AB32" s="201"/>
      <c r="AC32" s="202"/>
      <c r="AD32" s="202"/>
      <c r="AE32" s="202"/>
      <c r="AF32" s="202"/>
      <c r="AG32" s="202"/>
      <c r="AH32" s="202"/>
    </row>
    <row r="33" spans="4:28">
      <c r="D33" s="199">
        <v>100</v>
      </c>
      <c r="E33" s="199">
        <f>IF($B$2&gt;0,Q1,IF($B$2&gt;-25,R8,IF($B$2&gt;-50,R33,IF($B$2&gt;-75,R58))))</f>
        <v>0</v>
      </c>
      <c r="F33" s="199">
        <f>IF($B$2&gt;0,Q1,IF($B$2&gt;-25,U8,IF($B$2&gt;-50,U33,IF($B$2&gt;-75,U58))))</f>
        <v>0</v>
      </c>
      <c r="G33" s="199">
        <f>IF($B$2&gt;0,Q1,IF($B$2&gt;-25,X8,IF($B$2&gt;-50,X33,IF($B$2&gt;-75,X58))))</f>
        <v>0</v>
      </c>
      <c r="H33" s="22">
        <f>IF($B$2&gt;0,Q1,IF($B$2&gt;-25,AA8,IF($B$2&gt;-50,AA33,IF($B$2&gt;-75,AA58))))</f>
        <v>0</v>
      </c>
      <c r="J33" s="199">
        <v>100</v>
      </c>
      <c r="K33" s="199">
        <v>332.36</v>
      </c>
      <c r="L33" s="199">
        <f>(630-17)/7*4.75/1.2</f>
        <v>346.63690476190476</v>
      </c>
      <c r="M33" s="199">
        <v>345.53</v>
      </c>
      <c r="N33" s="199">
        <v>318.41000000000003</v>
      </c>
      <c r="P33" s="199" t="s">
        <v>11</v>
      </c>
      <c r="Q33" s="9">
        <f>$B$2</f>
        <v>6.0220000000000002</v>
      </c>
      <c r="R33" s="11">
        <f>R27*(Q33-Q28)*(Q33-Q29)*(Q33-Q30)*(Q33-Q31)*(Q33-Q32)/((Q27-Q28)*(Q27-Q29)*(Q27-Q30)*(Q27-Q31)*(Q27-Q32))+R28*(Q33-Q27)*(Q33-Q29)*(Q33-Q30)*(Q33-Q31)*(Q33-Q32)/((Q28-Q27)*(Q28-Q29)*(Q28-Q30)*(Q28-Q31)*(Q28-Q32))+R29*(Q33-Q27)*(Q33-Q28)*(Q33-Q30)*(Q33-Q31)*(Q33-Q32)/((Q29-Q27)*(Q29-Q28)*(Q29-Q30)*(Q29-Q31)*(Q29-Q32))+R30*(Q33-Q27)*(Q33-Q28)*(Q33-Q29)*(Q33-Q31)*(Q33-Q32)/((Q30-Q27)*(Q30-Q28)*(Q30-Q29)*(Q30-Q31)*(Q30-Q32))+R31*(Q33-Q27)*(Q33-Q28)*(Q33-Q29)*(Q33-Q30)*(Q33-Q32)/((Q31-Q27)*(Q31-Q28)*(Q31-Q29)*(Q31-Q30)*(Q31-Q32))+R32*(Q33-Q27)*(Q33-Q28)*(Q33-Q29)*(Q33-Q30)*(Q33-Q31)/((Q32-Q27)*(Q32-Q28)*(Q32-Q29)*(Q32-Q30)*(Q32-Q31))</f>
        <v>267.83600122206553</v>
      </c>
      <c r="S33" s="199" t="s">
        <v>11</v>
      </c>
      <c r="T33" s="9">
        <f>$B$2</f>
        <v>6.0220000000000002</v>
      </c>
      <c r="U33" s="11">
        <f>U27*(T33-T28)*(T33-T29)*(T33-T30)*(T33-T31)*(T33-T32)/((T27-T28)*(T27-T29)*(T27-T30)*(T27-T31)*(T27-T32))+U28*(T33-T27)*(T33-T29)*(T33-T30)*(T33-T31)*(T33-T32)/((T28-T27)*(T28-T29)*(T28-T30)*(T28-T31)*(T28-T32))+U29*(T33-T27)*(T33-T28)*(T33-T30)*(T33-T31)*(T33-T32)/((T29-T27)*(T29-T28)*(T29-T30)*(T29-T31)*(T29-T32))+U30*(T33-T27)*(T33-T28)*(T33-T29)*(T33-T31)*(T33-T32)/((T30-T27)*(T30-T28)*(T30-T29)*(T30-T31)*(T30-T32))+U31*(T33-T27)*(T33-T28)*(T33-T29)*(T33-T30)*(T33-T32)/((T31-T27)*(T31-T28)*(T31-T29)*(T31-T30)*(T31-T32))+U32*(T33-T27)*(T33-T28)*(T33-T29)*(T33-T30)*(T33-T31)/((T32-T27)*(T32-T28)*(T32-T29)*(T32-T30)*(T32-T31))</f>
        <v>-106.1994822355482</v>
      </c>
      <c r="V33" s="199" t="s">
        <v>11</v>
      </c>
      <c r="W33" s="9">
        <f>$B$2</f>
        <v>6.0220000000000002</v>
      </c>
      <c r="X33" s="11">
        <f>X27*(W33-W28)*(W33-W29)*(W33-W30)*(W33-W31)*(W33-W32)/((W27-W28)*(W27-W29)*(W27-W30)*(W27-W31)*(W27-W32))+X28*(W33-W27)*(W33-W29)*(W33-W30)*(W33-W31)*(W33-W32)/((W28-W27)*(W28-W29)*(W28-W30)*(W28-W31)*(W28-W32))+X29*(W33-W27)*(W33-W28)*(W33-W30)*(W33-W31)*(W33-W32)/((W29-W27)*(W29-W28)*(W29-W30)*(W29-W31)*(W29-W32))+X30*(W33-W27)*(W33-W28)*(W33-W29)*(W33-W31)*(W33-W32)/((W30-W27)*(W30-W28)*(W30-W29)*(W30-W31)*(W30-W32))+X31*(W33-W27)*(W33-W28)*(W33-W29)*(W33-W30)*(W33-W32)/((W31-W27)*(W31-W28)*(W31-W29)*(W31-W30)*(W31-W32))+X32*(W33-W27)*(W33-W28)*(W33-W29)*(W33-W30)*(W33-W31)/((W32-W27)*(W32-W28)*(W32-W29)*(W32-W30)*(W32-W31))</f>
        <v>287.26227940618992</v>
      </c>
      <c r="Y33" s="199" t="s">
        <v>11</v>
      </c>
      <c r="Z33" s="9">
        <f>$B$2</f>
        <v>6.0220000000000002</v>
      </c>
      <c r="AA33" s="11">
        <f>AA27*(Z33-Z28)*(Z33-Z29)*(Z33-Z30)*(Z33-Z31)*(Z33-Z32)/((Z27-Z28)*(Z27-Z29)*(Z27-Z30)*(Z27-Z31)*(Z27-Z32))+AA28*(Z33-Z27)*(Z33-Z29)*(Z33-Z30)*(Z33-Z31)*(Z33-Z32)/((Z28-Z27)*(Z28-Z29)*(Z28-Z30)*(Z28-Z31)*(Z28-Z32))+AA29*(Z33-Z27)*(Z33-Z28)*(Z33-Z30)*(Z33-Z31)*(Z33-Z32)/((Z29-Z27)*(Z29-Z28)*(Z29-Z30)*(Z29-Z31)*(Z29-Z32))+AA30*(Z33-Z27)*(Z33-Z28)*(Z33-Z29)*(Z33-Z31)*(Z33-Z32)/((Z30-Z27)*(Z30-Z28)*(Z30-Z29)*(Z30-Z31)*(Z30-Z32))+AA31*(Z33-Z27)*(Z33-Z28)*(Z33-Z29)*(Z33-Z30)*(Z33-Z32)/((Z31-Z27)*(Z31-Z28)*(Z31-Z29)*(Z31-Z30)*(Z31-Z32))+AA32*(Z33-Z27)*(Z33-Z28)*(Z33-Z29)*(Z33-Z30)*(Z33-Z31)/((Z32-Z27)*(Z32-Z28)*(Z32-Z29)*(Z32-Z30)*(Z32-Z31))</f>
        <v>263.18285319993447</v>
      </c>
      <c r="AB33" s="201"/>
    </row>
    <row r="34" spans="4:28">
      <c r="D34" s="199">
        <v>90</v>
      </c>
      <c r="E34" s="199">
        <f>IF($B$2&gt;0,Q1,IF($B$2&gt;-25,R16,IF($B$2&gt;-50,R41,IF($B$2&gt;-75,R66))))</f>
        <v>0</v>
      </c>
      <c r="F34" s="199">
        <f>IF($B$2&gt;0,Q1,IF($B$2&gt;-25,U16,IF($B$2&gt;-50,U41,IF($B$2&gt;-75,U66))))</f>
        <v>0</v>
      </c>
      <c r="G34" s="199">
        <f>IF($B$2&gt;0,Q1,IF($B$2&gt;-25,X16,IF($B$2&gt;-50,X41,IF($B$2&gt;-75,X66))))</f>
        <v>0</v>
      </c>
      <c r="H34" s="22">
        <f>IF($B$2&gt;0,Q1,IF($B$2&gt;-25,AA16,IF($B$2&gt;-50,AA41,IF($B$2&gt;-75,AA66))))</f>
        <v>0</v>
      </c>
      <c r="J34" s="199">
        <v>90</v>
      </c>
      <c r="K34" s="199">
        <v>309.68</v>
      </c>
      <c r="L34" s="199">
        <f>(630-44)/7*4.75/1.2</f>
        <v>331.36904761904759</v>
      </c>
      <c r="M34" s="199">
        <v>323.12</v>
      </c>
      <c r="N34" s="199">
        <v>295.60000000000002</v>
      </c>
      <c r="R34" s="202" t="s">
        <v>12</v>
      </c>
      <c r="S34" s="202"/>
      <c r="T34" s="202"/>
      <c r="U34" s="202" t="s">
        <v>13</v>
      </c>
      <c r="V34" s="202"/>
      <c r="W34" s="202"/>
      <c r="X34" s="202" t="s">
        <v>8</v>
      </c>
      <c r="Y34" s="202"/>
      <c r="Z34" s="202"/>
      <c r="AA34" s="202" t="s">
        <v>9</v>
      </c>
    </row>
    <row r="35" spans="4:28">
      <c r="D35" s="199">
        <v>80</v>
      </c>
      <c r="E35" s="199">
        <f>IF($B$2&gt;0,Q1,IF($B$2&gt;-25,R24,IF($B$2&gt;-50,R49,IF($B$2&gt;-75,R74))))</f>
        <v>0</v>
      </c>
      <c r="F35" s="199">
        <f>IF($B$2&gt;0,Q1,IF($B$2&gt;-25,U24,IF($B$2&gt;-50,U49,IF($B$2&gt;-75,U74))))</f>
        <v>0</v>
      </c>
      <c r="G35" s="199">
        <f>IF($B$2&gt;0,Q1,IF($B$2&gt;-25,X24,IF($B$2&gt;-50,X49,IF($B$2&gt;-75,X74))))</f>
        <v>0</v>
      </c>
      <c r="H35" s="22">
        <f>IF($B$2&gt;0,Q1,IF($B$2&gt;-25,AA24,IF($B$2&gt;-50,AA49,IF($B$2&gt;-75,AA74))))</f>
        <v>0</v>
      </c>
      <c r="J35" s="199">
        <v>80</v>
      </c>
      <c r="K35" s="199">
        <v>286.02999999999997</v>
      </c>
      <c r="L35" s="199">
        <f>(630-70)/7*4.75/1.2</f>
        <v>316.66666666666669</v>
      </c>
      <c r="M35" s="199">
        <v>299.45999999999998</v>
      </c>
      <c r="N35" s="199">
        <v>271.83</v>
      </c>
      <c r="P35" s="199" t="s">
        <v>10</v>
      </c>
      <c r="Q35" s="199">
        <v>-25</v>
      </c>
      <c r="R35" s="199">
        <f>K29</f>
        <v>305</v>
      </c>
      <c r="S35" s="199" t="s">
        <v>10</v>
      </c>
      <c r="T35" s="199">
        <v>-25</v>
      </c>
      <c r="U35" s="199">
        <f>L29</f>
        <v>323.45238095238096</v>
      </c>
      <c r="V35" s="199" t="s">
        <v>10</v>
      </c>
      <c r="W35" s="199">
        <v>-25</v>
      </c>
      <c r="X35" s="199">
        <f>M29</f>
        <v>318.25</v>
      </c>
      <c r="Y35" s="199" t="s">
        <v>10</v>
      </c>
      <c r="Z35" s="199">
        <v>-25</v>
      </c>
      <c r="AA35" s="199">
        <f>N29</f>
        <v>291.14</v>
      </c>
    </row>
    <row r="36" spans="4:28">
      <c r="D36"/>
      <c r="E36" s="12"/>
      <c r="F36" s="12"/>
      <c r="G36" s="12"/>
      <c r="H36" s="12"/>
      <c r="P36" s="199" t="s">
        <v>10</v>
      </c>
      <c r="Q36" s="199">
        <v>-30</v>
      </c>
      <c r="R36" s="199">
        <f>K34</f>
        <v>309.68</v>
      </c>
      <c r="S36" s="199" t="s">
        <v>10</v>
      </c>
      <c r="T36" s="199">
        <v>-30</v>
      </c>
      <c r="U36" s="199">
        <f>L34</f>
        <v>331.36904761904759</v>
      </c>
      <c r="V36" s="199" t="s">
        <v>10</v>
      </c>
      <c r="W36" s="199">
        <v>-30</v>
      </c>
      <c r="X36" s="199">
        <f>M34</f>
        <v>323.12</v>
      </c>
      <c r="Y36" s="199" t="s">
        <v>10</v>
      </c>
      <c r="Z36" s="199">
        <v>-30</v>
      </c>
      <c r="AA36" s="199">
        <f>N34</f>
        <v>295.60000000000002</v>
      </c>
    </row>
    <row r="37" spans="4:28">
      <c r="D37"/>
      <c r="J37" s="15">
        <v>-35</v>
      </c>
      <c r="K37" s="7" t="s">
        <v>6</v>
      </c>
      <c r="L37" s="7" t="s">
        <v>7</v>
      </c>
      <c r="M37" s="7" t="s">
        <v>8</v>
      </c>
      <c r="N37" s="7" t="s">
        <v>9</v>
      </c>
      <c r="P37" s="199" t="s">
        <v>10</v>
      </c>
      <c r="Q37" s="199">
        <v>-35</v>
      </c>
      <c r="R37" s="199">
        <f>K39</f>
        <v>313.99</v>
      </c>
      <c r="S37" s="199" t="s">
        <v>10</v>
      </c>
      <c r="T37" s="199">
        <v>-35</v>
      </c>
      <c r="U37" s="199">
        <f>L39</f>
        <v>338.4375</v>
      </c>
      <c r="V37" s="199" t="s">
        <v>10</v>
      </c>
      <c r="W37" s="199">
        <v>-35</v>
      </c>
      <c r="X37" s="199">
        <f>M39</f>
        <v>327.62</v>
      </c>
      <c r="Y37" s="199" t="s">
        <v>10</v>
      </c>
      <c r="Z37" s="199">
        <v>-35</v>
      </c>
      <c r="AA37" s="199">
        <f>N39</f>
        <v>299.70999999999998</v>
      </c>
    </row>
    <row r="38" spans="4:28">
      <c r="D38"/>
      <c r="J38" s="199">
        <v>100</v>
      </c>
      <c r="K38" s="199">
        <v>336.48</v>
      </c>
      <c r="L38" s="199">
        <f>(630-94)/6*4.75/1.2</f>
        <v>353.61111111111109</v>
      </c>
      <c r="M38" s="199">
        <v>349.81</v>
      </c>
      <c r="N38" s="199">
        <v>322.35000000000002</v>
      </c>
      <c r="P38" s="199" t="s">
        <v>10</v>
      </c>
      <c r="Q38" s="199">
        <v>-40</v>
      </c>
      <c r="R38" s="199">
        <f>K44</f>
        <v>317.98</v>
      </c>
      <c r="S38" s="199" t="s">
        <v>10</v>
      </c>
      <c r="T38" s="199">
        <v>-40</v>
      </c>
      <c r="U38" s="199">
        <f>L44</f>
        <v>345.69444444444446</v>
      </c>
      <c r="V38" s="199" t="s">
        <v>10</v>
      </c>
      <c r="W38" s="199">
        <v>-40</v>
      </c>
      <c r="X38" s="199">
        <f>M44</f>
        <v>331.78</v>
      </c>
      <c r="Y38" s="199" t="s">
        <v>10</v>
      </c>
      <c r="Z38" s="199">
        <v>-40</v>
      </c>
      <c r="AA38" s="199">
        <f>N44</f>
        <v>303.52</v>
      </c>
    </row>
    <row r="39" spans="4:28">
      <c r="D39"/>
      <c r="J39" s="199">
        <v>90</v>
      </c>
      <c r="K39" s="199">
        <v>313.99</v>
      </c>
      <c r="L39" s="199">
        <f>(630-117)/6*4.75/1.2</f>
        <v>338.4375</v>
      </c>
      <c r="M39" s="199">
        <v>327.62</v>
      </c>
      <c r="N39" s="199">
        <v>299.70999999999998</v>
      </c>
      <c r="P39" s="199" t="s">
        <v>10</v>
      </c>
      <c r="Q39" s="199">
        <v>-45</v>
      </c>
      <c r="R39" s="199">
        <f>K49</f>
        <v>321.69</v>
      </c>
      <c r="S39" s="199" t="s">
        <v>10</v>
      </c>
      <c r="T39" s="199">
        <v>-45</v>
      </c>
      <c r="U39" s="199">
        <f>L49</f>
        <v>351.63194444444446</v>
      </c>
      <c r="V39" s="199" t="s">
        <v>10</v>
      </c>
      <c r="W39" s="199">
        <v>-45</v>
      </c>
      <c r="X39" s="199">
        <f>M49</f>
        <v>335.64</v>
      </c>
      <c r="Y39" s="199" t="s">
        <v>10</v>
      </c>
      <c r="Z39" s="199">
        <v>-45</v>
      </c>
      <c r="AA39" s="199">
        <f>N49</f>
        <v>307.05</v>
      </c>
    </row>
    <row r="40" spans="4:28">
      <c r="D40"/>
      <c r="J40" s="199">
        <v>80</v>
      </c>
      <c r="K40" s="199">
        <v>290.45</v>
      </c>
      <c r="L40" s="199">
        <f>(630-138)/6*4.75/1.2</f>
        <v>324.58333333333337</v>
      </c>
      <c r="M40" s="199">
        <v>304.08999999999997</v>
      </c>
      <c r="N40" s="199">
        <v>276.02</v>
      </c>
      <c r="P40" s="199" t="s">
        <v>10</v>
      </c>
      <c r="Q40" s="199">
        <v>-50</v>
      </c>
      <c r="R40" s="199">
        <f>K54</f>
        <v>325.14</v>
      </c>
      <c r="S40" s="199" t="s">
        <v>10</v>
      </c>
      <c r="T40" s="199">
        <v>-50</v>
      </c>
      <c r="U40" s="199">
        <f>L54</f>
        <v>358.22916666666669</v>
      </c>
      <c r="V40" s="199" t="s">
        <v>10</v>
      </c>
      <c r="W40" s="199">
        <v>-50</v>
      </c>
      <c r="X40" s="199">
        <f>M54</f>
        <v>339.25</v>
      </c>
      <c r="Y40" s="199" t="s">
        <v>10</v>
      </c>
      <c r="Z40" s="199">
        <v>-50</v>
      </c>
      <c r="AA40" s="199">
        <f>N54</f>
        <v>310.33</v>
      </c>
    </row>
    <row r="41" spans="4:28">
      <c r="D41"/>
      <c r="P41" s="199" t="s">
        <v>11</v>
      </c>
      <c r="Q41" s="9">
        <f>$B$2</f>
        <v>6.0220000000000002</v>
      </c>
      <c r="R41" s="11">
        <f>R35*(Q41-Q36)*(Q41-Q37)*(Q41-Q38)*(Q41-Q39)*(Q41-Q40)/((Q35-Q36)*(Q35-Q37)*(Q35-Q38)*(Q35-Q39)*(Q35-Q40))+R36*(Q41-Q35)*(Q41-Q37)*(Q41-Q38)*(Q41-Q39)*(Q41-Q40)/((Q36-Q35)*(Q36-Q37)*(Q36-Q38)*(Q36-Q39)*(Q36-Q40))+R37*(Q41-Q35)*(Q41-Q36)*(Q41-Q38)*(Q41-Q39)*(Q41-Q40)/((Q37-Q35)*(Q37-Q36)*(Q37-Q38)*(Q37-Q39)*(Q37-Q40))+R38*(Q41-Q35)*(Q41-Q36)*(Q41-Q37)*(Q41-Q39)*(Q41-Q40)/((Q38-Q35)*(Q38-Q36)*(Q38-Q37)*(Q38-Q39)*(Q38-Q40))+R39*(Q41-Q35)*(Q41-Q36)*(Q41-Q37)*(Q41-Q38)*(Q41-Q40)/((Q39-Q35)*(Q39-Q36)*(Q39-Q37)*(Q39-Q38)*(Q39-Q40))+R40*(Q41-Q35)*(Q41-Q36)*(Q41-Q37)*(Q41-Q38)*(Q41-Q39)/((Q40-Q35)*(Q40-Q36)*(Q40-Q37)*(Q40-Q38)*(Q40-Q39))</f>
        <v>266.10198803115054</v>
      </c>
      <c r="S41" s="199" t="s">
        <v>11</v>
      </c>
      <c r="T41" s="9">
        <f>$B$2</f>
        <v>6.0220000000000002</v>
      </c>
      <c r="U41" s="11">
        <f>U35*(T41-T36)*(T41-T37)*(T41-T38)*(T41-T39)*(T41-T40)/((T35-T36)*(T35-T37)*(T35-T38)*(T35-T39)*(T35-T40))+U36*(T41-T35)*(T41-T37)*(T41-T38)*(T41-T39)*(T41-T40)/((T36-T35)*(T36-T37)*(T36-T38)*(T36-T39)*(T36-T40))+U37*(T41-T35)*(T41-T36)*(T41-T38)*(T41-T39)*(T41-T40)/((T37-T35)*(T37-T36)*(T37-T38)*(T37-T39)*(T37-T40))+U38*(T41-T35)*(T41-T36)*(T41-T37)*(T41-T39)*(T41-T40)/((T38-T35)*(T38-T36)*(T38-T37)*(T38-T39)*(T38-T40))+U39*(T41-T35)*(T41-T36)*(T41-T37)*(T41-T38)*(T41-T40)/((T39-T35)*(T39-T36)*(T39-T37)*(T39-T38)*(T39-T40))+U40*(T41-T35)*(T41-T36)*(T41-T37)*(T41-T38)*(T41-T39)/((T40-T35)*(T40-T36)*(T40-T37)*(T40-T38)*(T40-T39))</f>
        <v>-1897.2499947492761</v>
      </c>
      <c r="V41" s="199" t="s">
        <v>11</v>
      </c>
      <c r="W41" s="9">
        <f>$B$2</f>
        <v>6.0220000000000002</v>
      </c>
      <c r="X41" s="11">
        <f>X35*(W41-W36)*(W41-W37)*(W41-W38)*(W41-W39)*(W41-W40)/((W35-W36)*(W35-W37)*(W35-W38)*(W35-W39)*(W35-W40))+X36*(W41-W35)*(W41-W37)*(W41-W38)*(W41-W39)*(W41-W40)/((W36-W35)*(W36-W37)*(W36-W38)*(W36-W39)*(W36-W40))+X37*(W41-W35)*(W41-W36)*(W41-W38)*(W41-W39)*(W41-W40)/((W37-W35)*(W37-W36)*(W37-W38)*(W37-W39)*(W37-W40))+X38*(W41-W35)*(W41-W36)*(W41-W37)*(W41-W39)*(W41-W40)/((W38-W35)*(W38-W36)*(W38-W37)*(W38-W39)*(W38-W40))+X39*(W41-W35)*(W41-W36)*(W41-W37)*(W41-W38)*(W41-W40)/((W39-W35)*(W39-W36)*(W39-W37)*(W39-W38)*(W39-W40))+X40*(W41-W35)*(W41-W36)*(W41-W37)*(W41-W38)*(W41-W39)/((W40-W35)*(W40-W36)*(W40-W37)*(W40-W38)*(W40-W39))</f>
        <v>279.33808346325532</v>
      </c>
      <c r="Y41" s="199" t="s">
        <v>11</v>
      </c>
      <c r="Z41" s="9">
        <f>$B$2</f>
        <v>6.0220000000000002</v>
      </c>
      <c r="AA41" s="11">
        <f>AA35*(Z41-Z36)*(Z41-Z37)*(Z41-Z38)*(Z41-Z39)*(Z41-Z40)/((Z35-Z36)*(Z35-Z37)*(Z35-Z38)*(Z35-Z39)*(Z35-Z40))+AA36*(Z41-Z35)*(Z41-Z37)*(Z41-Z38)*(Z41-Z39)*(Z41-Z40)/((Z36-Z35)*(Z36-Z37)*(Z36-Z38)*(Z36-Z39)*(Z36-Z40))+AA37*(Z41-Z35)*(Z41-Z36)*(Z41-Z38)*(Z41-Z39)*(Z41-Z40)/((Z37-Z35)*(Z37-Z36)*(Z37-Z38)*(Z37-Z39)*(Z37-Z40))+AA38*(Z41-Z35)*(Z41-Z36)*(Z41-Z37)*(Z41-Z39)*(Z41-Z40)/((Z38-Z35)*(Z38-Z36)*(Z38-Z37)*(Z38-Z39)*(Z38-Z40))+AA39*(Z41-Z35)*(Z41-Z36)*(Z41-Z37)*(Z41-Z38)*(Z41-Z40)/((Z39-Z35)*(Z39-Z36)*(Z39-Z37)*(Z39-Z38)*(Z39-Z40))+AA40*(Z41-Z35)*(Z41-Z36)*(Z41-Z37)*(Z41-Z38)*(Z41-Z39)/((Z40-Z35)*(Z40-Z36)*(Z40-Z37)*(Z40-Z38)*(Z40-Z39))</f>
        <v>236.88889443606604</v>
      </c>
    </row>
    <row r="42" spans="4:28">
      <c r="J42" s="15">
        <v>-40</v>
      </c>
      <c r="K42" s="7" t="s">
        <v>6</v>
      </c>
      <c r="L42" s="7" t="s">
        <v>7</v>
      </c>
      <c r="M42" s="7" t="s">
        <v>8</v>
      </c>
      <c r="N42" s="7" t="s">
        <v>9</v>
      </c>
      <c r="R42" s="202" t="s">
        <v>12</v>
      </c>
      <c r="S42" s="202"/>
      <c r="T42" s="202"/>
      <c r="U42" s="202" t="s">
        <v>13</v>
      </c>
      <c r="V42" s="202"/>
      <c r="W42" s="202"/>
      <c r="X42" s="202" t="s">
        <v>8</v>
      </c>
      <c r="Y42" s="202"/>
      <c r="Z42" s="202"/>
      <c r="AA42" s="202" t="s">
        <v>9</v>
      </c>
    </row>
    <row r="43" spans="4:28">
      <c r="J43" s="199">
        <v>100</v>
      </c>
      <c r="K43" s="199">
        <v>340.3</v>
      </c>
      <c r="L43" s="199">
        <f>(630-84)/6*4.75/1.2</f>
        <v>360.20833333333337</v>
      </c>
      <c r="M43" s="199">
        <v>353.78</v>
      </c>
      <c r="N43" s="199">
        <v>326</v>
      </c>
      <c r="P43" s="199" t="s">
        <v>10</v>
      </c>
      <c r="Q43" s="199">
        <v>-25</v>
      </c>
      <c r="R43" s="199">
        <f>K30</f>
        <v>281.25</v>
      </c>
      <c r="S43" s="199" t="s">
        <v>10</v>
      </c>
      <c r="T43" s="199">
        <v>-25</v>
      </c>
      <c r="U43" s="199">
        <f>L30</f>
        <v>308.75</v>
      </c>
      <c r="V43" s="199" t="s">
        <v>10</v>
      </c>
      <c r="W43" s="199">
        <v>-25</v>
      </c>
      <c r="X43" s="199">
        <f>M30</f>
        <v>294.44</v>
      </c>
      <c r="Y43" s="199" t="s">
        <v>10</v>
      </c>
      <c r="Z43" s="199">
        <v>-25</v>
      </c>
      <c r="AA43" s="199">
        <f>N30</f>
        <v>267.29000000000002</v>
      </c>
    </row>
    <row r="44" spans="4:28">
      <c r="J44" s="199">
        <v>90</v>
      </c>
      <c r="K44" s="199">
        <v>317.98</v>
      </c>
      <c r="L44" s="199">
        <f>(630-106)/6*4.75/1.2</f>
        <v>345.69444444444446</v>
      </c>
      <c r="M44" s="199">
        <v>331.78</v>
      </c>
      <c r="N44" s="199">
        <v>303.52</v>
      </c>
      <c r="P44" s="199" t="s">
        <v>10</v>
      </c>
      <c r="Q44" s="199">
        <v>-30</v>
      </c>
      <c r="R44" s="199">
        <f>K35</f>
        <v>286.02999999999997</v>
      </c>
      <c r="S44" s="199" t="s">
        <v>10</v>
      </c>
      <c r="T44" s="199">
        <v>-30</v>
      </c>
      <c r="U44" s="199">
        <f>L35</f>
        <v>316.66666666666669</v>
      </c>
      <c r="V44" s="199" t="s">
        <v>10</v>
      </c>
      <c r="W44" s="199">
        <v>-30</v>
      </c>
      <c r="X44" s="199">
        <f>M35</f>
        <v>299.45999999999998</v>
      </c>
      <c r="Y44" s="199" t="s">
        <v>10</v>
      </c>
      <c r="Z44" s="199">
        <v>-30</v>
      </c>
      <c r="AA44" s="199">
        <f>N35</f>
        <v>271.83</v>
      </c>
    </row>
    <row r="45" spans="4:28">
      <c r="J45" s="199">
        <v>80</v>
      </c>
      <c r="K45" s="199">
        <v>294.55</v>
      </c>
      <c r="L45" s="199">
        <f>(630-127)/6*4.75/1.2</f>
        <v>331.84027777777777</v>
      </c>
      <c r="M45" s="199">
        <v>308.37</v>
      </c>
      <c r="N45" s="199">
        <v>279.89999999999998</v>
      </c>
      <c r="P45" s="199" t="s">
        <v>10</v>
      </c>
      <c r="Q45" s="199">
        <v>-35</v>
      </c>
      <c r="R45" s="199">
        <f>K40</f>
        <v>290.45</v>
      </c>
      <c r="S45" s="199" t="s">
        <v>10</v>
      </c>
      <c r="T45" s="199">
        <v>-35</v>
      </c>
      <c r="U45" s="199">
        <f>L40</f>
        <v>324.58333333333337</v>
      </c>
      <c r="V45" s="199" t="s">
        <v>10</v>
      </c>
      <c r="W45" s="199">
        <v>-35</v>
      </c>
      <c r="X45" s="199">
        <f>M40</f>
        <v>304.08999999999997</v>
      </c>
      <c r="Y45" s="199" t="s">
        <v>10</v>
      </c>
      <c r="Z45" s="199">
        <v>-35</v>
      </c>
      <c r="AA45" s="199">
        <f>N40</f>
        <v>276.02</v>
      </c>
    </row>
    <row r="46" spans="4:28">
      <c r="P46" s="199" t="s">
        <v>10</v>
      </c>
      <c r="Q46" s="199">
        <v>-40</v>
      </c>
      <c r="R46" s="199">
        <f>K45</f>
        <v>294.55</v>
      </c>
      <c r="S46" s="199" t="s">
        <v>10</v>
      </c>
      <c r="T46" s="199">
        <v>-40</v>
      </c>
      <c r="U46" s="199">
        <f>L45</f>
        <v>331.84027777777777</v>
      </c>
      <c r="V46" s="199" t="s">
        <v>10</v>
      </c>
      <c r="W46" s="199">
        <v>-40</v>
      </c>
      <c r="X46" s="199">
        <f>M45</f>
        <v>308.37</v>
      </c>
      <c r="Y46" s="199" t="s">
        <v>10</v>
      </c>
      <c r="Z46" s="199">
        <v>-40</v>
      </c>
      <c r="AA46" s="199">
        <f>N45</f>
        <v>279.89999999999998</v>
      </c>
    </row>
    <row r="47" spans="4:28">
      <c r="J47" s="15">
        <v>-45</v>
      </c>
      <c r="K47" s="7" t="s">
        <v>6</v>
      </c>
      <c r="L47" s="7" t="s">
        <v>7</v>
      </c>
      <c r="M47" s="7" t="s">
        <v>8</v>
      </c>
      <c r="N47" s="7" t="s">
        <v>9</v>
      </c>
      <c r="P47" s="199" t="s">
        <v>10</v>
      </c>
      <c r="Q47" s="199">
        <v>-45</v>
      </c>
      <c r="R47" s="199">
        <f>K50</f>
        <v>298.33</v>
      </c>
      <c r="S47" s="199" t="s">
        <v>10</v>
      </c>
      <c r="T47" s="199">
        <v>-45</v>
      </c>
      <c r="U47" s="199">
        <f>L50</f>
        <v>338.4375</v>
      </c>
      <c r="V47" s="199" t="s">
        <v>10</v>
      </c>
      <c r="W47" s="199">
        <v>-45</v>
      </c>
      <c r="X47" s="199">
        <f>M50</f>
        <v>312.36</v>
      </c>
      <c r="Y47" s="199" t="s">
        <v>10</v>
      </c>
      <c r="Z47" s="199">
        <v>-45</v>
      </c>
      <c r="AA47" s="199">
        <f>N50</f>
        <v>283.5</v>
      </c>
    </row>
    <row r="48" spans="4:28">
      <c r="J48" s="199">
        <v>100</v>
      </c>
      <c r="K48" s="199">
        <v>343.84</v>
      </c>
      <c r="L48" s="199">
        <f>(630-75)/6*4.75/1.2</f>
        <v>366.14583333333337</v>
      </c>
      <c r="M48" s="199">
        <v>357.47</v>
      </c>
      <c r="N48" s="199">
        <v>329.39</v>
      </c>
      <c r="P48" s="199" t="s">
        <v>10</v>
      </c>
      <c r="Q48" s="199">
        <v>-50</v>
      </c>
      <c r="R48" s="199">
        <f>K55</f>
        <v>301.89</v>
      </c>
      <c r="S48" s="199" t="s">
        <v>10</v>
      </c>
      <c r="T48" s="199">
        <v>-50</v>
      </c>
      <c r="U48" s="199">
        <f>L55</f>
        <v>345.03472222222223</v>
      </c>
      <c r="V48" s="199" t="s">
        <v>10</v>
      </c>
      <c r="W48" s="199">
        <v>-50</v>
      </c>
      <c r="X48" s="199">
        <f>M55</f>
        <v>316.08</v>
      </c>
      <c r="Y48" s="199" t="s">
        <v>10</v>
      </c>
      <c r="Z48" s="199">
        <v>-50</v>
      </c>
      <c r="AA48" s="199">
        <f>N55</f>
        <v>286.86</v>
      </c>
    </row>
    <row r="49" spans="4:27">
      <c r="D49"/>
      <c r="J49" s="199">
        <v>90</v>
      </c>
      <c r="K49" s="199">
        <v>321.69</v>
      </c>
      <c r="L49" s="199">
        <f>(630-97)/6*4.75/1.2</f>
        <v>351.63194444444446</v>
      </c>
      <c r="M49" s="199">
        <v>335.64</v>
      </c>
      <c r="N49" s="199">
        <v>307.05</v>
      </c>
      <c r="P49" s="199" t="s">
        <v>11</v>
      </c>
      <c r="Q49" s="9">
        <f>$B$2</f>
        <v>6.0220000000000002</v>
      </c>
      <c r="R49" s="11">
        <f>R43*(Q49-Q44)*(Q49-Q45)*(Q49-Q46)*(Q49-Q47)*(Q49-Q48)/((Q43-Q44)*(Q43-Q45)*(Q43-Q46)*(Q43-Q47)*(Q43-Q48))+R44*(Q49-Q43)*(Q49-Q45)*(Q49-Q46)*(Q49-Q47)*(Q49-Q48)/((Q44-Q43)*(Q44-Q45)*(Q44-Q46)*(Q44-Q47)*(Q44-Q48))+R45*(Q49-Q43)*(Q49-Q44)*(Q49-Q46)*(Q49-Q47)*(Q49-Q48)/((Q45-Q43)*(Q45-Q44)*(Q45-Q46)*(Q45-Q47)*(Q45-Q48))+R46*(Q49-Q43)*(Q49-Q44)*(Q49-Q45)*(Q49-Q47)*(Q49-Q48)/((Q46-Q43)*(Q46-Q44)*(Q46-Q45)*(Q46-Q47)*(Q46-Q48))+R47*(Q49-Q43)*(Q49-Q44)*(Q49-Q45)*(Q49-Q46)*(Q49-Q48)/((Q47-Q43)*(Q47-Q44)*(Q47-Q45)*(Q47-Q46)*(Q47-Q48))+R48*(Q49-Q43)*(Q49-Q44)*(Q49-Q45)*(Q49-Q46)*(Q49-Q47)/((Q48-Q43)*(Q48-Q44)*(Q48-Q45)*(Q48-Q46)*(Q48-Q47))</f>
        <v>195.29049513449718</v>
      </c>
      <c r="S49" s="199" t="s">
        <v>11</v>
      </c>
      <c r="T49" s="9">
        <f>$B$2</f>
        <v>6.0220000000000002</v>
      </c>
      <c r="U49" s="11">
        <f>U43*(T49-T44)*(T49-T45)*(T49-T46)*(T49-T47)*(T49-T48)/((T43-T44)*(T43-T45)*(T43-T46)*(T43-T47)*(T43-T48))+U44*(T49-T43)*(T49-T45)*(T49-T46)*(T49-T47)*(T49-T48)/((T44-T43)*(T44-T45)*(T44-T46)*(T44-T47)*(T44-T48))+U45*(T49-T43)*(T49-T44)*(T49-T46)*(T49-T47)*(T49-T48)/((T45-T43)*(T45-T44)*(T45-T46)*(T45-T47)*(T45-T48))+U46*(T49-T43)*(T49-T44)*(T49-T45)*(T49-T47)*(T49-T48)/((T46-T43)*(T46-T44)*(T46-T45)*(T46-T47)*(T46-T48))+U47*(T49-T43)*(T49-T44)*(T49-T45)*(T49-T46)*(T49-T48)/((T47-T43)*(T47-T44)*(T47-T45)*(T47-T46)*(T47-T48))+U48*(T49-T43)*(T49-T44)*(T49-T45)*(T49-T46)*(T49-T47)/((T48-T43)*(T48-T44)*(T48-T45)*(T48-T46)*(T48-T47))</f>
        <v>392.7425360201596</v>
      </c>
      <c r="V49" s="199" t="s">
        <v>11</v>
      </c>
      <c r="W49" s="9">
        <f>$B$2</f>
        <v>6.0220000000000002</v>
      </c>
      <c r="X49" s="11">
        <f>X43*(W49-W44)*(W49-W45)*(W49-W46)*(W49-W47)*(W49-W48)/((W43-W44)*(W43-W45)*(W43-W46)*(W43-W47)*(W43-W48))+X44*(W49-W43)*(W49-W45)*(W49-W46)*(W49-W47)*(W49-W48)/((W44-W43)*(W44-W45)*(W44-W46)*(W44-W47)*(W44-W48))+X45*(W49-W43)*(W49-W44)*(W49-W46)*(W49-W47)*(W49-W48)/((W45-W43)*(W45-W44)*(W45-W46)*(W45-W47)*(W45-W48))+X46*(W49-W43)*(W49-W44)*(W49-W45)*(W49-W47)*(W49-W48)/((W46-W43)*(W46-W44)*(W46-W45)*(W46-W47)*(W46-W48))+X47*(W49-W43)*(W49-W44)*(W49-W45)*(W49-W46)*(W49-W48)/((W47-W43)*(W47-W44)*(W47-W45)*(W47-W46)*(W47-W48))+X48*(W49-W43)*(W49-W44)*(W49-W45)*(W49-W46)*(W49-W47)/((W48-W43)*(W48-W44)*(W48-W45)*(W48-W46)*(W48-W47))</f>
        <v>272.16823164530797</v>
      </c>
      <c r="Y49" s="199" t="s">
        <v>11</v>
      </c>
      <c r="Z49" s="9">
        <f>$B$2</f>
        <v>6.0220000000000002</v>
      </c>
      <c r="AA49" s="11">
        <f>AA43*(Z49-Z44)*(Z49-Z45)*(Z49-Z46)*(Z49-Z47)*(Z49-Z48)/((Z43-Z44)*(Z43-Z45)*(Z43-Z46)*(Z43-Z47)*(Z43-Z48))+AA44*(Z49-Z43)*(Z49-Z45)*(Z49-Z46)*(Z49-Z47)*(Z49-Z48)/((Z44-Z43)*(Z44-Z45)*(Z44-Z46)*(Z44-Z47)*(Z44-Z48))+AA45*(Z49-Z43)*(Z49-Z44)*(Z49-Z46)*(Z49-Z47)*(Z49-Z48)/((Z45-Z43)*(Z45-Z44)*(Z45-Z46)*(Z45-Z47)*(Z45-Z48))+AA46*(Z49-Z43)*(Z49-Z44)*(Z49-Z45)*(Z49-Z47)*(Z49-Z48)/((Z46-Z43)*(Z46-Z44)*(Z46-Z45)*(Z46-Z47)*(Z46-Z48))+AA47*(Z49-Z43)*(Z49-Z44)*(Z49-Z45)*(Z49-Z46)*(Z49-Z48)/((Z47-Z43)*(Z47-Z44)*(Z47-Z45)*(Z47-Z46)*(Z47-Z48))+AA48*(Z49-Z43)*(Z49-Z44)*(Z49-Z45)*(Z49-Z46)*(Z49-Z47)/((Z48-Z43)*(Z48-Z44)*(Z48-Z45)*(Z48-Z46)*(Z48-Z47))</f>
        <v>221.70753384652198</v>
      </c>
    </row>
    <row r="50" spans="4:27">
      <c r="D50"/>
      <c r="J50" s="199">
        <v>80</v>
      </c>
      <c r="K50" s="199">
        <v>298.33</v>
      </c>
      <c r="L50" s="199">
        <f>(630-117)/6*4.75/1.2</f>
        <v>338.4375</v>
      </c>
      <c r="M50" s="199">
        <v>312.36</v>
      </c>
      <c r="N50" s="199">
        <v>283.5</v>
      </c>
    </row>
    <row r="51" spans="4:27">
      <c r="D51"/>
      <c r="R51" s="202" t="s">
        <v>12</v>
      </c>
      <c r="S51" s="202"/>
      <c r="T51" s="202"/>
      <c r="U51" s="202" t="s">
        <v>13</v>
      </c>
      <c r="V51" s="202"/>
      <c r="W51" s="202"/>
      <c r="X51" s="202" t="s">
        <v>8</v>
      </c>
      <c r="Y51" s="202"/>
      <c r="Z51" s="202"/>
      <c r="AA51" s="202" t="s">
        <v>9</v>
      </c>
    </row>
    <row r="52" spans="4:27">
      <c r="D52"/>
      <c r="J52" s="15">
        <v>-50</v>
      </c>
      <c r="K52" s="7" t="s">
        <v>6</v>
      </c>
      <c r="L52" s="7" t="s">
        <v>7</v>
      </c>
      <c r="M52" s="7" t="s">
        <v>8</v>
      </c>
      <c r="N52" s="7" t="s">
        <v>9</v>
      </c>
      <c r="P52" s="199" t="s">
        <v>10</v>
      </c>
      <c r="Q52" s="199">
        <v>-50</v>
      </c>
      <c r="R52" s="199">
        <f>K53</f>
        <v>347.15</v>
      </c>
      <c r="S52" s="199" t="s">
        <v>10</v>
      </c>
      <c r="T52" s="199">
        <v>-50</v>
      </c>
      <c r="U52" s="199">
        <f>L53</f>
        <v>372.08333333333337</v>
      </c>
      <c r="V52" s="199" t="s">
        <v>10</v>
      </c>
      <c r="W52" s="199">
        <v>-50</v>
      </c>
      <c r="X52" s="199">
        <f>M53</f>
        <v>360.91</v>
      </c>
      <c r="Y52" s="199" t="s">
        <v>10</v>
      </c>
      <c r="Z52" s="199">
        <v>-50</v>
      </c>
      <c r="AA52" s="199">
        <f>N53</f>
        <v>332.55</v>
      </c>
    </row>
    <row r="53" spans="4:27">
      <c r="D53"/>
      <c r="J53" s="199">
        <v>100</v>
      </c>
      <c r="K53" s="199">
        <v>347.15</v>
      </c>
      <c r="L53" s="199">
        <f>(630-66)/6*4.75/1.2</f>
        <v>372.08333333333337</v>
      </c>
      <c r="M53" s="199">
        <v>360.91</v>
      </c>
      <c r="N53" s="199">
        <v>332.55</v>
      </c>
      <c r="P53" s="199" t="s">
        <v>10</v>
      </c>
      <c r="Q53" s="199">
        <v>-55</v>
      </c>
      <c r="R53" s="199">
        <f>K58</f>
        <v>0</v>
      </c>
      <c r="S53" s="199" t="s">
        <v>10</v>
      </c>
      <c r="T53" s="199">
        <v>-55</v>
      </c>
      <c r="U53" s="199">
        <f>L58</f>
        <v>0</v>
      </c>
      <c r="V53" s="199" t="s">
        <v>10</v>
      </c>
      <c r="W53" s="199">
        <v>-55</v>
      </c>
      <c r="X53" s="199">
        <f>M58</f>
        <v>0</v>
      </c>
      <c r="Y53" s="199" t="s">
        <v>10</v>
      </c>
      <c r="Z53" s="199">
        <v>-55</v>
      </c>
      <c r="AA53" s="199">
        <f>N58</f>
        <v>0</v>
      </c>
    </row>
    <row r="54" spans="4:27">
      <c r="D54"/>
      <c r="J54" s="199">
        <v>90</v>
      </c>
      <c r="K54" s="199">
        <v>325.14</v>
      </c>
      <c r="L54" s="199">
        <f>(630-87)/6*4.75/1.2</f>
        <v>358.22916666666669</v>
      </c>
      <c r="M54" s="199">
        <v>339.25</v>
      </c>
      <c r="N54" s="199">
        <v>310.33</v>
      </c>
      <c r="P54" s="199" t="s">
        <v>10</v>
      </c>
      <c r="Q54" s="199">
        <v>-60</v>
      </c>
      <c r="R54" s="199">
        <f>K63</f>
        <v>0</v>
      </c>
      <c r="S54" s="199" t="s">
        <v>10</v>
      </c>
      <c r="T54" s="199">
        <v>-60</v>
      </c>
      <c r="U54" s="199">
        <f>L63</f>
        <v>0</v>
      </c>
      <c r="V54" s="199" t="s">
        <v>10</v>
      </c>
      <c r="W54" s="199">
        <v>-60</v>
      </c>
      <c r="X54" s="199">
        <f>M63</f>
        <v>0</v>
      </c>
      <c r="Y54" s="199" t="s">
        <v>10</v>
      </c>
      <c r="Z54" s="199">
        <v>-60</v>
      </c>
      <c r="AA54" s="199">
        <f>N63</f>
        <v>0</v>
      </c>
    </row>
    <row r="55" spans="4:27">
      <c r="D55"/>
      <c r="J55" s="199">
        <v>80</v>
      </c>
      <c r="K55" s="199">
        <v>301.89</v>
      </c>
      <c r="L55" s="199">
        <f>(630-107)/6*4.75/1.2</f>
        <v>345.03472222222223</v>
      </c>
      <c r="M55" s="199">
        <v>316.08</v>
      </c>
      <c r="N55" s="199">
        <v>286.86</v>
      </c>
      <c r="P55" s="199" t="s">
        <v>10</v>
      </c>
      <c r="Q55" s="199">
        <v>-65</v>
      </c>
      <c r="R55" s="199">
        <f>K68</f>
        <v>0</v>
      </c>
      <c r="S55" s="199" t="s">
        <v>10</v>
      </c>
      <c r="T55" s="199">
        <v>-65</v>
      </c>
      <c r="U55" s="199">
        <f>L68</f>
        <v>0</v>
      </c>
      <c r="V55" s="199" t="s">
        <v>10</v>
      </c>
      <c r="W55" s="199">
        <v>-65</v>
      </c>
      <c r="X55" s="199">
        <f>M68</f>
        <v>0</v>
      </c>
      <c r="Y55" s="199" t="s">
        <v>10</v>
      </c>
      <c r="Z55" s="199">
        <v>-65</v>
      </c>
      <c r="AA55" s="199">
        <f>N68</f>
        <v>0</v>
      </c>
    </row>
    <row r="56" spans="4:27">
      <c r="D56"/>
      <c r="P56" s="199" t="s">
        <v>10</v>
      </c>
      <c r="Q56" s="199">
        <v>-70</v>
      </c>
      <c r="R56" s="199">
        <f>K73</f>
        <v>0</v>
      </c>
      <c r="S56" s="199" t="s">
        <v>10</v>
      </c>
      <c r="T56" s="199">
        <v>-70</v>
      </c>
      <c r="U56" s="199">
        <f>L73</f>
        <v>0</v>
      </c>
      <c r="V56" s="199" t="s">
        <v>10</v>
      </c>
      <c r="W56" s="199">
        <v>-70</v>
      </c>
      <c r="X56" s="199">
        <f>M73</f>
        <v>0</v>
      </c>
      <c r="Y56" s="199" t="s">
        <v>10</v>
      </c>
      <c r="Z56" s="199">
        <v>-70</v>
      </c>
      <c r="AA56" s="199">
        <f>N73</f>
        <v>0</v>
      </c>
    </row>
    <row r="57" spans="4:27">
      <c r="D57"/>
      <c r="J57" s="15">
        <v>-55</v>
      </c>
      <c r="K57" s="7" t="s">
        <v>6</v>
      </c>
      <c r="L57" s="7" t="s">
        <v>7</v>
      </c>
      <c r="M57" s="7" t="s">
        <v>8</v>
      </c>
      <c r="N57" s="7" t="s">
        <v>9</v>
      </c>
      <c r="P57" s="199" t="s">
        <v>10</v>
      </c>
      <c r="Q57" s="199">
        <v>-75</v>
      </c>
      <c r="R57" s="199">
        <f>K78</f>
        <v>0</v>
      </c>
      <c r="S57" s="199" t="s">
        <v>10</v>
      </c>
      <c r="T57" s="199">
        <v>-75</v>
      </c>
      <c r="U57" s="199">
        <f>L78</f>
        <v>0</v>
      </c>
      <c r="V57" s="199" t="s">
        <v>10</v>
      </c>
      <c r="W57" s="199">
        <v>-75</v>
      </c>
      <c r="X57" s="199">
        <f>M78</f>
        <v>0</v>
      </c>
      <c r="Y57" s="199" t="s">
        <v>10</v>
      </c>
      <c r="Z57" s="199">
        <v>-75</v>
      </c>
      <c r="AA57" s="199">
        <f>N78</f>
        <v>0</v>
      </c>
    </row>
    <row r="58" spans="4:27">
      <c r="D58"/>
      <c r="J58" s="199"/>
      <c r="K58" s="199"/>
      <c r="L58" s="199"/>
      <c r="M58" s="199"/>
      <c r="N58" s="199"/>
      <c r="P58" s="199" t="s">
        <v>11</v>
      </c>
      <c r="Q58" s="9">
        <f>$B$2</f>
        <v>6.0220000000000002</v>
      </c>
      <c r="R58" s="11">
        <f>R52*(Q58-Q53)*(Q58-Q54)*(Q58-Q55)*(Q58-Q56)*(Q58-Q57)/((Q52-Q53)*(Q52-Q54)*(Q52-Q55)*(Q52-Q56)*(Q52-Q57))+R53*(Q58-Q52)*(Q58-Q54)*(Q58-Q55)*(Q58-Q56)*(Q58-Q57)/((Q53-Q52)*(Q53-Q54)*(Q53-Q55)*(Q53-Q56)*(Q53-Q57))+R54*(Q58-Q52)*(Q58-Q53)*(Q58-Q55)*(Q58-Q56)*(Q58-Q57)/((Q54-Q52)*(Q54-Q53)*(Q54-Q55)*(Q54-Q56)*(Q54-Q57))+R55*(Q58-Q52)*(Q58-Q53)*(Q58-Q54)*(Q58-Q56)*(Q58-Q57)/((Q55-Q52)*(Q55-Q53)*(Q55-Q54)*(Q55-Q56)*(Q55-Q57))+R56*(Q58-Q52)*(Q58-Q53)*(Q58-Q54)*(Q58-Q55)*(Q58-Q57)/((Q56-Q52)*(Q56-Q53)*(Q56-Q54)*(Q56-Q55)*(Q56-Q57))+R57*(Q58-Q52)*(Q58-Q53)*(Q58-Q54)*(Q58-Q55)*(Q58-Q56)/((Q57-Q52)*(Q57-Q53)*(Q57-Q54)*(Q57-Q55)*(Q57-Q56))</f>
        <v>1631534.1328899609</v>
      </c>
      <c r="S58" s="199" t="s">
        <v>11</v>
      </c>
      <c r="T58" s="9">
        <f>$B$2</f>
        <v>6.0220000000000002</v>
      </c>
      <c r="U58" s="11">
        <f>U52*(T58-T53)*(T58-T54)*(T58-T55)*(T58-T56)*(T58-T57)/((T52-T53)*(T52-T54)*(T52-T55)*(T52-T56)*(T52-T57))+U53*(T58-T52)*(T58-T54)*(T58-T55)*(T58-T56)*(T58-T57)/((T53-T52)*(T53-T54)*(T53-T55)*(T53-T56)*(T53-T57))+U54*(T58-T52)*(T58-T53)*(T58-T55)*(T58-T56)*(T58-T57)/((T54-T52)*(T54-T53)*(T54-T55)*(T54-T56)*(T54-T57))+U55*(T58-T52)*(T58-T53)*(T58-T54)*(T58-T56)*(T58-T57)/((T55-T52)*(T55-T53)*(T55-T54)*(T55-T56)*(T55-T57))+U56*(T58-T52)*(T58-T53)*(T58-T54)*(T58-T55)*(T58-T57)/((T56-T52)*(T56-T53)*(T56-T54)*(T56-T55)*(T56-T57))+U57*(T58-T52)*(T58-T53)*(T58-T54)*(T58-T55)*(T58-T56)/((T57-T52)*(T57-T53)*(T57-T54)*(T57-T55)*(T57-T56))</f>
        <v>1748715.7096724941</v>
      </c>
      <c r="V58" s="199" t="s">
        <v>11</v>
      </c>
      <c r="W58" s="9">
        <f>$B$2</f>
        <v>6.0220000000000002</v>
      </c>
      <c r="X58" s="11">
        <f>X52*(W58-W53)*(W58-W54)*(W58-W55)*(W58-W56)*(W58-W57)/((W52-W53)*(W52-W54)*(W52-W55)*(W52-W56)*(W52-W57))+X53*(W58-W52)*(W58-W54)*(W58-W55)*(W58-W56)*(W58-W57)/((W53-W52)*(W53-W54)*(W53-W55)*(W53-W56)*(W53-W57))+X54*(W58-W52)*(W58-W53)*(W58-W55)*(W58-W56)*(W58-W57)/((W54-W52)*(W54-W53)*(W54-W55)*(W54-W56)*(W54-W57))+X55*(W58-W52)*(W58-W53)*(W58-W54)*(W58-W56)*(W58-W57)/((W55-W52)*(W55-W53)*(W55-W54)*(W55-W56)*(W55-W57))+X56*(W58-W52)*(W58-W53)*(W58-W54)*(W58-W55)*(W58-W57)/((W56-W52)*(W56-W53)*(W56-W54)*(W56-W55)*(W56-W57))+X57*(W58-W52)*(W58-W53)*(W58-W54)*(W58-W55)*(W58-W56)/((W57-W52)*(W57-W53)*(W57-W54)*(W57-W55)*(W57-W56))</f>
        <v>1696203.3239271664</v>
      </c>
      <c r="Y58" s="199" t="s">
        <v>11</v>
      </c>
      <c r="Z58" s="9">
        <f>$B$2</f>
        <v>6.0220000000000002</v>
      </c>
      <c r="AA58" s="11">
        <f>AA52*(Z58-Z53)*(Z58-Z54)*(Z58-Z55)*(Z58-Z56)*(Z58-Z57)/((Z52-Z53)*(Z52-Z54)*(Z52-Z55)*(Z52-Z56)*(Z52-Z57))+AA53*(Z58-Z52)*(Z58-Z54)*(Z58-Z55)*(Z58-Z56)*(Z58-Z57)/((Z53-Z52)*(Z53-Z54)*(Z53-Z55)*(Z53-Z56)*(Z53-Z57))+AA54*(Z58-Z52)*(Z58-Z53)*(Z58-Z55)*(Z58-Z56)*(Z58-Z57)/((Z54-Z52)*(Z54-Z53)*(Z54-Z55)*(Z54-Z56)*(Z54-Z57))+AA55*(Z58-Z52)*(Z58-Z53)*(Z58-Z54)*(Z58-Z56)*(Z58-Z57)/((Z55-Z52)*(Z55-Z53)*(Z55-Z54)*(Z55-Z56)*(Z55-Z57))+AA56*(Z58-Z52)*(Z58-Z53)*(Z58-Z54)*(Z58-Z55)*(Z58-Z57)/((Z56-Z52)*(Z56-Z53)*(Z56-Z54)*(Z56-Z55)*(Z56-Z57))+AA57*(Z58-Z52)*(Z58-Z53)*(Z58-Z54)*(Z58-Z55)*(Z58-Z56)/((Z57-Z52)*(Z57-Z53)*(Z57-Z54)*(Z57-Z55)*(Z57-Z56))</f>
        <v>1562917.1133301354</v>
      </c>
    </row>
    <row r="59" spans="4:27">
      <c r="D59"/>
      <c r="J59" s="199"/>
      <c r="K59" s="199"/>
      <c r="L59" s="199"/>
      <c r="M59" s="199"/>
      <c r="N59" s="199"/>
      <c r="R59" s="202" t="s">
        <v>12</v>
      </c>
      <c r="S59" s="202"/>
      <c r="T59" s="202"/>
      <c r="U59" s="202" t="s">
        <v>13</v>
      </c>
      <c r="V59" s="202"/>
      <c r="W59" s="202"/>
      <c r="X59" s="202" t="s">
        <v>8</v>
      </c>
      <c r="Y59" s="202"/>
      <c r="Z59" s="202"/>
      <c r="AA59" s="202" t="s">
        <v>9</v>
      </c>
    </row>
    <row r="60" spans="4:27">
      <c r="D60"/>
      <c r="J60" s="199"/>
      <c r="K60" s="199"/>
      <c r="L60" s="199"/>
      <c r="M60" s="199"/>
      <c r="N60" s="199"/>
      <c r="P60" s="199" t="s">
        <v>10</v>
      </c>
      <c r="Q60" s="199">
        <v>-50</v>
      </c>
      <c r="R60" s="199">
        <f>K54</f>
        <v>325.14</v>
      </c>
      <c r="S60" s="199" t="s">
        <v>10</v>
      </c>
      <c r="T60" s="199">
        <v>-50</v>
      </c>
      <c r="U60" s="199">
        <f>L54</f>
        <v>358.22916666666669</v>
      </c>
      <c r="V60" s="199" t="s">
        <v>10</v>
      </c>
      <c r="W60" s="199">
        <v>-50</v>
      </c>
      <c r="X60" s="199">
        <f>M54</f>
        <v>339.25</v>
      </c>
      <c r="Y60" s="199" t="s">
        <v>10</v>
      </c>
      <c r="Z60" s="199">
        <v>-50</v>
      </c>
      <c r="AA60" s="199">
        <f>N54</f>
        <v>310.33</v>
      </c>
    </row>
    <row r="61" spans="4:27">
      <c r="D61"/>
      <c r="P61" s="199" t="s">
        <v>10</v>
      </c>
      <c r="Q61" s="199">
        <v>-55</v>
      </c>
      <c r="R61" s="199">
        <f>K59</f>
        <v>0</v>
      </c>
      <c r="S61" s="199" t="s">
        <v>10</v>
      </c>
      <c r="T61" s="199">
        <v>-55</v>
      </c>
      <c r="U61" s="199">
        <f>L59</f>
        <v>0</v>
      </c>
      <c r="V61" s="199" t="s">
        <v>10</v>
      </c>
      <c r="W61" s="199">
        <v>-55</v>
      </c>
      <c r="X61" s="199">
        <f>M59</f>
        <v>0</v>
      </c>
      <c r="Y61" s="199" t="s">
        <v>10</v>
      </c>
      <c r="Z61" s="199">
        <v>-55</v>
      </c>
      <c r="AA61" s="199">
        <f>N59</f>
        <v>0</v>
      </c>
    </row>
    <row r="62" spans="4:27">
      <c r="D62"/>
      <c r="J62" s="15">
        <v>-60</v>
      </c>
      <c r="K62" s="7" t="s">
        <v>6</v>
      </c>
      <c r="L62" s="7" t="s">
        <v>7</v>
      </c>
      <c r="M62" s="7" t="s">
        <v>8</v>
      </c>
      <c r="N62" s="7" t="s">
        <v>9</v>
      </c>
      <c r="P62" s="199" t="s">
        <v>10</v>
      </c>
      <c r="Q62" s="199">
        <v>-60</v>
      </c>
      <c r="R62" s="199">
        <f>K64</f>
        <v>0</v>
      </c>
      <c r="S62" s="199" t="s">
        <v>10</v>
      </c>
      <c r="T62" s="199">
        <v>-60</v>
      </c>
      <c r="U62" s="199">
        <f>L64</f>
        <v>0</v>
      </c>
      <c r="V62" s="199" t="s">
        <v>10</v>
      </c>
      <c r="W62" s="199">
        <v>-60</v>
      </c>
      <c r="X62" s="199">
        <f>M64</f>
        <v>0</v>
      </c>
      <c r="Y62" s="199" t="s">
        <v>10</v>
      </c>
      <c r="Z62" s="199">
        <v>-60</v>
      </c>
      <c r="AA62" s="199">
        <f>N64</f>
        <v>0</v>
      </c>
    </row>
    <row r="63" spans="4:27">
      <c r="D63"/>
      <c r="J63" s="199"/>
      <c r="K63" s="199"/>
      <c r="L63" s="199"/>
      <c r="M63" s="199"/>
      <c r="N63" s="199"/>
      <c r="P63" s="199" t="s">
        <v>10</v>
      </c>
      <c r="Q63" s="199">
        <v>-65</v>
      </c>
      <c r="R63" s="199">
        <f>K69</f>
        <v>0</v>
      </c>
      <c r="S63" s="199" t="s">
        <v>10</v>
      </c>
      <c r="T63" s="199">
        <v>-65</v>
      </c>
      <c r="U63" s="199">
        <f>L69</f>
        <v>0</v>
      </c>
      <c r="V63" s="199" t="s">
        <v>10</v>
      </c>
      <c r="W63" s="199">
        <v>-65</v>
      </c>
      <c r="X63" s="199">
        <f>M69</f>
        <v>0</v>
      </c>
      <c r="Y63" s="199" t="s">
        <v>10</v>
      </c>
      <c r="Z63" s="199">
        <v>-65</v>
      </c>
      <c r="AA63" s="199">
        <f>N69</f>
        <v>0</v>
      </c>
    </row>
    <row r="64" spans="4:27">
      <c r="D64"/>
      <c r="J64" s="199"/>
      <c r="K64" s="199"/>
      <c r="L64" s="199"/>
      <c r="M64" s="199"/>
      <c r="N64" s="199"/>
      <c r="P64" s="199" t="s">
        <v>10</v>
      </c>
      <c r="Q64" s="199">
        <v>-70</v>
      </c>
      <c r="R64" s="199">
        <f>K74</f>
        <v>0</v>
      </c>
      <c r="S64" s="199" t="s">
        <v>10</v>
      </c>
      <c r="T64" s="199">
        <v>-70</v>
      </c>
      <c r="U64" s="199">
        <f>L74</f>
        <v>0</v>
      </c>
      <c r="V64" s="199" t="s">
        <v>10</v>
      </c>
      <c r="W64" s="199">
        <v>-70</v>
      </c>
      <c r="X64" s="199">
        <f>M74</f>
        <v>0</v>
      </c>
      <c r="Y64" s="199" t="s">
        <v>10</v>
      </c>
      <c r="Z64" s="199">
        <v>-70</v>
      </c>
      <c r="AA64" s="199">
        <f>N74</f>
        <v>0</v>
      </c>
    </row>
    <row r="65" spans="4:27">
      <c r="D65"/>
      <c r="J65" s="199"/>
      <c r="K65" s="199"/>
      <c r="L65" s="199"/>
      <c r="M65" s="199"/>
      <c r="N65" s="199"/>
      <c r="P65" s="199" t="s">
        <v>10</v>
      </c>
      <c r="Q65" s="199">
        <v>-75</v>
      </c>
      <c r="R65" s="199">
        <f>K79</f>
        <v>0</v>
      </c>
      <c r="S65" s="199" t="s">
        <v>10</v>
      </c>
      <c r="T65" s="199">
        <v>-75</v>
      </c>
      <c r="U65" s="199">
        <f>L79</f>
        <v>0</v>
      </c>
      <c r="V65" s="199" t="s">
        <v>10</v>
      </c>
      <c r="W65" s="199">
        <v>-75</v>
      </c>
      <c r="X65" s="199">
        <f>M79</f>
        <v>0</v>
      </c>
      <c r="Y65" s="199" t="s">
        <v>10</v>
      </c>
      <c r="Z65" s="199">
        <v>-75</v>
      </c>
      <c r="AA65" s="199">
        <f>N79</f>
        <v>0</v>
      </c>
    </row>
    <row r="66" spans="4:27">
      <c r="D66"/>
      <c r="P66" s="199" t="s">
        <v>11</v>
      </c>
      <c r="Q66" s="9">
        <f>$B$2</f>
        <v>6.0220000000000002</v>
      </c>
      <c r="R66" s="11">
        <f>R60*(Q66-Q61)*(Q66-Q62)*(Q66-Q63)*(Q66-Q64)*(Q66-Q65)/((Q60-Q61)*(Q60-Q62)*(Q60-Q63)*(Q60-Q64)*(Q60-Q65))+R61*(Q66-Q60)*(Q66-Q62)*(Q66-Q63)*(Q66-Q64)*(Q66-Q65)/((Q61-Q60)*(Q61-Q62)*(Q61-Q63)*(Q61-Q64)*(Q61-Q65))+R62*(Q66-Q60)*(Q66-Q61)*(Q66-Q63)*(Q66-Q64)*(Q66-Q65)/((Q62-Q60)*(Q62-Q61)*(Q62-Q63)*(Q62-Q64)*(Q62-Q65))+R63*(Q66-Q60)*(Q66-Q61)*(Q66-Q62)*(Q66-Q64)*(Q66-Q65)/((Q63-Q60)*(Q63-Q61)*(Q63-Q62)*(Q63-Q64)*(Q63-Q65))+R64*(Q66-Q60)*(Q66-Q61)*(Q66-Q62)*(Q66-Q63)*(Q66-Q65)/((Q64-Q60)*(Q64-Q61)*(Q64-Q62)*(Q64-Q63)*(Q64-Q65))+R65*(Q66-Q60)*(Q66-Q61)*(Q66-Q62)*(Q66-Q63)*(Q66-Q64)/((Q65-Q60)*(Q65-Q61)*(Q65-Q62)*(Q65-Q63)*(Q65-Q64))</f>
        <v>1528091.6260055937</v>
      </c>
      <c r="S66" s="199" t="s">
        <v>11</v>
      </c>
      <c r="T66" s="9">
        <f>$B$2</f>
        <v>6.0220000000000002</v>
      </c>
      <c r="U66" s="11">
        <f>U60*(T66-T61)*(T66-T62)*(T66-T63)*(T66-T64)*(T66-T65)/((T60-T61)*(T60-T62)*(T60-T63)*(T60-T64)*(T60-T65))+U61*(T66-T60)*(T66-T62)*(T66-T63)*(T66-T64)*(T66-T65)/((T61-T60)*(T61-T62)*(T61-T63)*(T61-T64)*(T61-T65))+U62*(T66-T60)*(T66-T61)*(T66-T63)*(T66-T64)*(T66-T65)/((T62-T60)*(T62-T61)*(T62-T63)*(T62-T64)*(T62-T65))+U63*(T66-T60)*(T66-T61)*(T66-T62)*(T66-T64)*(T66-T65)/((T63-T60)*(T63-T61)*(T63-T62)*(T63-T64)*(T63-T65))+U64*(T66-T60)*(T66-T61)*(T66-T62)*(T66-T63)*(T66-T65)/((T64-T60)*(T64-T61)*(T64-T62)*(T64-T63)*(T64-T65))+U65*(T66-T60)*(T66-T61)*(T66-T62)*(T66-T63)*(T66-T64)/((T65-T60)*(T65-T61)*(T65-T62)*(T65-T63)*(T65-T64))</f>
        <v>1683603.9545251143</v>
      </c>
      <c r="V66" s="199" t="s">
        <v>11</v>
      </c>
      <c r="W66" s="9">
        <f>$B$2</f>
        <v>6.0220000000000002</v>
      </c>
      <c r="X66" s="11">
        <f>X60*(W66-W61)*(W66-W62)*(W66-W63)*(W66-W64)*(W66-W65)/((W60-W61)*(W60-W62)*(W60-W63)*(W60-W64)*(W60-W65))+X61*(W66-W60)*(W66-W62)*(W66-W63)*(W66-W64)*(W66-W65)/((W61-W60)*(W61-W62)*(W61-W63)*(W61-W64)*(W61-W65))+X62*(W66-W60)*(W66-W61)*(W66-W63)*(W66-W64)*(W66-W65)/((W62-W60)*(W62-W61)*(W62-W63)*(W62-W64)*(W62-W65))+X63*(W66-W60)*(W66-W61)*(W66-W62)*(W66-W64)*(W66-W65)/((W63-W60)*(W63-W61)*(W63-W62)*(W63-W64)*(W63-W65))+X64*(W66-W60)*(W66-W61)*(W66-W62)*(W66-W63)*(W66-W65)/((W64-W60)*(W64-W61)*(W64-W62)*(W64-W63)*(W64-W65))+X65*(W66-W60)*(W66-W61)*(W66-W62)*(W66-W63)*(W66-W64)/((W65-W60)*(W65-W61)*(W65-W62)*(W65-W63)*(W65-W64))</f>
        <v>1594405.745593891</v>
      </c>
      <c r="Y66" s="199" t="s">
        <v>11</v>
      </c>
      <c r="Z66" s="9">
        <f>$B$2</f>
        <v>6.0220000000000002</v>
      </c>
      <c r="AA66" s="11">
        <f>AA60*(Z66-Z61)*(Z66-Z62)*(Z66-Z63)*(Z66-Z64)*(Z66-Z65)/((Z60-Z61)*(Z60-Z62)*(Z60-Z63)*(Z60-Z64)*(Z60-Z65))+AA61*(Z66-Z60)*(Z66-Z62)*(Z66-Z63)*(Z66-Z64)*(Z66-Z65)/((Z61-Z60)*(Z61-Z62)*(Z61-Z63)*(Z61-Z64)*(Z61-Z65))+AA62*(Z66-Z60)*(Z66-Z61)*(Z66-Z63)*(Z66-Z64)*(Z66-Z65)/((Z62-Z60)*(Z62-Z61)*(Z62-Z63)*(Z62-Z64)*(Z62-Z65))+AA63*(Z66-Z60)*(Z66-Z61)*(Z66-Z62)*(Z66-Z64)*(Z66-Z65)/((Z63-Z60)*(Z63-Z61)*(Z63-Z62)*(Z63-Z64)*(Z63-Z65))+AA64*(Z66-Z60)*(Z66-Z61)*(Z66-Z62)*(Z66-Z63)*(Z66-Z65)/((Z64-Z60)*(Z64-Z61)*(Z64-Z62)*(Z64-Z63)*(Z64-Z65))+AA65*(Z66-Z60)*(Z66-Z61)*(Z66-Z62)*(Z66-Z63)*(Z66-Z64)/((Z65-Z60)*(Z65-Z61)*(Z65-Z62)*(Z65-Z63)*(Z65-Z64))</f>
        <v>1458487.6493151132</v>
      </c>
    </row>
    <row r="67" spans="4:27">
      <c r="D67"/>
      <c r="J67" s="15">
        <v>-65</v>
      </c>
      <c r="K67" s="7" t="s">
        <v>6</v>
      </c>
      <c r="L67" s="7" t="s">
        <v>7</v>
      </c>
      <c r="M67" s="7" t="s">
        <v>8</v>
      </c>
      <c r="N67" s="7" t="s">
        <v>9</v>
      </c>
      <c r="R67" s="202" t="s">
        <v>12</v>
      </c>
      <c r="S67" s="202"/>
      <c r="T67" s="202"/>
      <c r="U67" s="202" t="s">
        <v>13</v>
      </c>
      <c r="V67" s="202"/>
      <c r="W67" s="202"/>
      <c r="X67" s="202" t="s">
        <v>8</v>
      </c>
      <c r="Y67" s="202"/>
      <c r="Z67" s="202"/>
      <c r="AA67" s="202" t="s">
        <v>9</v>
      </c>
    </row>
    <row r="68" spans="4:27">
      <c r="D68"/>
      <c r="J68" s="199"/>
      <c r="K68" s="199"/>
      <c r="L68" s="199"/>
      <c r="M68" s="199"/>
      <c r="N68" s="199"/>
      <c r="P68" s="199" t="s">
        <v>10</v>
      </c>
      <c r="Q68" s="199">
        <v>-50</v>
      </c>
      <c r="R68" s="199">
        <f>K55</f>
        <v>301.89</v>
      </c>
      <c r="S68" s="199" t="s">
        <v>10</v>
      </c>
      <c r="T68" s="199">
        <v>-50</v>
      </c>
      <c r="U68" s="199">
        <f>L55</f>
        <v>345.03472222222223</v>
      </c>
      <c r="V68" s="199" t="s">
        <v>10</v>
      </c>
      <c r="W68" s="199">
        <v>-50</v>
      </c>
      <c r="X68" s="199">
        <f>M55</f>
        <v>316.08</v>
      </c>
      <c r="Y68" s="199" t="s">
        <v>10</v>
      </c>
      <c r="Z68" s="199">
        <v>-50</v>
      </c>
      <c r="AA68" s="199">
        <f>N55</f>
        <v>286.86</v>
      </c>
    </row>
    <row r="69" spans="4:27">
      <c r="D69"/>
      <c r="J69" s="199"/>
      <c r="K69" s="199"/>
      <c r="L69" s="199"/>
      <c r="M69" s="199"/>
      <c r="N69" s="199"/>
      <c r="P69" s="199" t="s">
        <v>10</v>
      </c>
      <c r="Q69" s="199">
        <v>-55</v>
      </c>
      <c r="R69" s="199">
        <f>K60</f>
        <v>0</v>
      </c>
      <c r="S69" s="199" t="s">
        <v>10</v>
      </c>
      <c r="T69" s="199">
        <v>-55</v>
      </c>
      <c r="U69" s="199">
        <f>L60</f>
        <v>0</v>
      </c>
      <c r="V69" s="199" t="s">
        <v>10</v>
      </c>
      <c r="W69" s="199">
        <v>-55</v>
      </c>
      <c r="X69" s="199">
        <f>M60</f>
        <v>0</v>
      </c>
      <c r="Y69" s="199" t="s">
        <v>10</v>
      </c>
      <c r="Z69" s="199">
        <v>-55</v>
      </c>
      <c r="AA69" s="199">
        <f>N60</f>
        <v>0</v>
      </c>
    </row>
    <row r="70" spans="4:27">
      <c r="D70"/>
      <c r="J70" s="199"/>
      <c r="K70" s="199"/>
      <c r="L70" s="199"/>
      <c r="M70" s="199"/>
      <c r="N70" s="199"/>
      <c r="P70" s="199" t="s">
        <v>10</v>
      </c>
      <c r="Q70" s="199">
        <v>-60</v>
      </c>
      <c r="R70" s="199">
        <f>K65</f>
        <v>0</v>
      </c>
      <c r="S70" s="199" t="s">
        <v>10</v>
      </c>
      <c r="T70" s="199">
        <v>-60</v>
      </c>
      <c r="U70" s="199">
        <f>L65</f>
        <v>0</v>
      </c>
      <c r="V70" s="199" t="s">
        <v>10</v>
      </c>
      <c r="W70" s="199">
        <v>-60</v>
      </c>
      <c r="X70" s="199">
        <f>M65</f>
        <v>0</v>
      </c>
      <c r="Y70" s="199" t="s">
        <v>10</v>
      </c>
      <c r="Z70" s="199">
        <v>-60</v>
      </c>
      <c r="AA70" s="199">
        <f>N65</f>
        <v>0</v>
      </c>
    </row>
    <row r="71" spans="4:27">
      <c r="D71"/>
      <c r="P71" s="199" t="s">
        <v>10</v>
      </c>
      <c r="Q71" s="199">
        <v>-65</v>
      </c>
      <c r="R71" s="199">
        <f>K70</f>
        <v>0</v>
      </c>
      <c r="S71" s="199" t="s">
        <v>10</v>
      </c>
      <c r="T71" s="199">
        <v>-65</v>
      </c>
      <c r="U71" s="199">
        <f>L70</f>
        <v>0</v>
      </c>
      <c r="V71" s="199" t="s">
        <v>10</v>
      </c>
      <c r="W71" s="199">
        <v>-65</v>
      </c>
      <c r="X71" s="199">
        <f>M70</f>
        <v>0</v>
      </c>
      <c r="Y71" s="199" t="s">
        <v>10</v>
      </c>
      <c r="Z71" s="199">
        <v>-65</v>
      </c>
      <c r="AA71" s="199">
        <f>N70</f>
        <v>0</v>
      </c>
    </row>
    <row r="72" spans="4:27">
      <c r="D72"/>
      <c r="J72" s="15">
        <v>-70</v>
      </c>
      <c r="K72" s="7" t="s">
        <v>6</v>
      </c>
      <c r="L72" s="7" t="s">
        <v>7</v>
      </c>
      <c r="M72" s="7" t="s">
        <v>8</v>
      </c>
      <c r="N72" s="7" t="s">
        <v>9</v>
      </c>
      <c r="P72" s="199" t="s">
        <v>10</v>
      </c>
      <c r="Q72" s="199">
        <v>-70</v>
      </c>
      <c r="R72" s="199">
        <f>K75</f>
        <v>0</v>
      </c>
      <c r="S72" s="199" t="s">
        <v>10</v>
      </c>
      <c r="T72" s="199">
        <v>-70</v>
      </c>
      <c r="U72" s="199">
        <f>L75</f>
        <v>0</v>
      </c>
      <c r="V72" s="199" t="s">
        <v>10</v>
      </c>
      <c r="W72" s="199">
        <v>-70</v>
      </c>
      <c r="X72" s="199">
        <f>M75</f>
        <v>0</v>
      </c>
      <c r="Y72" s="199" t="s">
        <v>10</v>
      </c>
      <c r="Z72" s="199">
        <v>-70</v>
      </c>
      <c r="AA72" s="199">
        <f>N75</f>
        <v>0</v>
      </c>
    </row>
    <row r="73" spans="4:27">
      <c r="D73"/>
      <c r="J73" s="199"/>
      <c r="K73" s="199"/>
      <c r="L73" s="199"/>
      <c r="M73" s="199"/>
      <c r="N73" s="199"/>
      <c r="P73" s="199" t="s">
        <v>10</v>
      </c>
      <c r="Q73" s="199">
        <v>-75</v>
      </c>
      <c r="R73" s="199">
        <f>K80</f>
        <v>0</v>
      </c>
      <c r="S73" s="199" t="s">
        <v>10</v>
      </c>
      <c r="T73" s="199">
        <v>-75</v>
      </c>
      <c r="U73" s="199">
        <f>L80</f>
        <v>0</v>
      </c>
      <c r="V73" s="199" t="s">
        <v>10</v>
      </c>
      <c r="W73" s="199">
        <v>-75</v>
      </c>
      <c r="X73" s="199">
        <f>M80</f>
        <v>0</v>
      </c>
      <c r="Y73" s="199" t="s">
        <v>10</v>
      </c>
      <c r="Z73" s="199">
        <v>-75</v>
      </c>
      <c r="AA73" s="199">
        <f>N80</f>
        <v>0</v>
      </c>
    </row>
    <row r="74" spans="4:27">
      <c r="D74"/>
      <c r="J74" s="199"/>
      <c r="K74" s="199"/>
      <c r="L74" s="199"/>
      <c r="M74" s="199"/>
      <c r="N74" s="199"/>
      <c r="P74" s="199" t="s">
        <v>11</v>
      </c>
      <c r="Q74" s="9">
        <f>$B$2</f>
        <v>6.0220000000000002</v>
      </c>
      <c r="R74" s="11">
        <f>R68*(Q74-Q69)*(Q74-Q70)*(Q74-Q71)*(Q74-Q72)*(Q74-Q73)/((Q68-Q69)*(Q68-Q70)*(Q68-Q71)*(Q68-Q72)*(Q68-Q73))+R69*(Q74-Q68)*(Q74-Q70)*(Q74-Q71)*(Q74-Q72)*(Q74-Q73)/((Q69-Q68)*(Q69-Q70)*(Q69-Q71)*(Q69-Q72)*(Q69-Q73))+R70*(Q74-Q68)*(Q74-Q69)*(Q74-Q71)*(Q74-Q72)*(Q74-Q73)/((Q70-Q68)*(Q70-Q69)*(Q70-Q71)*(Q70-Q72)*(Q70-Q73))+R71*(Q74-Q68)*(Q74-Q69)*(Q74-Q70)*(Q74-Q72)*(Q74-Q73)/((Q71-Q68)*(Q71-Q69)*(Q71-Q70)*(Q71-Q72)*(Q71-Q73))+R72*(Q74-Q68)*(Q74-Q69)*(Q74-Q70)*(Q74-Q71)*(Q74-Q73)/((Q72-Q68)*(Q72-Q69)*(Q72-Q70)*(Q72-Q71)*(Q72-Q73))+R73*(Q74-Q68)*(Q74-Q69)*(Q74-Q70)*(Q74-Q71)*(Q74-Q72)/((Q73-Q68)*(Q73-Q69)*(Q73-Q70)*(Q73-Q71)*(Q73-Q72))</f>
        <v>1418821.372254502</v>
      </c>
      <c r="S74" s="199" t="s">
        <v>11</v>
      </c>
      <c r="T74" s="9">
        <f>$B$2</f>
        <v>6.0220000000000002</v>
      </c>
      <c r="U74" s="11">
        <f>U68*(T74-T69)*(T74-T70)*(T74-T71)*(T74-T72)*(T74-T73)/((T68-T69)*(T68-T70)*(T68-T71)*(T68-T72)*(T68-T73))+U69*(T74-T68)*(T74-T70)*(T74-T71)*(T74-T72)*(T74-T73)/((T69-T68)*(T69-T70)*(T69-T71)*(T69-T72)*(T69-T73))+U70*(T74-T68)*(T74-T69)*(T74-T71)*(T74-T72)*(T74-T73)/((T70-T68)*(T70-T69)*(T70-T71)*(T70-T72)*(T70-T73))+U71*(T74-T68)*(T74-T69)*(T74-T70)*(T74-T72)*(T74-T73)/((T71-T68)*(T71-T69)*(T71-T70)*(T71-T72)*(T71-T73))+U72*(T74-T68)*(T74-T69)*(T74-T70)*(T74-T71)*(T74-T73)/((T72-T68)*(T72-T69)*(T72-T70)*(T72-T71)*(T72-T73))+U73*(T74-T68)*(T74-T69)*(T74-T70)*(T74-T71)*(T74-T72)/((T73-T68)*(T73-T69)*(T73-T70)*(T73-T71)*(T73-T72))</f>
        <v>1621592.7591466568</v>
      </c>
      <c r="V74" s="199" t="s">
        <v>11</v>
      </c>
      <c r="W74" s="9">
        <f>$B$2</f>
        <v>6.0220000000000002</v>
      </c>
      <c r="X74" s="11">
        <f>X68*(W74-W69)*(W74-W70)*(W74-W71)*(W74-W72)*(W74-W73)/((W68-W69)*(W68-W70)*(W68-W71)*(W68-W72)*(W68-W73))+X69*(W74-W68)*(W74-W70)*(W74-W71)*(W74-W72)*(W74-W73)/((W69-W68)*(W69-W70)*(W69-W71)*(W69-W72)*(W69-W73))+X70*(W74-W68)*(W74-W69)*(W74-W71)*(W74-W72)*(W74-W73)/((W70-W68)*(W70-W69)*(W70-W71)*(W70-W72)*(W70-W73))+X71*(W74-W68)*(W74-W69)*(W74-W70)*(W74-W72)*(W74-W73)/((W71-W68)*(W71-W69)*(W71-W70)*(W71-W72)*(W71-W73))+X72*(W74-W68)*(W74-W69)*(W74-W70)*(W74-W71)*(W74-W73)/((W72-W68)*(W72-W69)*(W72-W70)*(W72-W71)*(W72-W73))+X73*(W74-W68)*(W74-W69)*(W74-W70)*(W74-W71)*(W74-W72)/((W73-W68)*(W73-W69)*(W73-W70)*(W73-W71)*(W73-W72))</f>
        <v>1485511.4755116198</v>
      </c>
      <c r="Y74" s="199" t="s">
        <v>11</v>
      </c>
      <c r="Z74" s="9">
        <f>$B$2</f>
        <v>6.0220000000000002</v>
      </c>
      <c r="AA74" s="11">
        <f>AA68*(Z74-Z69)*(Z74-Z70)*(Z74-Z71)*(Z74-Z72)*(Z74-Z73)/((Z68-Z69)*(Z68-Z70)*(Z68-Z71)*(Z68-Z72)*(Z68-Z73))+AA69*(Z74-Z68)*(Z74-Z70)*(Z74-Z71)*(Z74-Z72)*(Z74-Z73)/((Z69-Z68)*(Z69-Z70)*(Z69-Z71)*(Z69-Z72)*(Z69-Z73))+AA70*(Z74-Z68)*(Z74-Z69)*(Z74-Z71)*(Z74-Z72)*(Z74-Z73)/((Z70-Z68)*(Z70-Z69)*(Z70-Z71)*(Z70-Z72)*(Z70-Z73))+AA71*(Z74-Z68)*(Z74-Z69)*(Z74-Z70)*(Z74-Z72)*(Z74-Z73)/((Z71-Z68)*(Z71-Z69)*(Z71-Z70)*(Z71-Z72)*(Z71-Z73))+AA72*(Z74-Z68)*(Z74-Z69)*(Z74-Z70)*(Z74-Z71)*(Z74-Z73)/((Z72-Z68)*(Z72-Z69)*(Z72-Z70)*(Z72-Z71)*(Z72-Z73))+AA73*(Z74-Z68)*(Z74-Z69)*(Z74-Z70)*(Z74-Z71)*(Z74-Z72)/((Z73-Z68)*(Z73-Z69)*(Z73-Z70)*(Z73-Z71)*(Z73-Z72))</f>
        <v>1348183.4404747637</v>
      </c>
    </row>
    <row r="75" spans="4:27">
      <c r="D75"/>
      <c r="J75" s="199"/>
      <c r="K75" s="199"/>
      <c r="L75" s="199"/>
      <c r="M75" s="199"/>
      <c r="N75" s="199"/>
    </row>
    <row r="76" spans="4:27">
      <c r="D76"/>
    </row>
    <row r="77" spans="4:27">
      <c r="D77"/>
      <c r="J77" s="15">
        <v>-75</v>
      </c>
      <c r="K77" s="7" t="s">
        <v>6</v>
      </c>
      <c r="L77" s="7" t="s">
        <v>7</v>
      </c>
      <c r="M77" s="7" t="s">
        <v>8</v>
      </c>
      <c r="N77" s="7" t="s">
        <v>9</v>
      </c>
    </row>
    <row r="78" spans="4:27">
      <c r="D78"/>
      <c r="J78" s="199"/>
      <c r="K78" s="199"/>
      <c r="L78" s="199"/>
      <c r="M78" s="199"/>
      <c r="N78" s="199"/>
    </row>
    <row r="79" spans="4:27">
      <c r="D79"/>
      <c r="J79" s="199"/>
      <c r="K79" s="199"/>
      <c r="L79" s="199"/>
      <c r="M79" s="199"/>
      <c r="N79" s="199"/>
    </row>
    <row r="80" spans="4:27">
      <c r="D80"/>
      <c r="J80" s="199"/>
      <c r="K80" s="199"/>
      <c r="L80" s="199"/>
      <c r="M80" s="199"/>
      <c r="N80" s="199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</sheetData>
  <mergeCells count="4">
    <mergeCell ref="C1:E1"/>
    <mergeCell ref="F2:G2"/>
    <mergeCell ref="E17:F17"/>
    <mergeCell ref="A26:B26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AP38"/>
  <sheetViews>
    <sheetView workbookViewId="0">
      <selection activeCell="M36" sqref="M36"/>
    </sheetView>
  </sheetViews>
  <sheetFormatPr defaultRowHeight="15"/>
  <cols>
    <col min="1" max="2" width="9.85546875" customWidth="1"/>
    <col min="4" max="4" width="10" style="210" customWidth="1"/>
  </cols>
  <sheetData>
    <row r="1" spans="1:42">
      <c r="A1" s="7" t="s">
        <v>0</v>
      </c>
      <c r="B1" s="26">
        <f>Plan1!B1</f>
        <v>246.59</v>
      </c>
      <c r="C1" s="238" t="s">
        <v>46</v>
      </c>
      <c r="D1" s="238"/>
      <c r="E1" s="238"/>
      <c r="N1" s="210" t="s">
        <v>12</v>
      </c>
      <c r="O1" s="210"/>
      <c r="P1" s="210"/>
      <c r="Q1" s="210" t="s">
        <v>13</v>
      </c>
      <c r="R1" s="210"/>
      <c r="S1" s="210"/>
      <c r="T1" s="210" t="s">
        <v>8</v>
      </c>
      <c r="U1" s="210"/>
      <c r="V1" s="210"/>
      <c r="W1" s="210" t="s">
        <v>9</v>
      </c>
      <c r="AG1" s="210" t="s">
        <v>12</v>
      </c>
      <c r="AH1" s="210"/>
      <c r="AI1" s="210"/>
      <c r="AJ1" s="210" t="s">
        <v>13</v>
      </c>
      <c r="AK1" s="210"/>
      <c r="AL1" s="210"/>
      <c r="AM1" s="210" t="s">
        <v>8</v>
      </c>
      <c r="AN1" s="210"/>
      <c r="AO1" s="210"/>
      <c r="AP1" s="210" t="s">
        <v>9</v>
      </c>
    </row>
    <row r="2" spans="1:42">
      <c r="A2" s="7" t="s">
        <v>1</v>
      </c>
      <c r="B2" s="27">
        <f>Plan1!B2</f>
        <v>6.0220000000000002</v>
      </c>
      <c r="C2" s="5"/>
      <c r="D2" s="26">
        <f>B1</f>
        <v>246.59</v>
      </c>
      <c r="F2" s="15">
        <v>0</v>
      </c>
      <c r="G2" s="7" t="s">
        <v>6</v>
      </c>
      <c r="H2" s="7" t="s">
        <v>7</v>
      </c>
      <c r="I2" s="7" t="s">
        <v>8</v>
      </c>
      <c r="J2" s="7" t="s">
        <v>9</v>
      </c>
      <c r="L2" s="208" t="s">
        <v>10</v>
      </c>
      <c r="M2" s="208">
        <v>0</v>
      </c>
      <c r="N2" s="208">
        <f>G3</f>
        <v>172.16</v>
      </c>
      <c r="O2" s="208" t="s">
        <v>10</v>
      </c>
      <c r="P2" s="208">
        <v>0</v>
      </c>
      <c r="Q2" s="208">
        <f>H3</f>
        <v>283.88888888888891</v>
      </c>
      <c r="R2" s="208" t="s">
        <v>10</v>
      </c>
      <c r="S2" s="208">
        <v>0</v>
      </c>
      <c r="T2" s="208">
        <f>I3</f>
        <v>186.54</v>
      </c>
      <c r="U2" s="208" t="s">
        <v>10</v>
      </c>
      <c r="V2" s="208">
        <v>0</v>
      </c>
      <c r="W2" s="208">
        <f>J3</f>
        <v>157.09</v>
      </c>
      <c r="Y2" s="15">
        <v>0</v>
      </c>
      <c r="Z2" s="7" t="s">
        <v>6</v>
      </c>
      <c r="AA2" s="7" t="s">
        <v>7</v>
      </c>
      <c r="AB2" s="7" t="s">
        <v>8</v>
      </c>
      <c r="AC2" s="7" t="s">
        <v>9</v>
      </c>
      <c r="AE2" s="208" t="s">
        <v>27</v>
      </c>
      <c r="AF2" s="208">
        <v>0</v>
      </c>
      <c r="AG2" s="208">
        <f>Z3</f>
        <v>172.16</v>
      </c>
      <c r="AH2" s="208" t="s">
        <v>27</v>
      </c>
      <c r="AI2" s="208">
        <v>0</v>
      </c>
      <c r="AJ2" s="208">
        <f>AA3</f>
        <v>283.88888888888891</v>
      </c>
      <c r="AK2" s="208" t="s">
        <v>27</v>
      </c>
      <c r="AL2" s="208">
        <v>0</v>
      </c>
      <c r="AM2" s="208">
        <f>AB3</f>
        <v>186.54</v>
      </c>
      <c r="AN2" s="208" t="s">
        <v>27</v>
      </c>
      <c r="AO2" s="208">
        <v>0</v>
      </c>
      <c r="AP2" s="208">
        <f>AC3</f>
        <v>157.09</v>
      </c>
    </row>
    <row r="3" spans="1:42">
      <c r="A3" s="7" t="s">
        <v>2</v>
      </c>
      <c r="B3" s="27">
        <f>Plan1!B3</f>
        <v>1</v>
      </c>
      <c r="C3" s="5"/>
      <c r="D3" s="26">
        <f>A9</f>
        <v>256.34000000000003</v>
      </c>
      <c r="F3" s="208">
        <v>100</v>
      </c>
      <c r="G3" s="208">
        <v>172.16</v>
      </c>
      <c r="H3" s="208">
        <v>283.88888888888891</v>
      </c>
      <c r="I3" s="208">
        <v>186.54</v>
      </c>
      <c r="J3" s="208">
        <v>157.09</v>
      </c>
      <c r="L3" s="208" t="s">
        <v>10</v>
      </c>
      <c r="M3" s="208">
        <v>-5</v>
      </c>
      <c r="N3" s="208">
        <f>G8</f>
        <v>174.69</v>
      </c>
      <c r="O3" s="208" t="s">
        <v>10</v>
      </c>
      <c r="P3" s="208">
        <v>-5</v>
      </c>
      <c r="Q3" s="208">
        <f>H8</f>
        <v>296.11111111111114</v>
      </c>
      <c r="R3" s="208" t="s">
        <v>10</v>
      </c>
      <c r="S3" s="208">
        <v>-5</v>
      </c>
      <c r="T3" s="208">
        <f>I8</f>
        <v>189.76</v>
      </c>
      <c r="U3" s="208" t="s">
        <v>10</v>
      </c>
      <c r="V3" s="208">
        <v>-5</v>
      </c>
      <c r="W3" s="208">
        <f>J8</f>
        <v>158.91</v>
      </c>
      <c r="Y3" s="208">
        <v>100</v>
      </c>
      <c r="Z3" s="208">
        <v>172.16</v>
      </c>
      <c r="AA3" s="208">
        <v>283.88888888888891</v>
      </c>
      <c r="AB3" s="208">
        <v>186.54</v>
      </c>
      <c r="AC3" s="208">
        <v>157.09</v>
      </c>
      <c r="AE3" s="208" t="s">
        <v>27</v>
      </c>
      <c r="AF3" s="208">
        <v>5</v>
      </c>
      <c r="AG3" s="208">
        <f>Z8</f>
        <v>0</v>
      </c>
      <c r="AH3" s="208" t="s">
        <v>27</v>
      </c>
      <c r="AI3" s="208">
        <v>5</v>
      </c>
      <c r="AJ3" s="208">
        <f>AA8</f>
        <v>0</v>
      </c>
      <c r="AK3" s="208" t="s">
        <v>27</v>
      </c>
      <c r="AL3" s="208">
        <v>5</v>
      </c>
      <c r="AM3" s="208">
        <f>AB8</f>
        <v>0</v>
      </c>
      <c r="AN3" s="208" t="s">
        <v>27</v>
      </c>
      <c r="AO3" s="208">
        <v>5</v>
      </c>
      <c r="AP3" s="208">
        <f>AC8</f>
        <v>0</v>
      </c>
    </row>
    <row r="4" spans="1:42">
      <c r="A4" s="7" t="s">
        <v>3</v>
      </c>
      <c r="B4" s="28">
        <f>Plan1!B4</f>
        <v>106.667</v>
      </c>
      <c r="C4" s="3"/>
      <c r="D4" s="26">
        <f>D3-ABS((((N27-M27)/(77/(252/8.1))/(L27/100))*(D2-M28)*(D2-M29)/((M27-M28)*(M27-M29))+((N28-M28)/(77/(252/8.1))/(L28/100))*(D2-M27)*(D2-M29)/((M28-M27)*(M28-M29))+((N29-M29)/(77/(252/8.1))/(L29/100))*(D2-M27)*(D2-M28)/((M29-M27)*(M29-M28)))*(B14))</f>
        <v>255.94482538578768</v>
      </c>
      <c r="F4" s="208">
        <v>90</v>
      </c>
      <c r="G4" s="208">
        <v>145.07</v>
      </c>
      <c r="H4" s="208">
        <v>190.55555555555557</v>
      </c>
      <c r="I4" s="208">
        <v>155.01</v>
      </c>
      <c r="J4" s="208">
        <v>134.79</v>
      </c>
      <c r="K4" s="16"/>
      <c r="L4" s="208" t="s">
        <v>10</v>
      </c>
      <c r="M4" s="208">
        <v>-10</v>
      </c>
      <c r="N4" s="208">
        <f>G13</f>
        <v>176.99</v>
      </c>
      <c r="O4" s="208" t="s">
        <v>10</v>
      </c>
      <c r="P4" s="208">
        <v>-10</v>
      </c>
      <c r="Q4" s="208">
        <f>H13</f>
        <v>308.33333333333331</v>
      </c>
      <c r="R4" s="208" t="s">
        <v>10</v>
      </c>
      <c r="S4" s="208">
        <v>-10</v>
      </c>
      <c r="T4" s="208">
        <f>I13</f>
        <v>192.71</v>
      </c>
      <c r="U4" s="208" t="s">
        <v>10</v>
      </c>
      <c r="V4" s="208">
        <v>-10</v>
      </c>
      <c r="W4" s="208">
        <f>J13</f>
        <v>160.54</v>
      </c>
      <c r="Y4" s="208">
        <v>90</v>
      </c>
      <c r="Z4" s="208">
        <v>145.07</v>
      </c>
      <c r="AA4" s="208">
        <v>190.55555555555557</v>
      </c>
      <c r="AB4" s="208">
        <v>155.01</v>
      </c>
      <c r="AC4" s="208">
        <v>134.79</v>
      </c>
      <c r="AE4" s="208" t="s">
        <v>27</v>
      </c>
      <c r="AF4" s="208">
        <v>10</v>
      </c>
      <c r="AG4" s="208">
        <f>Z13</f>
        <v>0</v>
      </c>
      <c r="AH4" s="208" t="s">
        <v>27</v>
      </c>
      <c r="AI4" s="208">
        <v>10</v>
      </c>
      <c r="AJ4" s="208">
        <f>AA13</f>
        <v>0</v>
      </c>
      <c r="AK4" s="208" t="s">
        <v>27</v>
      </c>
      <c r="AL4" s="208">
        <v>10</v>
      </c>
      <c r="AM4" s="208">
        <f>AB13</f>
        <v>0</v>
      </c>
      <c r="AN4" s="208" t="s">
        <v>27</v>
      </c>
      <c r="AO4" s="208">
        <v>10</v>
      </c>
      <c r="AP4" s="208">
        <f>AC13</f>
        <v>0</v>
      </c>
    </row>
    <row r="5" spans="1:42">
      <c r="A5" s="7" t="s">
        <v>4</v>
      </c>
      <c r="B5" s="7">
        <f>Plan1!B5</f>
        <v>-1.8784359062401523</v>
      </c>
      <c r="C5" s="2"/>
      <c r="F5" s="208">
        <v>80</v>
      </c>
      <c r="G5" s="208">
        <v>120</v>
      </c>
      <c r="H5" s="208">
        <v>128.33333333333334</v>
      </c>
      <c r="I5" s="208">
        <v>126.92</v>
      </c>
      <c r="J5" s="208">
        <v>112.91</v>
      </c>
      <c r="K5" s="16"/>
      <c r="L5" s="208" t="s">
        <v>10</v>
      </c>
      <c r="M5" s="208">
        <v>-15</v>
      </c>
      <c r="N5" s="208">
        <f>G18</f>
        <v>179.11</v>
      </c>
      <c r="O5" s="208" t="s">
        <v>10</v>
      </c>
      <c r="P5" s="208">
        <v>-15</v>
      </c>
      <c r="Q5" s="208">
        <f>H18</f>
        <v>320</v>
      </c>
      <c r="R5" s="208" t="s">
        <v>10</v>
      </c>
      <c r="S5" s="208">
        <v>-15</v>
      </c>
      <c r="T5" s="208">
        <f>I18</f>
        <v>195.44</v>
      </c>
      <c r="U5" s="208" t="s">
        <v>10</v>
      </c>
      <c r="V5" s="208">
        <v>-15</v>
      </c>
      <c r="W5" s="208">
        <f>J18</f>
        <v>162.02000000000001</v>
      </c>
      <c r="Y5" s="208">
        <v>80</v>
      </c>
      <c r="Z5" s="208">
        <v>120</v>
      </c>
      <c r="AA5" s="208">
        <v>128.33333333333334</v>
      </c>
      <c r="AB5" s="208">
        <v>126.92</v>
      </c>
      <c r="AC5" s="208">
        <v>112.91</v>
      </c>
      <c r="AE5" s="208" t="s">
        <v>27</v>
      </c>
      <c r="AF5" s="208">
        <v>15</v>
      </c>
      <c r="AG5" s="208">
        <f>Z18</f>
        <v>0</v>
      </c>
      <c r="AH5" s="208" t="s">
        <v>27</v>
      </c>
      <c r="AI5" s="208">
        <v>15</v>
      </c>
      <c r="AJ5" s="208">
        <f>AA18</f>
        <v>0</v>
      </c>
      <c r="AK5" s="208" t="s">
        <v>27</v>
      </c>
      <c r="AL5" s="208">
        <v>15</v>
      </c>
      <c r="AM5" s="208">
        <f>AB18</f>
        <v>0</v>
      </c>
      <c r="AN5" s="208" t="s">
        <v>27</v>
      </c>
      <c r="AO5" s="208">
        <v>15</v>
      </c>
      <c r="AP5" s="208">
        <f>AC18</f>
        <v>0</v>
      </c>
    </row>
    <row r="6" spans="1:42">
      <c r="A6" s="7" t="s">
        <v>5</v>
      </c>
      <c r="B6" s="29">
        <f>Plan1!B6</f>
        <v>0.85</v>
      </c>
      <c r="C6" s="6"/>
      <c r="K6" s="16"/>
      <c r="L6" s="208" t="s">
        <v>11</v>
      </c>
      <c r="M6" s="9">
        <f>$B$2</f>
        <v>6.0220000000000002</v>
      </c>
      <c r="N6" s="11">
        <f>N2*(M6-M3)*(M6-M4)*(M6-M5)/((M2-M3)*(M2-M4)*(M2-M5))+N3*(M6-M2)*(M6-M4)*(M6-M5)/((M3-M2)*(M3-M4)*(M3-M5))+N4*(M6-M2)*(M6-M3)*(M6-M5)/((M4-M2)*(M4-M3)*(M4-M5))+N5*(M6-M2)*(M6-M3)*(M6-M4)/((M5-M2)*(M5-M3)*(M5-M4))</f>
        <v>168.73664857475706</v>
      </c>
      <c r="O6" s="208" t="s">
        <v>11</v>
      </c>
      <c r="P6" s="9">
        <f>$B$2</f>
        <v>6.0220000000000002</v>
      </c>
      <c r="Q6" s="11">
        <f>Q2*(P6-P3)*(P6-P4)*(P6-P5)/((P2-P3)*(P2-P4)*(P2-P5))+Q3*(P6-P2)*(P6-P4)*(P6-P5)/((P3-P2)*(P3-P4)*(P3-P5))+Q4*(P6-P2)*(P6-P3)*(P6-P5)/((P4-P2)*(P4-P3)*(P4-P5))+Q5*(P6-P2)*(P6-P3)*(P6-P4)/((P5-P2)*(P5-P3)*(P5-P4))</f>
        <v>269.95618665381312</v>
      </c>
      <c r="R6" s="208" t="s">
        <v>11</v>
      </c>
      <c r="S6" s="9">
        <f>$B$2</f>
        <v>6.0220000000000002</v>
      </c>
      <c r="T6" s="11">
        <f>T2*(S6-S3)*(S6-S4)*(S6-S5)/((S2-S3)*(S2-S4)*(S2-S5))+T3*(S6-S2)*(S6-S4)*(S6-S5)/((S3-S2)*(S3-S4)*(S3-S5))+T4*(S6-S2)*(S6-S3)*(S6-S5)/((S4-S2)*(S4-S3)*(S4-S5))+T5*(S6-S2)*(S6-S3)*(S6-S4)/((S5-S2)*(S5-S3)*(S5-S4))</f>
        <v>182.23251298755679</v>
      </c>
      <c r="U6" s="208" t="s">
        <v>11</v>
      </c>
      <c r="V6" s="9">
        <f>$B$2</f>
        <v>6.0220000000000002</v>
      </c>
      <c r="W6" s="11">
        <f>W2*(V6-V3)*(V6-V4)*(V6-V5)/((V2-V3)*(V2-V4)*(V2-V5))+W3*(V6-V2)*(V6-V4)*(V6-V5)/((V3-V2)*(V3-V4)*(V3-V5))+W4*(V6-V2)*(V6-V3)*(V6-V5)/((V4-V2)*(V4-V3)*(V4-V5))+W5*(V6-V2)*(V6-V3)*(V6-V4)/((V5-V2)*(V5-V3)*(V5-V4))</f>
        <v>154.58905152172551</v>
      </c>
      <c r="AE6" s="208" t="s">
        <v>28</v>
      </c>
      <c r="AF6" s="9">
        <f>$B$2</f>
        <v>6.0220000000000002</v>
      </c>
      <c r="AG6" s="11">
        <f>AG2*(AF6-AF3)*(AF6-AF4)*(AF6-AF5)/((AF2-AF3)*(AF2-AF4)*(AF2-AF5))+AG3*(AF6-AF2)*(AF6-AF4)*(AF6-AF5)/((AF3-AF2)*(AF3-AF4)*(AF3-AF5))+AG4*(AF6-AF2)*(AF6-AF3)*(AF6-AF5)/((AF4-AF2)*(AF4-AF3)*(AF4-AF5))+AG5*(AF6-AF2)*(AF6-AF3)*(AF6-AF4)/((AF5-AF2)*(AF5-AF3)*(AF5-AF4))</f>
        <v>-8.3784998505062411</v>
      </c>
      <c r="AH6" s="208" t="s">
        <v>28</v>
      </c>
      <c r="AI6" s="9">
        <f>$B$2</f>
        <v>6.0220000000000002</v>
      </c>
      <c r="AJ6" s="11">
        <f>AJ2*(AI6-AI3)*(AI6-AI4)*(AI6-AI5)/((AI2-AI3)*(AI2-AI4)*(AI2-AI5))+AJ3*(AI6-AI2)*(AI6-AI4)*(AI6-AI5)/((AI3-AI2)*(AI3-AI4)*(AI3-AI5))+AJ4*(AI6-AI2)*(AI6-AI3)*(AI6-AI5)/((AI4-AI2)*(AI4-AI3)*(AI4-AI5))+AJ5*(AI6-AI2)*(AI6-AI3)*(AI6-AI4)/((AI5-AI2)*(AI5-AI3)*(AI5-AI4))</f>
        <v>-13.816002631946668</v>
      </c>
      <c r="AK6" s="208" t="s">
        <v>28</v>
      </c>
      <c r="AL6" s="9">
        <f>$B$2</f>
        <v>6.0220000000000002</v>
      </c>
      <c r="AM6" s="11">
        <f>AM2*(AL6-AL3)*(AL6-AL4)*(AL6-AL5)/((AL2-AL3)*(AL2-AL4)*(AL2-AL5))+AM3*(AL6-AL2)*(AL6-AL4)*(AL6-AL5)/((AL3-AL2)*(AL3-AL4)*(AL3-AL5))+AM4*(AL6-AL2)*(AL6-AL3)*(AL6-AL5)/((AL4-AL2)*(AL4-AL3)*(AL4-AL5))+AM5*(AL6-AL2)*(AL6-AL3)*(AL6-AL4)/((AL5-AL2)*(AL5-AL3)*(AL5-AL4))</f>
        <v>-9.0783304026105611</v>
      </c>
      <c r="AN6" s="208" t="s">
        <v>28</v>
      </c>
      <c r="AO6" s="9">
        <f>$B$2</f>
        <v>6.0220000000000002</v>
      </c>
      <c r="AP6" s="11">
        <f>AP2*(AO6-AO3)*(AO6-AO4)*(AO6-AO5)/((AO2-AO3)*(AO2-AO4)*(AO2-AO5))+AP3*(AO6-AO2)*(AO6-AO4)*(AO6-AO5)/((AO3-AO2)*(AO3-AO4)*(AO3-AO5))+AP4*(AO6-AO2)*(AO6-AO3)*(AO6-AO5)/((AO4-AO2)*(AO4-AO3)*(AO4-AO5))+AP5*(AO6-AO2)*(AO6-AO3)*(AO6-AO4)/((AO5-AO2)*(AO5-AO3)*(AO5-AO4))</f>
        <v>-7.6450891119657625</v>
      </c>
    </row>
    <row r="7" spans="1:42">
      <c r="D7"/>
      <c r="F7" s="15">
        <v>-5</v>
      </c>
      <c r="G7" s="7" t="s">
        <v>6</v>
      </c>
      <c r="H7" s="7" t="s">
        <v>7</v>
      </c>
      <c r="I7" s="7" t="s">
        <v>8</v>
      </c>
      <c r="J7" s="7" t="s">
        <v>9</v>
      </c>
      <c r="K7" s="13"/>
      <c r="Y7" s="15">
        <v>5</v>
      </c>
      <c r="Z7" s="7" t="s">
        <v>6</v>
      </c>
      <c r="AA7" s="7" t="s">
        <v>7</v>
      </c>
      <c r="AB7" s="7" t="s">
        <v>8</v>
      </c>
      <c r="AC7" s="7" t="s">
        <v>9</v>
      </c>
    </row>
    <row r="8" spans="1:42">
      <c r="D8"/>
      <c r="F8" s="208">
        <v>100</v>
      </c>
      <c r="G8" s="208">
        <v>174.69</v>
      </c>
      <c r="H8" s="208">
        <v>296.11111111111114</v>
      </c>
      <c r="I8" s="208">
        <v>189.76</v>
      </c>
      <c r="J8" s="208">
        <v>158.91</v>
      </c>
      <c r="K8" s="13"/>
      <c r="Y8" s="208">
        <v>100</v>
      </c>
      <c r="Z8" s="208"/>
      <c r="AA8" s="208"/>
      <c r="AB8" s="208"/>
      <c r="AC8" s="208"/>
    </row>
    <row r="9" spans="1:42">
      <c r="A9" s="4">
        <f>0*(B6-0.9)*(B6-0.8)/((1-0.9)*(1-0.8))+5.5*(B6-1)*(B6-0.8)/((0.9-1)*(0.9-0.8))+15*(B6-1)*(B6-0.9)/((0.8-1)*(0.8-0.9))+B1</f>
        <v>256.34000000000003</v>
      </c>
      <c r="D9"/>
      <c r="F9" s="208">
        <v>90</v>
      </c>
      <c r="G9" s="208">
        <v>148.72999999999999</v>
      </c>
      <c r="H9" s="208">
        <v>204.44444444444446</v>
      </c>
      <c r="I9" s="208">
        <v>159.41</v>
      </c>
      <c r="J9" s="208">
        <v>137.69</v>
      </c>
      <c r="K9" s="13"/>
      <c r="N9" s="210" t="s">
        <v>12</v>
      </c>
      <c r="O9" s="210"/>
      <c r="P9" s="210"/>
      <c r="Q9" s="210" t="s">
        <v>13</v>
      </c>
      <c r="R9" s="210"/>
      <c r="S9" s="210"/>
      <c r="T9" s="210" t="s">
        <v>8</v>
      </c>
      <c r="U9" s="210"/>
      <c r="V9" s="210"/>
      <c r="W9" s="210" t="s">
        <v>9</v>
      </c>
      <c r="Y9" s="208">
        <v>90</v>
      </c>
      <c r="Z9" s="208"/>
      <c r="AA9" s="208"/>
      <c r="AB9" s="208"/>
      <c r="AC9" s="208"/>
      <c r="AE9" s="210"/>
      <c r="AF9" s="210"/>
      <c r="AG9" s="210" t="s">
        <v>12</v>
      </c>
      <c r="AH9" s="210"/>
      <c r="AI9" s="210"/>
      <c r="AJ9" s="210" t="s">
        <v>13</v>
      </c>
      <c r="AK9" s="210"/>
      <c r="AL9" s="210"/>
      <c r="AM9" s="210" t="s">
        <v>8</v>
      </c>
      <c r="AN9" s="210"/>
      <c r="AO9" s="210"/>
      <c r="AP9" s="210" t="s">
        <v>9</v>
      </c>
    </row>
    <row r="10" spans="1:42">
      <c r="D10"/>
      <c r="F10" s="208">
        <v>80</v>
      </c>
      <c r="G10" s="208">
        <v>124.87</v>
      </c>
      <c r="H10" s="208">
        <v>142.22222222222223</v>
      </c>
      <c r="I10" s="208">
        <v>132.56</v>
      </c>
      <c r="J10" s="208">
        <v>116.99</v>
      </c>
      <c r="K10" s="13"/>
      <c r="L10" s="208" t="s">
        <v>10</v>
      </c>
      <c r="M10" s="208">
        <v>0</v>
      </c>
      <c r="N10" s="208">
        <f>G4</f>
        <v>145.07</v>
      </c>
      <c r="O10" s="208" t="s">
        <v>10</v>
      </c>
      <c r="P10" s="208">
        <v>0</v>
      </c>
      <c r="Q10" s="208">
        <f>H4</f>
        <v>190.55555555555557</v>
      </c>
      <c r="R10" s="208" t="s">
        <v>10</v>
      </c>
      <c r="S10" s="208">
        <v>0</v>
      </c>
      <c r="T10" s="208">
        <f>I4</f>
        <v>155.01</v>
      </c>
      <c r="U10" s="208" t="s">
        <v>10</v>
      </c>
      <c r="V10" s="208">
        <v>0</v>
      </c>
      <c r="W10" s="208">
        <f>J4</f>
        <v>134.79</v>
      </c>
      <c r="Y10" s="208">
        <v>80</v>
      </c>
      <c r="Z10" s="208"/>
      <c r="AA10" s="208"/>
      <c r="AB10" s="208"/>
      <c r="AC10" s="208"/>
      <c r="AE10" s="208" t="s">
        <v>27</v>
      </c>
      <c r="AF10" s="208">
        <v>0</v>
      </c>
      <c r="AG10" s="208">
        <f>Z4</f>
        <v>145.07</v>
      </c>
      <c r="AH10" s="208" t="s">
        <v>27</v>
      </c>
      <c r="AI10" s="208">
        <v>0</v>
      </c>
      <c r="AJ10" s="208">
        <f>AA4</f>
        <v>190.55555555555557</v>
      </c>
      <c r="AK10" s="208" t="s">
        <v>27</v>
      </c>
      <c r="AL10" s="208">
        <v>0</v>
      </c>
      <c r="AM10" s="208">
        <f>AB4</f>
        <v>155.01</v>
      </c>
      <c r="AN10" s="208" t="s">
        <v>27</v>
      </c>
      <c r="AO10" s="208">
        <v>0</v>
      </c>
      <c r="AP10" s="208">
        <f>AC4</f>
        <v>134.79</v>
      </c>
    </row>
    <row r="11" spans="1:42">
      <c r="A11" s="208" t="s">
        <v>23</v>
      </c>
      <c r="B11" s="208">
        <f>Plan1!B17</f>
        <v>86</v>
      </c>
      <c r="D11"/>
      <c r="K11" s="13"/>
      <c r="L11" s="208" t="s">
        <v>10</v>
      </c>
      <c r="M11" s="208">
        <v>-5</v>
      </c>
      <c r="N11" s="208">
        <f>G9</f>
        <v>148.72999999999999</v>
      </c>
      <c r="O11" s="208" t="s">
        <v>10</v>
      </c>
      <c r="P11" s="208">
        <v>-5</v>
      </c>
      <c r="Q11" s="208">
        <f>H9</f>
        <v>204.44444444444446</v>
      </c>
      <c r="R11" s="208" t="s">
        <v>10</v>
      </c>
      <c r="S11" s="208">
        <v>-5</v>
      </c>
      <c r="T11" s="208">
        <f>I9</f>
        <v>159.41</v>
      </c>
      <c r="U11" s="208" t="s">
        <v>10</v>
      </c>
      <c r="V11" s="208">
        <v>-5</v>
      </c>
      <c r="W11" s="208">
        <f>J9</f>
        <v>137.69</v>
      </c>
      <c r="AE11" s="208" t="s">
        <v>27</v>
      </c>
      <c r="AF11" s="208">
        <v>5</v>
      </c>
      <c r="AG11" s="208">
        <f>Z9</f>
        <v>0</v>
      </c>
      <c r="AH11" s="208" t="s">
        <v>27</v>
      </c>
      <c r="AI11" s="208">
        <v>5</v>
      </c>
      <c r="AJ11" s="208">
        <f>AA9</f>
        <v>0</v>
      </c>
      <c r="AK11" s="208" t="s">
        <v>27</v>
      </c>
      <c r="AL11" s="208">
        <v>5</v>
      </c>
      <c r="AM11" s="208">
        <f>AB9</f>
        <v>0</v>
      </c>
      <c r="AN11" s="208" t="s">
        <v>27</v>
      </c>
      <c r="AO11" s="208">
        <v>5</v>
      </c>
      <c r="AP11" s="208">
        <f>AC9</f>
        <v>0</v>
      </c>
    </row>
    <row r="12" spans="1:42">
      <c r="A12" s="208" t="s">
        <v>24</v>
      </c>
      <c r="B12" s="208">
        <f>Plan1!B18</f>
        <v>49.06</v>
      </c>
      <c r="D12"/>
      <c r="F12" s="15">
        <v>-10</v>
      </c>
      <c r="G12" s="7" t="s">
        <v>6</v>
      </c>
      <c r="H12" s="7" t="s">
        <v>7</v>
      </c>
      <c r="I12" s="7" t="s">
        <v>8</v>
      </c>
      <c r="J12" s="7" t="s">
        <v>9</v>
      </c>
      <c r="K12" s="17"/>
      <c r="L12" s="208" t="s">
        <v>10</v>
      </c>
      <c r="M12" s="208">
        <v>-10</v>
      </c>
      <c r="N12" s="208">
        <f>G14</f>
        <v>151.97</v>
      </c>
      <c r="O12" s="208" t="s">
        <v>10</v>
      </c>
      <c r="P12" s="208">
        <v>-10</v>
      </c>
      <c r="Q12" s="208">
        <f>H14</f>
        <v>217.22222222222226</v>
      </c>
      <c r="R12" s="208" t="s">
        <v>10</v>
      </c>
      <c r="S12" s="208">
        <v>-10</v>
      </c>
      <c r="T12" s="208">
        <f>I14</f>
        <v>163.33000000000001</v>
      </c>
      <c r="U12" s="208" t="s">
        <v>10</v>
      </c>
      <c r="V12" s="208">
        <v>-10</v>
      </c>
      <c r="W12" s="208">
        <f>J14</f>
        <v>140.22</v>
      </c>
      <c r="Y12" s="15">
        <v>10</v>
      </c>
      <c r="Z12" s="7" t="s">
        <v>6</v>
      </c>
      <c r="AA12" s="7" t="s">
        <v>7</v>
      </c>
      <c r="AB12" s="7" t="s">
        <v>8</v>
      </c>
      <c r="AC12" s="7" t="s">
        <v>9</v>
      </c>
      <c r="AE12" s="208" t="s">
        <v>27</v>
      </c>
      <c r="AF12" s="208">
        <v>10</v>
      </c>
      <c r="AG12" s="208">
        <f>Z14</f>
        <v>0</v>
      </c>
      <c r="AH12" s="208" t="s">
        <v>27</v>
      </c>
      <c r="AI12" s="208">
        <v>10</v>
      </c>
      <c r="AJ12" s="208">
        <f>AA14</f>
        <v>0</v>
      </c>
      <c r="AK12" s="208" t="s">
        <v>27</v>
      </c>
      <c r="AL12" s="208">
        <v>10</v>
      </c>
      <c r="AM12" s="208">
        <f>AB14</f>
        <v>0</v>
      </c>
      <c r="AN12" s="208" t="s">
        <v>27</v>
      </c>
      <c r="AO12" s="208">
        <v>10</v>
      </c>
      <c r="AP12" s="208">
        <f>AC14</f>
        <v>0</v>
      </c>
    </row>
    <row r="13" spans="1:42">
      <c r="A13" s="208" t="s">
        <v>25</v>
      </c>
      <c r="B13" s="208">
        <f>COS(RADIANS(B12))</f>
        <v>0.65526833938609963</v>
      </c>
      <c r="D13"/>
      <c r="F13" s="208">
        <v>100</v>
      </c>
      <c r="G13" s="208">
        <v>176.99</v>
      </c>
      <c r="H13" s="208">
        <v>308.33333333333331</v>
      </c>
      <c r="I13" s="208">
        <v>192.71</v>
      </c>
      <c r="J13" s="208">
        <v>160.54</v>
      </c>
      <c r="K13" s="17"/>
      <c r="L13" s="208" t="s">
        <v>10</v>
      </c>
      <c r="M13" s="208">
        <v>-15</v>
      </c>
      <c r="N13" s="208">
        <f>G19</f>
        <v>154.87</v>
      </c>
      <c r="O13" s="208" t="s">
        <v>10</v>
      </c>
      <c r="P13" s="208">
        <v>-15</v>
      </c>
      <c r="Q13" s="208">
        <f>H19</f>
        <v>228.88888888888891</v>
      </c>
      <c r="R13" s="208" t="s">
        <v>10</v>
      </c>
      <c r="S13" s="208">
        <v>-15</v>
      </c>
      <c r="T13" s="208">
        <f>I19</f>
        <v>166.88</v>
      </c>
      <c r="U13" s="208" t="s">
        <v>10</v>
      </c>
      <c r="V13" s="208">
        <v>-15</v>
      </c>
      <c r="W13" s="208">
        <f>J19</f>
        <v>142.46</v>
      </c>
      <c r="Y13" s="208">
        <v>100</v>
      </c>
      <c r="Z13" s="208"/>
      <c r="AA13" s="208"/>
      <c r="AB13" s="208"/>
      <c r="AC13" s="208"/>
      <c r="AE13" s="208" t="s">
        <v>27</v>
      </c>
      <c r="AF13" s="208">
        <v>15</v>
      </c>
      <c r="AG13" s="208">
        <f>Z19</f>
        <v>0</v>
      </c>
      <c r="AH13" s="208" t="s">
        <v>27</v>
      </c>
      <c r="AI13" s="208">
        <v>15</v>
      </c>
      <c r="AJ13" s="208">
        <f>AA19</f>
        <v>0</v>
      </c>
      <c r="AK13" s="208" t="s">
        <v>27</v>
      </c>
      <c r="AL13" s="208">
        <v>15</v>
      </c>
      <c r="AM13" s="208">
        <f>AB19</f>
        <v>0</v>
      </c>
      <c r="AN13" s="208" t="s">
        <v>27</v>
      </c>
      <c r="AO13" s="208">
        <v>15</v>
      </c>
      <c r="AP13" s="208">
        <f>AC19</f>
        <v>0</v>
      </c>
    </row>
    <row r="14" spans="1:42">
      <c r="A14" s="208" t="s">
        <v>26</v>
      </c>
      <c r="B14" s="208">
        <f>B5</f>
        <v>-1.8784359062401523</v>
      </c>
      <c r="D14"/>
      <c r="F14" s="208">
        <v>90</v>
      </c>
      <c r="G14" s="208">
        <v>151.97</v>
      </c>
      <c r="H14" s="208">
        <v>217.22222222222226</v>
      </c>
      <c r="I14" s="208">
        <v>163.33000000000001</v>
      </c>
      <c r="J14" s="208">
        <v>140.22</v>
      </c>
      <c r="K14" s="17"/>
      <c r="L14" s="208" t="s">
        <v>11</v>
      </c>
      <c r="M14" s="9">
        <f>$B$2</f>
        <v>6.0220000000000002</v>
      </c>
      <c r="N14" s="11">
        <f>N10*(M14-M11)*(M14-M12)*(M14-M13)/((M10-M11)*(M10-M12)*(M10-M13))+N11*(M14-M10)*(M14-M12)*(M14-M13)/((M11-M10)*(M11-M12)*(M11-M13))+N12*(M14-M10)*(M14-M11)*(M14-M13)/((M12-M10)*(M12-M11)*(M12-M13))+N13*(M14-M10)*(M14-M11)*(M14-M12)/((M13-M10)*(M13-M11)*(M13-M12))</f>
        <v>139.99091545625086</v>
      </c>
      <c r="O14" s="208" t="s">
        <v>11</v>
      </c>
      <c r="P14" s="9">
        <f>$B$2</f>
        <v>6.0220000000000002</v>
      </c>
      <c r="Q14" s="11">
        <f>Q10*(P14-P11)*(P14-P12)*(P14-P13)/((P10-P11)*(P10-P12)*(P10-P13))+Q11*(P14-P10)*(P14-P12)*(P14-P13)/((P11-P10)*(P11-P12)*(P11-P13))+Q12*(P14-P10)*(P14-P11)*(P14-P13)/((P12-P10)*(P12-P11)*(P12-P13))+Q13*(P14-P10)*(P14-P11)*(P14-P12)/((P13-P10)*(P13-P11)*(P13-P12))</f>
        <v>172.35278924444469</v>
      </c>
      <c r="R14" s="208" t="s">
        <v>11</v>
      </c>
      <c r="S14" s="9">
        <f>$B$2</f>
        <v>6.0220000000000002</v>
      </c>
      <c r="T14" s="11">
        <f>T10*(S14-S11)*(S14-S12)*(S14-S13)/((S10-S11)*(S10-S12)*(S10-S13))+T11*(S14-S10)*(S14-S12)*(S14-S13)/((S11-S10)*(S11-S12)*(S11-S13))+T12*(S14-S10)*(S14-S11)*(S14-S13)/((S12-S10)*(S12-S11)*(S12-S13))+T13*(S14-S10)*(S14-S11)*(S14-S12)/((S13-S10)*(S13-S11)*(S13-S12))</f>
        <v>148.91747199614517</v>
      </c>
      <c r="U14" s="208" t="s">
        <v>11</v>
      </c>
      <c r="V14" s="9">
        <f>$B$2</f>
        <v>6.0220000000000002</v>
      </c>
      <c r="W14" s="11">
        <f>W10*(V14-V11)*(V14-V12)*(V14-V13)/((V10-V11)*(V10-V12)*(V10-V13))+W11*(V14-V10)*(V14-V12)*(V14-V13)/((V11-V10)*(V11-V12)*(V11-V13))+W12*(V14-V10)*(V14-V11)*(V14-V13)/((V12-V10)*(V12-V11)*(V12-V13))+W13*(V14-V10)*(V14-V11)*(V14-V12)/((V13-V10)*(V13-V11)*(V13-V12))</f>
        <v>130.69263394025077</v>
      </c>
      <c r="Y14" s="208">
        <v>90</v>
      </c>
      <c r="Z14" s="208"/>
      <c r="AA14" s="208"/>
      <c r="AB14" s="208"/>
      <c r="AC14" s="208"/>
      <c r="AE14" s="208" t="s">
        <v>28</v>
      </c>
      <c r="AF14" s="9">
        <f>$B$2</f>
        <v>6.0220000000000002</v>
      </c>
      <c r="AG14" s="11">
        <f>AG10*(AF14-AF11)*(AF14-AF12)*(AF14-AF13)/((AF10-AF11)*(AF10-AF12)*(AF10-AF13))+AG11*(AF14-AF10)*(AF14-AF12)*(AF14-AF13)/((AF11-AF10)*(AF11-AF12)*(AF11-AF13))+AG12*(AF14-AF10)*(AF14-AF11)*(AF14-AF13)/((AF12-AF10)*(AF12-AF11)*(AF12-AF13))+AG13*(AF14-AF10)*(AF14-AF11)*(AF14-AF12)/((AF13-AF10)*(AF13-AF11)*(AF13-AF12))</f>
        <v>-7.0601125308604811</v>
      </c>
      <c r="AH14" s="208" t="s">
        <v>28</v>
      </c>
      <c r="AI14" s="9">
        <f>$B$2</f>
        <v>6.0220000000000002</v>
      </c>
      <c r="AJ14" s="11">
        <f>AJ10*(AI14-AI11)*(AI14-AI12)*(AI14-AI13)/((AI10-AI11)*(AI10-AI12)*(AI10-AI13))+AJ11*(AI14-AI10)*(AI14-AI12)*(AI14-AI13)/((AI11-AI10)*(AI11-AI12)*(AI11-AI13))+AJ12*(AI14-AI10)*(AI14-AI11)*(AI14-AI13)/((AI12-AI10)*(AI12-AI11)*(AI12-AI13))+AJ13*(AI14-AI10)*(AI14-AI11)*(AI14-AI12)/((AI13-AI10)*(AI13-AI11)*(AI13-AI12))</f>
        <v>-9.2737551913066678</v>
      </c>
      <c r="AK14" s="208" t="s">
        <v>28</v>
      </c>
      <c r="AL14" s="9">
        <f>$B$2</f>
        <v>6.0220000000000002</v>
      </c>
      <c r="AM14" s="11">
        <f>AM10*(AL14-AL11)*(AL14-AL12)*(AL14-AL13)/((AL10-AL11)*(AL10-AL12)*(AL10-AL13))+AM11*(AL14-AL10)*(AL14-AL12)*(AL14-AL13)/((AL11-AL10)*(AL11-AL12)*(AL11-AL13))+AM12*(AL14-AL10)*(AL14-AL11)*(AL14-AL13)/((AL12-AL10)*(AL12-AL11)*(AL12-AL13))+AM13*(AL14-AL10)*(AL14-AL11)*(AL14-AL12)/((AL13-AL10)*(AL13-AL11)*(AL13-AL12))</f>
        <v>-7.5438618832886402</v>
      </c>
      <c r="AN14" s="208" t="s">
        <v>28</v>
      </c>
      <c r="AO14" s="9">
        <f>$B$2</f>
        <v>6.0220000000000002</v>
      </c>
      <c r="AP14" s="11">
        <f>AP10*(AO14-AO11)*(AO14-AO12)*(AO14-AO13)/((AO10-AO11)*(AO10-AO12)*(AO10-AO13))+AP11*(AO14-AO10)*(AO14-AO12)*(AO14-AO13)/((AO11-AO10)*(AO11-AO12)*(AO11-AO13))+AP12*(AO14-AO10)*(AO14-AO11)*(AO14-AO13)/((AO12-AO10)*(AO12-AO11)*(AO12-AO13))+AP13*(AO14-AO10)*(AO14-AO11)*(AO14-AO12)/((AO13-AO10)*(AO13-AO11)*(AO13-AO12))</f>
        <v>-6.55981641989856</v>
      </c>
    </row>
    <row r="15" spans="1:42">
      <c r="D15"/>
      <c r="F15" s="208">
        <v>80</v>
      </c>
      <c r="G15" s="208">
        <v>129.02000000000001</v>
      </c>
      <c r="H15" s="208">
        <v>155.55555555555557</v>
      </c>
      <c r="I15" s="208">
        <v>137.41999999999999</v>
      </c>
      <c r="J15" s="208">
        <v>120.43</v>
      </c>
      <c r="K15" s="13"/>
      <c r="Y15" s="208">
        <v>80</v>
      </c>
      <c r="Z15" s="208"/>
      <c r="AA15" s="208"/>
      <c r="AB15" s="208"/>
      <c r="AC15" s="208"/>
    </row>
    <row r="16" spans="1:42">
      <c r="A16" s="208" t="s">
        <v>32</v>
      </c>
      <c r="B16" s="23">
        <f>B3*SIN(RADIANS(B4))</f>
        <v>0.95798784374570456</v>
      </c>
      <c r="D16"/>
      <c r="K16" s="13"/>
    </row>
    <row r="17" spans="1:42">
      <c r="A17" s="208" t="s">
        <v>33</v>
      </c>
      <c r="B17" s="23">
        <f>B3*COS(RADIANS(B4))</f>
        <v>-0.28680880606329973</v>
      </c>
      <c r="D17"/>
      <c r="F17" s="15">
        <v>-15</v>
      </c>
      <c r="G17" s="7" t="s">
        <v>6</v>
      </c>
      <c r="H17" s="7" t="s">
        <v>7</v>
      </c>
      <c r="I17" s="7" t="s">
        <v>8</v>
      </c>
      <c r="J17" s="7" t="s">
        <v>9</v>
      </c>
      <c r="K17" s="13"/>
      <c r="N17" s="210" t="s">
        <v>12</v>
      </c>
      <c r="O17" s="210"/>
      <c r="P17" s="210"/>
      <c r="Q17" s="210" t="s">
        <v>13</v>
      </c>
      <c r="R17" s="210"/>
      <c r="S17" s="210"/>
      <c r="T17" s="210" t="s">
        <v>8</v>
      </c>
      <c r="U17" s="210"/>
      <c r="V17" s="210"/>
      <c r="W17" s="210" t="s">
        <v>9</v>
      </c>
      <c r="Y17" s="15">
        <v>15</v>
      </c>
      <c r="Z17" s="7" t="s">
        <v>6</v>
      </c>
      <c r="AA17" s="7" t="s">
        <v>7</v>
      </c>
      <c r="AB17" s="7" t="s">
        <v>8</v>
      </c>
      <c r="AC17" s="7" t="s">
        <v>9</v>
      </c>
      <c r="AE17" s="210"/>
      <c r="AF17" s="210"/>
      <c r="AG17" s="210" t="s">
        <v>12</v>
      </c>
      <c r="AH17" s="210"/>
      <c r="AI17" s="210"/>
      <c r="AJ17" s="210" t="s">
        <v>13</v>
      </c>
      <c r="AK17" s="210"/>
      <c r="AL17" s="210"/>
      <c r="AM17" s="210" t="s">
        <v>8</v>
      </c>
      <c r="AN17" s="210"/>
      <c r="AO17" s="210"/>
      <c r="AP17" s="210" t="s">
        <v>9</v>
      </c>
    </row>
    <row r="18" spans="1:42">
      <c r="D18"/>
      <c r="F18" s="208">
        <v>100</v>
      </c>
      <c r="G18" s="208">
        <v>179.11</v>
      </c>
      <c r="H18" s="208">
        <v>320</v>
      </c>
      <c r="I18" s="208">
        <v>195.44</v>
      </c>
      <c r="J18" s="208">
        <v>162.02000000000001</v>
      </c>
      <c r="K18" s="13"/>
      <c r="L18" s="208" t="s">
        <v>10</v>
      </c>
      <c r="M18" s="208">
        <v>0</v>
      </c>
      <c r="N18" s="208">
        <f>G5</f>
        <v>120</v>
      </c>
      <c r="O18" s="208" t="s">
        <v>10</v>
      </c>
      <c r="P18" s="208">
        <v>0</v>
      </c>
      <c r="Q18" s="208">
        <f>H5</f>
        <v>128.33333333333334</v>
      </c>
      <c r="R18" s="208" t="s">
        <v>10</v>
      </c>
      <c r="S18" s="208">
        <v>0</v>
      </c>
      <c r="T18" s="208">
        <f>I5</f>
        <v>126.92</v>
      </c>
      <c r="U18" s="208" t="s">
        <v>10</v>
      </c>
      <c r="V18" s="208">
        <v>0</v>
      </c>
      <c r="W18" s="208">
        <f>J5</f>
        <v>112.91</v>
      </c>
      <c r="Y18" s="208">
        <v>100</v>
      </c>
      <c r="Z18" s="208"/>
      <c r="AA18" s="208"/>
      <c r="AB18" s="208"/>
      <c r="AC18" s="208"/>
      <c r="AE18" s="208" t="s">
        <v>27</v>
      </c>
      <c r="AF18" s="208">
        <v>0</v>
      </c>
      <c r="AG18" s="208">
        <f>Z5</f>
        <v>120</v>
      </c>
      <c r="AH18" s="208" t="s">
        <v>27</v>
      </c>
      <c r="AI18" s="208">
        <v>0</v>
      </c>
      <c r="AJ18" s="208">
        <f>AA5</f>
        <v>128.33333333333334</v>
      </c>
      <c r="AK18" s="208" t="s">
        <v>27</v>
      </c>
      <c r="AL18" s="208">
        <v>0</v>
      </c>
      <c r="AM18" s="208">
        <f>AB5</f>
        <v>126.92</v>
      </c>
      <c r="AN18" s="208" t="s">
        <v>27</v>
      </c>
      <c r="AO18" s="208">
        <v>0</v>
      </c>
      <c r="AP18" s="208">
        <f>AC5</f>
        <v>112.91</v>
      </c>
    </row>
    <row r="19" spans="1:42">
      <c r="A19" s="208" t="s">
        <v>31</v>
      </c>
      <c r="B19" s="208" t="s">
        <v>35</v>
      </c>
      <c r="D19"/>
      <c r="F19" s="208">
        <v>90</v>
      </c>
      <c r="G19" s="208">
        <v>154.87</v>
      </c>
      <c r="H19" s="208">
        <v>228.88888888888891</v>
      </c>
      <c r="I19" s="208">
        <v>166.88</v>
      </c>
      <c r="J19" s="208">
        <v>142.46</v>
      </c>
      <c r="K19" s="13"/>
      <c r="L19" s="208" t="s">
        <v>10</v>
      </c>
      <c r="M19" s="208">
        <v>-5</v>
      </c>
      <c r="N19" s="208">
        <f>G10</f>
        <v>124.87</v>
      </c>
      <c r="O19" s="208" t="s">
        <v>10</v>
      </c>
      <c r="P19" s="208">
        <v>-5</v>
      </c>
      <c r="Q19" s="208">
        <f>H10</f>
        <v>142.22222222222223</v>
      </c>
      <c r="R19" s="208" t="s">
        <v>10</v>
      </c>
      <c r="S19" s="208">
        <v>-5</v>
      </c>
      <c r="T19" s="208">
        <f>I10</f>
        <v>132.56</v>
      </c>
      <c r="U19" s="208" t="s">
        <v>10</v>
      </c>
      <c r="V19" s="208">
        <v>-5</v>
      </c>
      <c r="W19" s="208">
        <f>J10</f>
        <v>116.99</v>
      </c>
      <c r="Y19" s="208">
        <v>90</v>
      </c>
      <c r="Z19" s="208"/>
      <c r="AA19" s="208"/>
      <c r="AB19" s="208"/>
      <c r="AC19" s="208"/>
      <c r="AE19" s="208" t="s">
        <v>27</v>
      </c>
      <c r="AF19" s="208">
        <v>5</v>
      </c>
      <c r="AG19" s="208">
        <f>Z10</f>
        <v>0</v>
      </c>
      <c r="AH19" s="208" t="s">
        <v>27</v>
      </c>
      <c r="AI19" s="208">
        <v>5</v>
      </c>
      <c r="AJ19" s="208">
        <f>AA10</f>
        <v>0</v>
      </c>
      <c r="AK19" s="208" t="s">
        <v>27</v>
      </c>
      <c r="AL19" s="208">
        <v>5</v>
      </c>
      <c r="AM19" s="208">
        <f>AB10</f>
        <v>0</v>
      </c>
      <c r="AN19" s="208" t="s">
        <v>27</v>
      </c>
      <c r="AO19" s="208">
        <v>5</v>
      </c>
      <c r="AP19" s="208">
        <f>AC10</f>
        <v>0</v>
      </c>
    </row>
    <row r="20" spans="1:42">
      <c r="A20" s="22">
        <f>(S27*(D2-R28)*(D2-R29)/((R27-R28)*(R27-R29))+S28*(D2-R27)*(D2-R29)/((R28-R27)*(R28-R29))+S29*(D2-R27)*(D2-R28)/((R29-R27)*(R29-R28)))</f>
        <v>710.32146175272476</v>
      </c>
      <c r="B20" s="23">
        <f>(B16*A20+(A21*B14))/(D2*(44/17.5))</f>
        <v>-1.0545426187123352</v>
      </c>
      <c r="D20"/>
      <c r="F20" s="208">
        <v>80</v>
      </c>
      <c r="G20" s="208">
        <v>132.65</v>
      </c>
      <c r="H20" s="208">
        <v>167.22222222222223</v>
      </c>
      <c r="I20" s="208">
        <v>141.69999999999999</v>
      </c>
      <c r="J20" s="208">
        <v>123.38</v>
      </c>
      <c r="K20" s="16"/>
      <c r="L20" s="208" t="s">
        <v>10</v>
      </c>
      <c r="M20" s="208">
        <v>-10</v>
      </c>
      <c r="N20" s="208">
        <f>G15</f>
        <v>129.02000000000001</v>
      </c>
      <c r="O20" s="208" t="s">
        <v>10</v>
      </c>
      <c r="P20" s="208">
        <v>-10</v>
      </c>
      <c r="Q20" s="208">
        <f>H15</f>
        <v>155.55555555555557</v>
      </c>
      <c r="R20" s="208" t="s">
        <v>10</v>
      </c>
      <c r="S20" s="208">
        <v>-10</v>
      </c>
      <c r="T20" s="208">
        <f>I15</f>
        <v>137.41999999999999</v>
      </c>
      <c r="U20" s="208" t="s">
        <v>10</v>
      </c>
      <c r="V20" s="208">
        <v>-10</v>
      </c>
      <c r="W20" s="208">
        <f>J15</f>
        <v>120.43</v>
      </c>
      <c r="Y20" s="208">
        <v>80</v>
      </c>
      <c r="Z20" s="208"/>
      <c r="AA20" s="208"/>
      <c r="AB20" s="208"/>
      <c r="AC20" s="208"/>
      <c r="AE20" s="208" t="s">
        <v>27</v>
      </c>
      <c r="AF20" s="208">
        <v>10</v>
      </c>
      <c r="AG20" s="208">
        <f>Z15</f>
        <v>0</v>
      </c>
      <c r="AH20" s="208" t="s">
        <v>27</v>
      </c>
      <c r="AI20" s="208">
        <v>10</v>
      </c>
      <c r="AJ20" s="208">
        <f>AA15</f>
        <v>0</v>
      </c>
      <c r="AK20" s="208" t="s">
        <v>27</v>
      </c>
      <c r="AL20" s="208">
        <v>10</v>
      </c>
      <c r="AM20" s="208">
        <f>AB15</f>
        <v>0</v>
      </c>
      <c r="AN20" s="208" t="s">
        <v>27</v>
      </c>
      <c r="AO20" s="208">
        <v>10</v>
      </c>
      <c r="AP20" s="208">
        <f>AC15</f>
        <v>0</v>
      </c>
    </row>
    <row r="21" spans="1:42">
      <c r="A21" s="22">
        <f>A20*1</f>
        <v>710.32146175272476</v>
      </c>
      <c r="D21"/>
      <c r="K21" s="16"/>
      <c r="L21" s="208" t="s">
        <v>10</v>
      </c>
      <c r="M21" s="208">
        <v>-15</v>
      </c>
      <c r="N21" s="208">
        <f>G20</f>
        <v>132.65</v>
      </c>
      <c r="O21" s="208" t="s">
        <v>10</v>
      </c>
      <c r="P21" s="208">
        <v>-15</v>
      </c>
      <c r="Q21" s="208">
        <f>H20</f>
        <v>167.22222222222223</v>
      </c>
      <c r="R21" s="208" t="s">
        <v>10</v>
      </c>
      <c r="S21" s="208">
        <v>-15</v>
      </c>
      <c r="T21" s="208">
        <f>I20</f>
        <v>141.69999999999999</v>
      </c>
      <c r="U21" s="208" t="s">
        <v>10</v>
      </c>
      <c r="V21" s="208">
        <v>-15</v>
      </c>
      <c r="W21" s="208">
        <f>J20</f>
        <v>123.38</v>
      </c>
      <c r="AE21" s="208" t="s">
        <v>27</v>
      </c>
      <c r="AF21" s="208">
        <v>15</v>
      </c>
      <c r="AG21" s="208">
        <f>Z20</f>
        <v>0</v>
      </c>
      <c r="AH21" s="208" t="s">
        <v>27</v>
      </c>
      <c r="AI21" s="208">
        <v>15</v>
      </c>
      <c r="AJ21" s="208">
        <f>AA20</f>
        <v>0</v>
      </c>
      <c r="AK21" s="208" t="s">
        <v>27</v>
      </c>
      <c r="AL21" s="208">
        <v>15</v>
      </c>
      <c r="AM21" s="208">
        <f>AB20</f>
        <v>0</v>
      </c>
      <c r="AN21" s="208" t="s">
        <v>27</v>
      </c>
      <c r="AO21" s="208">
        <v>15</v>
      </c>
      <c r="AP21" s="208">
        <f>AC20</f>
        <v>0</v>
      </c>
    </row>
    <row r="22" spans="1:42">
      <c r="D22"/>
      <c r="K22" s="16"/>
      <c r="L22" s="208" t="s">
        <v>11</v>
      </c>
      <c r="M22" s="9">
        <f>$B$2</f>
        <v>6.0220000000000002</v>
      </c>
      <c r="N22" s="11">
        <f>N18*(M22-M19)*(M22-M20)*(M22-M21)/((M18-M19)*(M18-M20)*(M18-M21))+N19*(M22-M18)*(M22-M20)*(M22-M21)/((M19-M18)*(M19-M20)*(M19-M21))+N20*(M22-M18)*(M22-M19)*(M22-M21)/((M20-M18)*(M20-M19)*(M20-M21))+N21*(M22-M18)*(M22-M19)*(M22-M20)/((M21-M18)*(M21-M19)*(M21-M20))</f>
        <v>112.89519223502734</v>
      </c>
      <c r="O22" s="208" t="s">
        <v>11</v>
      </c>
      <c r="P22" s="9">
        <f>$B$2</f>
        <v>6.0220000000000002</v>
      </c>
      <c r="Q22" s="11">
        <f>Q18*(P22-P19)*(P22-P20)*(P22-P21)/((P18-P19)*(P18-P20)*(P18-P21))+Q19*(P22-P18)*(P22-P20)*(P22-P21)/((P19-P18)*(P19-P20)*(P19-P21))+Q20*(P22-P18)*(P22-P19)*(P22-P21)/((P20-P18)*(P20-P19)*(P20-P21))+Q21*(P22-P18)*(P22-P19)*(P22-P20)/((P21-P18)*(P21-P19)*(P21-P20))</f>
        <v>112.44354570762673</v>
      </c>
      <c r="R22" s="208" t="s">
        <v>11</v>
      </c>
      <c r="S22" s="9">
        <f>$B$2</f>
        <v>6.0220000000000002</v>
      </c>
      <c r="T22" s="11">
        <f>T18*(S22-S19)*(S22-S20)*(S22-S21)/((S18-S19)*(S18-S20)*(S18-S21))+T19*(S22-S18)*(S22-S20)*(S22-S21)/((S19-S18)*(S19-S20)*(S19-S21))+T20*(S22-S18)*(S22-S19)*(S22-S21)/((S20-S18)*(S20-S19)*(S20-S21))+T21*(S22-S18)*(S22-S19)*(S22-S20)/((S21-S18)*(S21-S19)*(S21-S20))</f>
        <v>118.80815485422707</v>
      </c>
      <c r="U22" s="208" t="s">
        <v>11</v>
      </c>
      <c r="V22" s="9">
        <f>$B$2</f>
        <v>6.0220000000000002</v>
      </c>
      <c r="W22" s="11">
        <f>W18*(V22-V19)*(V22-V20)*(V22-V21)/((V18-V19)*(V18-V20)*(V18-V21))+W19*(V22-V18)*(V22-V20)*(V22-V21)/((V19-V18)*(V19-V20)*(V19-V21))+W20*(V22-V18)*(V22-V19)*(V22-V21)/((V20-V18)*(V20-V19)*(V20-V21))+W21*(V22-V18)*(V22-V19)*(V22-V20)/((V21-V18)*(V21-V19)*(V21-V20))</f>
        <v>106.93376420827045</v>
      </c>
      <c r="AE22" s="208" t="s">
        <v>28</v>
      </c>
      <c r="AF22" s="9">
        <f>$B$2</f>
        <v>6.0220000000000002</v>
      </c>
      <c r="AG22" s="11">
        <f>AG18*(AF22-AF19)*(AF22-AF20)*(AF22-AF21)/((AF18-AF19)*(AF18-AF20)*(AF18-AF21))+AG19*(AF22-AF18)*(AF22-AF20)*(AF22-AF21)/((AF19-AF18)*(AF19-AF20)*(AF19-AF21))+AG20*(AF22-AF18)*(AF22-AF19)*(AF22-AF21)/((AF20-AF18)*(AF20-AF19)*(AF20-AF21))+AG21*(AF22-AF18)*(AF22-AF19)*(AF22-AF20)/((AF21-AF18)*(AF21-AF19)*(AF21-AF20))</f>
        <v>-5.8400324236800003</v>
      </c>
      <c r="AH22" s="208" t="s">
        <v>28</v>
      </c>
      <c r="AI22" s="9">
        <f>$B$2</f>
        <v>6.0220000000000002</v>
      </c>
      <c r="AJ22" s="11">
        <f>AJ18*(AI22-AI19)*(AI22-AI20)*(AI22-AI21)/((AI18-AI19)*(AI18-AI20)*(AI18-AI21))+AJ19*(AI22-AI18)*(AI22-AI20)*(AI22-AI21)/((AI19-AI18)*(AI19-AI20)*(AI19-AI21))+AJ20*(AI22-AI18)*(AI22-AI19)*(AI22-AI21)/((AI20-AI18)*(AI20-AI19)*(AI20-AI21))+AJ21*(AI22-AI18)*(AI22-AI19)*(AI22-AI20)/((AI21-AI18)*(AI21-AI19)*(AI21-AI20))</f>
        <v>-6.2455902308800004</v>
      </c>
      <c r="AK22" s="208" t="s">
        <v>28</v>
      </c>
      <c r="AL22" s="9">
        <f>$B$2</f>
        <v>6.0220000000000002</v>
      </c>
      <c r="AM22" s="11">
        <f>AM18*(AL22-AL19)*(AL22-AL20)*(AL22-AL21)/((AL18-AL19)*(AL18-AL20)*(AL18-AL21))+AM19*(AL22-AL18)*(AL22-AL20)*(AL22-AL21)/((AL19-AL18)*(AL19-AL20)*(AL19-AL21))+AM20*(AL22-AL18)*(AL22-AL19)*(AL22-AL21)/((AL20-AL18)*(AL20-AL19)*(AL20-AL21))+AM21*(AL22-AL18)*(AL22-AL19)*(AL22-AL20)/((AL21-AL18)*(AL21-AL19)*(AL21-AL20))</f>
        <v>-6.1768076267788805</v>
      </c>
      <c r="AN22" s="208" t="s">
        <v>28</v>
      </c>
      <c r="AO22" s="9">
        <f>$B$2</f>
        <v>6.0220000000000002</v>
      </c>
      <c r="AP22" s="11">
        <f>AP18*(AO22-AO19)*(AO22-AO20)*(AO22-AO21)/((AO18-AO19)*(AO18-AO20)*(AO18-AO21))+AP19*(AO22-AO18)*(AO22-AO20)*(AO22-AO21)/((AO19-AO18)*(AO19-AO20)*(AO19-AO21))+AP20*(AO22-AO18)*(AO22-AO19)*(AO22-AO21)/((AO20-AO18)*(AO20-AO19)*(AO20-AO21))+AP21*(AO22-AO18)*(AO22-AO19)*(AO22-AO20)/((AO21-AO18)*(AO21-AO19)*(AO21-AO20))</f>
        <v>-5.4949838413142409</v>
      </c>
    </row>
    <row r="23" spans="1:42">
      <c r="A23" s="208" t="s">
        <v>36</v>
      </c>
      <c r="B23" s="23">
        <f>B3*SIN(RADIANS(B4+B20*0.707))</f>
        <v>0.96163873487500351</v>
      </c>
      <c r="D23"/>
    </row>
    <row r="24" spans="1:42">
      <c r="A24" s="208" t="s">
        <v>37</v>
      </c>
      <c r="B24" s="23">
        <f>B3*COS(RADIANS(B4+B20*0.5))</f>
        <v>-0.27798078744634597</v>
      </c>
      <c r="D24"/>
    </row>
    <row r="25" spans="1:42">
      <c r="D25"/>
    </row>
    <row r="26" spans="1:42">
      <c r="A26" s="275" t="s">
        <v>39</v>
      </c>
      <c r="B26" s="276"/>
      <c r="D26"/>
      <c r="M26" s="210" t="s">
        <v>6</v>
      </c>
      <c r="N26" s="210" t="s">
        <v>14</v>
      </c>
      <c r="O26" s="14" t="s">
        <v>15</v>
      </c>
      <c r="R26" s="210" t="s">
        <v>6</v>
      </c>
      <c r="S26" s="210" t="s">
        <v>7</v>
      </c>
      <c r="T26" s="210" t="s">
        <v>29</v>
      </c>
      <c r="U26" s="210" t="s">
        <v>30</v>
      </c>
    </row>
    <row r="27" spans="1:42">
      <c r="A27" s="163">
        <f>N31*(D4-M32)*(D4-M33)/((M31-M32)*(M31-M33))+N32*(D4-M31)*(D4-M33)/((M32-M31)*(M32-M33))+N33*(D4-M31)*(D4-M32)/((M33-M31)*(M33-M32))</f>
        <v>255.02123023944534</v>
      </c>
      <c r="B27" s="163">
        <f>O31*(D4-M32)*(D4-M33)/((M31-M32)*(M31-M33))+O32*(D4-M31)*(D4-M33)/((M32-M31)*(M32-M33))+O33*(D4-M31)*(D4-M32)/((M33-M31)*(M33-M32))</f>
        <v>255.0362117034739</v>
      </c>
      <c r="D27"/>
      <c r="L27" s="163">
        <v>100</v>
      </c>
      <c r="M27" s="163">
        <v>172.16</v>
      </c>
      <c r="N27" s="163">
        <v>172.56</v>
      </c>
      <c r="O27" s="163">
        <v>171.63</v>
      </c>
      <c r="Q27" s="163">
        <v>100</v>
      </c>
      <c r="R27" s="164">
        <f>N6</f>
        <v>168.73664857475706</v>
      </c>
      <c r="S27" s="164">
        <f>Q6</f>
        <v>269.95618665381312</v>
      </c>
      <c r="T27" s="164">
        <f>T6</f>
        <v>182.23251298755679</v>
      </c>
      <c r="U27" s="212">
        <f>W6</f>
        <v>154.58905152172551</v>
      </c>
      <c r="V27" s="210"/>
      <c r="W27" s="210"/>
      <c r="X27" s="210"/>
    </row>
    <row r="28" spans="1:42">
      <c r="D28"/>
      <c r="E28" s="12"/>
      <c r="F28" s="12"/>
      <c r="G28" s="12"/>
      <c r="H28" s="12"/>
      <c r="I28" s="12"/>
      <c r="J28" s="12"/>
      <c r="L28" s="163">
        <v>90</v>
      </c>
      <c r="M28" s="163">
        <v>145.07</v>
      </c>
      <c r="N28" s="163">
        <v>145.38</v>
      </c>
      <c r="O28" s="163">
        <v>144.66</v>
      </c>
      <c r="Q28" s="163">
        <v>90</v>
      </c>
      <c r="R28" s="164">
        <f>N14</f>
        <v>139.99091545625086</v>
      </c>
      <c r="S28" s="164">
        <f>Q14</f>
        <v>172.35278924444469</v>
      </c>
      <c r="T28" s="164">
        <f>T14</f>
        <v>148.91747199614517</v>
      </c>
      <c r="U28" s="212">
        <f>W14</f>
        <v>130.69263394025077</v>
      </c>
    </row>
    <row r="29" spans="1:42">
      <c r="A29" s="163" t="s">
        <v>41</v>
      </c>
      <c r="B29" s="163" t="s">
        <v>42</v>
      </c>
      <c r="D29"/>
      <c r="E29" s="12"/>
      <c r="F29" s="12"/>
      <c r="G29" s="12"/>
      <c r="H29" s="12"/>
      <c r="I29" s="12"/>
      <c r="J29" s="12"/>
      <c r="L29" s="163">
        <v>80</v>
      </c>
      <c r="M29" s="163">
        <v>120</v>
      </c>
      <c r="N29" s="163">
        <v>120.22999999999999</v>
      </c>
      <c r="O29" s="163">
        <v>119.7</v>
      </c>
      <c r="Q29" s="163">
        <v>80</v>
      </c>
      <c r="R29" s="164">
        <f>N22</f>
        <v>112.89519223502734</v>
      </c>
      <c r="S29" s="164">
        <f>Q22</f>
        <v>112.44354570762673</v>
      </c>
      <c r="T29" s="164">
        <f>T22</f>
        <v>118.80815485422707</v>
      </c>
      <c r="U29" s="212">
        <f>W22</f>
        <v>106.93376420827045</v>
      </c>
      <c r="W29" s="209"/>
      <c r="X29" s="209"/>
      <c r="Z29" s="209"/>
      <c r="AA29" s="209"/>
    </row>
    <row r="30" spans="1:42">
      <c r="A30" s="164">
        <f>L36*(D4-M37)*(D4-M38)/((M36-M37)*(M36-M38))+L37*(D4-M36)*(D4-M38)/((M37-M36)*(M37-M38))+L38*(D4-M36)*(D4-M37)/((M38-M36)*(M38-M37))</f>
        <v>126.8387491075506</v>
      </c>
      <c r="B30" s="213">
        <f>(S27*(A30-Q28)*(A30-Q29)/((Q27-Q28)*(Q27-Q29))+S28*(A30-Q27)*(A30-Q29)/((Q28-Q27)*(Q28-Q29))+S29*(A30-Q27)*(A30-Q28)/((Q29-Q27)*(Q29-Q28)))*(B23+(B14*6/9*(A21/A20))*(A30/100))</f>
        <v>-450.16620546250164</v>
      </c>
      <c r="D30"/>
      <c r="E30" s="12"/>
      <c r="F30" s="12"/>
      <c r="G30" s="12"/>
      <c r="H30" s="12"/>
      <c r="I30" s="12"/>
      <c r="J30" s="12"/>
      <c r="N30" s="210" t="s">
        <v>38</v>
      </c>
      <c r="W30" s="209"/>
      <c r="X30" s="209"/>
      <c r="Z30" s="209"/>
      <c r="AA30" s="209"/>
    </row>
    <row r="31" spans="1:42">
      <c r="A31" s="163" t="s">
        <v>44</v>
      </c>
      <c r="B31" s="163" t="s">
        <v>43</v>
      </c>
      <c r="D31">
        <v>207.52</v>
      </c>
      <c r="E31">
        <f>D32-D31</f>
        <v>0.43999999999999773</v>
      </c>
      <c r="K31">
        <f>276*L31/100</f>
        <v>276</v>
      </c>
      <c r="L31" s="163">
        <v>100</v>
      </c>
      <c r="M31" s="163">
        <f>M27</f>
        <v>172.16</v>
      </c>
      <c r="N31" s="164">
        <f>M27*((L27-(100/360))-L28)*((L27-(100/360))-L29)/((L27-L28)*(L27-L29))+M28*((L27-(100/360))-L27)*((L27-(100/360))-L29)/((L28-L27)*(L28-L29))+M29*((L27-(100/360))-L27)*((L27-(100/360))-L28)/((L29-L27)*(L29-L28))</f>
        <v>171.38022376543213</v>
      </c>
      <c r="O31" s="163">
        <f>O27</f>
        <v>171.63</v>
      </c>
      <c r="W31" s="209"/>
      <c r="X31" s="209"/>
      <c r="Z31" s="209"/>
      <c r="AA31" s="209"/>
    </row>
    <row r="32" spans="1:42">
      <c r="A32" s="214">
        <f>(360-ROUNDDOWN((1-(A30/100))*360,0))*180/360</f>
        <v>228</v>
      </c>
      <c r="B32" s="164">
        <f>MOD((A30/100)*-360,1)*-((D4-A27)/(D4-B27))+30</f>
        <v>29.613222949019068</v>
      </c>
      <c r="D32">
        <v>207.96</v>
      </c>
      <c r="K32">
        <f t="shared" ref="K32:K33" si="0">276*L32/100</f>
        <v>248.4</v>
      </c>
      <c r="L32" s="163">
        <v>90</v>
      </c>
      <c r="M32" s="163">
        <f>M28</f>
        <v>145.07</v>
      </c>
      <c r="N32" s="164">
        <f>M27*((L28-(100/360))-L28)*((L28-(100/360))-L29)/((L27-L28)*(L27-L29))+M28*((L28-(100/360))-L27)*((L28-(100/360))-L29)/((L28-L27)*(L28-L29))+M29*((L28-(100/360))-L27)*((L28-(100/360))-L28)/((L29-L27)*(L29-L28))</f>
        <v>144.34633487654324</v>
      </c>
      <c r="O32" s="163">
        <f t="shared" ref="O32:O33" si="1">O28</f>
        <v>144.66</v>
      </c>
      <c r="R32" s="14"/>
    </row>
    <row r="33" spans="4:28">
      <c r="D33"/>
      <c r="K33">
        <f t="shared" si="0"/>
        <v>220.8</v>
      </c>
      <c r="L33" s="163">
        <v>80</v>
      </c>
      <c r="M33" s="163">
        <f>M29</f>
        <v>120</v>
      </c>
      <c r="N33" s="164">
        <f>M27*((L29-(100/360))-L28)*((L29-(100/360))-L29)/((L27-L28)*(L27-L29))+M28*((L29-(100/360))-L27)*((L29-(100/360))-L29)/((L28-L27)*(L28-L29))+M29*((L29-(100/360))-L27)*((L29-(100/360))-L28)/((L29-L27)*(L29-L28))</f>
        <v>119.33244598765435</v>
      </c>
      <c r="O33" s="163">
        <f t="shared" si="1"/>
        <v>119.7</v>
      </c>
      <c r="Q33" s="14"/>
      <c r="R33" s="14"/>
      <c r="AB33" s="210"/>
    </row>
    <row r="34" spans="4:28">
      <c r="D34"/>
    </row>
    <row r="35" spans="4:28">
      <c r="D35"/>
      <c r="L35" s="277" t="s">
        <v>40</v>
      </c>
      <c r="M35" s="276"/>
    </row>
    <row r="36" spans="4:28">
      <c r="D36"/>
      <c r="L36" s="163">
        <v>100</v>
      </c>
      <c r="M36" s="164">
        <f>R27*(B24-9)*(B24--9)/((0-9)*(0--9))+T27*(B24-0)*(B24--9)/((9-0)*(9--9))+U27*(B24-0)*(B24-9)/((-9-0)*(-9-9))</f>
        <v>168.30942930180757</v>
      </c>
    </row>
    <row r="37" spans="4:28">
      <c r="L37" s="163">
        <v>90</v>
      </c>
      <c r="M37" s="164">
        <f>R28*(B24-9)*(B24--9)/((0-9)*(0--9))+T28*(B24-0)*(B24--9)/((9-0)*(9--9))+U28*(B24-0)*(B24-9)/((-9-0)*(-9-9))</f>
        <v>139.70928509867622</v>
      </c>
    </row>
    <row r="38" spans="4:28">
      <c r="L38" s="163">
        <v>80</v>
      </c>
      <c r="M38" s="164">
        <f>R29*(B24-9)*(B24--9)/((0-9)*(0--9))+T29*(B24-0)*(B24--9)/((9-0)*(9--9))+U29*(B24-0)*(B24-9)/((-9-0)*(-9-9))</f>
        <v>112.711788424887</v>
      </c>
    </row>
  </sheetData>
  <mergeCells count="3">
    <mergeCell ref="C1:E1"/>
    <mergeCell ref="A26:B26"/>
    <mergeCell ref="L35:M3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2</vt:i4>
      </vt:variant>
    </vt:vector>
  </HeadingPairs>
  <TitlesOfParts>
    <vt:vector size="20" baseType="lpstr">
      <vt:lpstr>Plan1</vt:lpstr>
      <vt:lpstr>2w Dunk 11s</vt:lpstr>
      <vt:lpstr>1w Dunk 11s</vt:lpstr>
      <vt:lpstr>1w Dunk 30s</vt:lpstr>
      <vt:lpstr>1w Dunk 1PS 30s</vt:lpstr>
      <vt:lpstr>1w Dunk 2PS 30s</vt:lpstr>
      <vt:lpstr>Dados</vt:lpstr>
      <vt:lpstr>Pin++</vt:lpstr>
      <vt:lpstr>1w Toma</vt:lpstr>
      <vt:lpstr>2w Dunk 30s</vt:lpstr>
      <vt:lpstr>3w Dunk 30s</vt:lpstr>
      <vt:lpstr>Spike30</vt:lpstr>
      <vt:lpstr>Spike 2ps 30s-OLD</vt:lpstr>
      <vt:lpstr>Spike 2ps 30s</vt:lpstr>
      <vt:lpstr>3w 18s 7c</vt:lpstr>
      <vt:lpstr>1w 15s 11c</vt:lpstr>
      <vt:lpstr>Spike7s</vt:lpstr>
      <vt:lpstr>2i 180Y 30s</vt:lpstr>
      <vt:lpstr>Angulo</vt:lpstr>
      <vt:lpstr>Ângulo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Hirasaki</dc:creator>
  <cp:lastModifiedBy>Fabio Hirasaki</cp:lastModifiedBy>
  <dcterms:created xsi:type="dcterms:W3CDTF">2021-03-16T02:54:46Z</dcterms:created>
  <dcterms:modified xsi:type="dcterms:W3CDTF">2021-09-11T02:25:27Z</dcterms:modified>
</cp:coreProperties>
</file>